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TJ-25-26-184 ( Vogt Cedar Bayou LB SAFI )\"/>
    </mc:Choice>
  </mc:AlternateContent>
  <xr:revisionPtr revIDLastSave="0" documentId="13_ncr:1_{EF747799-DB83-4A96-9597-946C3065CF8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pool List" sheetId="1" r:id="rId1"/>
    <sheet name="Summary" sheetId="3" r:id="rId2"/>
    <sheet name="Vlookup" sheetId="2" r:id="rId3"/>
  </sheets>
  <externalReferences>
    <externalReference r:id="rId4"/>
  </externalReferences>
  <definedNames>
    <definedName name="_xlnm._FilterDatabase" localSheetId="1" hidden="1">Summary!$B$3:$J$29</definedName>
    <definedName name="ConnectionInfo">'Spool List'!#REF!</definedName>
    <definedName name="ObjectInfo">'Spool List'!#REF!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D29" i="3"/>
  <c r="D1284" i="1"/>
  <c r="D1316" i="1"/>
  <c r="D1314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7" i="1"/>
  <c r="N1285" i="1"/>
  <c r="N1286" i="1"/>
  <c r="N1315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" i="1" l="1"/>
  <c r="D1133" i="1"/>
  <c r="D1205" i="1"/>
  <c r="D1071" i="1"/>
  <c r="D986" i="1"/>
  <c r="D172" i="1"/>
  <c r="D1134" i="1"/>
  <c r="D857" i="1"/>
  <c r="D734" i="1"/>
  <c r="D1137" i="1"/>
  <c r="D1066" i="1"/>
  <c r="D1253" i="1"/>
  <c r="D1069" i="1"/>
  <c r="D50" i="1"/>
  <c r="D107" i="1"/>
  <c r="D403" i="1"/>
  <c r="D812" i="1"/>
  <c r="D932" i="1"/>
  <c r="D861" i="1"/>
  <c r="D680" i="1"/>
  <c r="D1150" i="1"/>
  <c r="D729" i="1"/>
  <c r="D792" i="1"/>
  <c r="D553" i="1"/>
  <c r="D999" i="1"/>
  <c r="D968" i="1"/>
  <c r="D1015" i="1"/>
  <c r="D684" i="1"/>
  <c r="D554" i="1"/>
  <c r="D1250" i="1"/>
  <c r="D1266" i="1"/>
  <c r="D1271" i="1"/>
  <c r="D1244" i="1"/>
  <c r="D674" i="1"/>
  <c r="D1062" i="1"/>
  <c r="D1091" i="1"/>
  <c r="D1191" i="1"/>
  <c r="D1192" i="1"/>
  <c r="D86" i="1"/>
  <c r="D1030" i="1"/>
  <c r="D1035" i="1"/>
  <c r="D1037" i="1"/>
  <c r="D1092" i="1"/>
  <c r="D826" i="1"/>
  <c r="D854" i="1"/>
  <c r="D1042" i="1"/>
  <c r="D835" i="1"/>
  <c r="D1044" i="1"/>
  <c r="D1045" i="1"/>
  <c r="D864" i="1"/>
  <c r="D914" i="1"/>
  <c r="D945" i="1"/>
  <c r="D675" i="1"/>
  <c r="D1068" i="1"/>
  <c r="D1075" i="1"/>
  <c r="D1174" i="1"/>
  <c r="D1195" i="1"/>
  <c r="D724" i="1"/>
  <c r="D1194" i="1"/>
  <c r="D1197" i="1"/>
  <c r="D1007" i="1"/>
  <c r="D1046" i="1"/>
  <c r="D55" i="1"/>
  <c r="D67" i="1"/>
  <c r="D935" i="1"/>
  <c r="D970" i="1"/>
  <c r="D471" i="1"/>
  <c r="D482" i="1"/>
  <c r="D1025" i="1"/>
  <c r="D979" i="1"/>
  <c r="D1039" i="1"/>
  <c r="D1014" i="1"/>
  <c r="D1198" i="1"/>
  <c r="D1120" i="1"/>
  <c r="D550" i="1"/>
  <c r="D1178" i="1"/>
  <c r="D551" i="1"/>
  <c r="D552" i="1"/>
  <c r="D1108" i="1"/>
  <c r="D1203" i="1"/>
  <c r="D1177" i="1"/>
  <c r="D1201" i="1"/>
  <c r="D1288" i="1"/>
  <c r="D87" i="1"/>
  <c r="D502" i="1"/>
  <c r="D514" i="1"/>
  <c r="D1028" i="1"/>
  <c r="D1089" i="1"/>
  <c r="D598" i="1"/>
  <c r="D562" i="1"/>
  <c r="D977" i="1"/>
  <c r="D571" i="1"/>
  <c r="D575" i="1"/>
  <c r="D981" i="1"/>
  <c r="D982" i="1"/>
  <c r="D983" i="1"/>
  <c r="D1078" i="1"/>
  <c r="D984" i="1"/>
  <c r="D109" i="1"/>
  <c r="D985" i="1"/>
  <c r="D799" i="1"/>
  <c r="D394" i="1"/>
  <c r="D987" i="1"/>
  <c r="D833" i="1"/>
  <c r="D863" i="1"/>
  <c r="D868" i="1"/>
  <c r="D871" i="1"/>
  <c r="D991" i="1"/>
  <c r="D422" i="1"/>
  <c r="D901" i="1"/>
  <c r="D993" i="1"/>
  <c r="D994" i="1"/>
  <c r="D1052" i="1"/>
  <c r="D996" i="1"/>
  <c r="D509" i="1"/>
  <c r="D939" i="1"/>
  <c r="D595" i="1"/>
  <c r="D964" i="1"/>
  <c r="D606" i="1"/>
  <c r="D666" i="1"/>
  <c r="D1148" i="1"/>
  <c r="D1165" i="1"/>
  <c r="D1085" i="1"/>
  <c r="D1183" i="1"/>
  <c r="D623" i="1"/>
  <c r="D754" i="1"/>
  <c r="D762" i="1"/>
  <c r="D767" i="1"/>
  <c r="D771" i="1"/>
  <c r="D1196" i="1"/>
  <c r="D992" i="1"/>
  <c r="D938" i="1"/>
  <c r="D998" i="1"/>
  <c r="D1009" i="1"/>
  <c r="D1012" i="1"/>
  <c r="D1185" i="1"/>
  <c r="D889" i="1"/>
  <c r="D896" i="1"/>
  <c r="D910" i="1"/>
  <c r="D915" i="1"/>
  <c r="D928" i="1"/>
  <c r="D1019" i="1"/>
  <c r="D1020" i="1"/>
  <c r="D1114" i="1"/>
  <c r="D942" i="1"/>
  <c r="D949" i="1"/>
  <c r="D465" i="1"/>
  <c r="D469" i="1"/>
  <c r="D479" i="1"/>
  <c r="D1021" i="1"/>
  <c r="D978" i="1"/>
  <c r="D963" i="1"/>
  <c r="D1011" i="1"/>
  <c r="D1023" i="1"/>
  <c r="D1027" i="1"/>
  <c r="D1054" i="1"/>
  <c r="D1061" i="1"/>
  <c r="D1026" i="1"/>
  <c r="D726" i="1"/>
  <c r="D673" i="1"/>
  <c r="D542" i="1"/>
  <c r="D545" i="1"/>
  <c r="D1065" i="1"/>
  <c r="D1173" i="1"/>
  <c r="D1242" i="1"/>
  <c r="D1200" i="1"/>
  <c r="D1306" i="1"/>
  <c r="D81" i="1"/>
  <c r="D486" i="1"/>
  <c r="D380" i="1"/>
  <c r="D912" i="1"/>
  <c r="D597" i="1"/>
  <c r="D1123" i="1"/>
  <c r="D1162" i="1"/>
  <c r="D565" i="1"/>
  <c r="D567" i="1"/>
  <c r="D573" i="1"/>
  <c r="D582" i="1"/>
  <c r="D913" i="1"/>
  <c r="D589" i="1"/>
  <c r="D669" i="1"/>
  <c r="D676" i="1"/>
  <c r="D108" i="1"/>
  <c r="D719" i="1"/>
  <c r="D737" i="1"/>
  <c r="D723" i="1"/>
  <c r="D1187" i="1"/>
  <c r="D757" i="1"/>
  <c r="D780" i="1"/>
  <c r="D919" i="1"/>
  <c r="D755" i="1"/>
  <c r="D760" i="1"/>
  <c r="D800" i="1"/>
  <c r="D809" i="1"/>
  <c r="D784" i="1"/>
  <c r="D577" i="1"/>
  <c r="D686" i="1"/>
  <c r="D696" i="1"/>
  <c r="D848" i="1"/>
  <c r="D923" i="1"/>
  <c r="D829" i="1"/>
  <c r="D859" i="1"/>
  <c r="D925" i="1"/>
  <c r="D865" i="1"/>
  <c r="D927" i="1"/>
  <c r="D774" i="1"/>
  <c r="D976" i="1"/>
  <c r="D930" i="1"/>
  <c r="D1163" i="1"/>
  <c r="D869" i="1"/>
  <c r="D926" i="1"/>
  <c r="D933" i="1"/>
  <c r="D934" i="1"/>
  <c r="D786" i="1"/>
  <c r="D931" i="1"/>
  <c r="D505" i="1"/>
  <c r="D995" i="1"/>
  <c r="D936" i="1"/>
  <c r="D570" i="1"/>
  <c r="D603" i="1"/>
  <c r="D941" i="1"/>
  <c r="D652" i="1"/>
  <c r="D677" i="1"/>
  <c r="D1141" i="1"/>
  <c r="D1161" i="1"/>
  <c r="D1166" i="1"/>
  <c r="D1181" i="1"/>
  <c r="D1233" i="1"/>
  <c r="D988" i="1"/>
  <c r="D622" i="1"/>
  <c r="D753" i="1"/>
  <c r="D756" i="1"/>
  <c r="D766" i="1"/>
  <c r="D770" i="1"/>
  <c r="D791" i="1"/>
  <c r="D817" i="1"/>
  <c r="D946" i="1"/>
  <c r="D947" i="1"/>
  <c r="D849" i="1"/>
  <c r="D875" i="1"/>
  <c r="D1113" i="1"/>
  <c r="D885" i="1"/>
  <c r="D887" i="1"/>
  <c r="D44" i="1"/>
  <c r="D66" i="1"/>
  <c r="D68" i="1"/>
  <c r="D907" i="1"/>
  <c r="D951" i="1"/>
  <c r="D921" i="1"/>
  <c r="D937" i="1"/>
  <c r="D948" i="1"/>
  <c r="D952" i="1"/>
  <c r="D93" i="1"/>
  <c r="D118" i="1"/>
  <c r="D1116" i="1"/>
  <c r="D216" i="1"/>
  <c r="D376" i="1"/>
  <c r="D442" i="1"/>
  <c r="D463" i="1"/>
  <c r="D484" i="1"/>
  <c r="D712" i="1"/>
  <c r="D972" i="1"/>
  <c r="D1128" i="1"/>
  <c r="D974" i="1"/>
  <c r="D954" i="1"/>
  <c r="D955" i="1"/>
  <c r="D1050" i="1"/>
  <c r="D1022" i="1"/>
  <c r="D958" i="1"/>
  <c r="D959" i="1"/>
  <c r="D1004" i="1"/>
  <c r="D962" i="1"/>
  <c r="D1169" i="1"/>
  <c r="D1024" i="1"/>
  <c r="D1151" i="1"/>
  <c r="D1202" i="1"/>
  <c r="D1168" i="1"/>
  <c r="D1060" i="1"/>
  <c r="D1064" i="1"/>
  <c r="D1158" i="1"/>
  <c r="D538" i="1"/>
  <c r="D1240" i="1"/>
  <c r="D493" i="1"/>
  <c r="D495" i="1"/>
  <c r="D1115" i="1"/>
  <c r="D1117" i="1"/>
  <c r="D1099" i="1"/>
  <c r="D1182" i="1"/>
  <c r="D1126" i="1"/>
  <c r="D1239" i="1"/>
  <c r="D1190" i="1"/>
  <c r="D877" i="1"/>
  <c r="D1268" i="1"/>
  <c r="D1270" i="1"/>
  <c r="D26" i="1"/>
  <c r="D69" i="1"/>
  <c r="D468" i="1"/>
  <c r="D103" i="1"/>
  <c r="D642" i="1"/>
  <c r="D777" i="1"/>
  <c r="D637" i="1"/>
  <c r="D638" i="1"/>
  <c r="D639" i="1"/>
  <c r="D640" i="1"/>
  <c r="D641" i="1"/>
  <c r="D1079" i="1"/>
  <c r="D1129" i="1"/>
  <c r="D561" i="1"/>
  <c r="D563" i="1"/>
  <c r="D700" i="1"/>
  <c r="D823" i="1"/>
  <c r="D635" i="1"/>
  <c r="D825" i="1"/>
  <c r="D648" i="1"/>
  <c r="D883" i="1"/>
  <c r="D650" i="1"/>
  <c r="D601" i="1"/>
  <c r="D1080" i="1"/>
  <c r="D604" i="1"/>
  <c r="D739" i="1"/>
  <c r="D619" i="1"/>
  <c r="D717" i="1"/>
  <c r="D699" i="1"/>
  <c r="D710" i="1"/>
  <c r="D743" i="1"/>
  <c r="D744" i="1"/>
  <c r="D746" i="1"/>
  <c r="D750" i="1"/>
  <c r="D832" i="1"/>
  <c r="D704" i="1"/>
  <c r="D782" i="1"/>
  <c r="D783" i="1"/>
  <c r="D1124" i="1"/>
  <c r="D106" i="1"/>
  <c r="D803" i="1"/>
  <c r="D668" i="1"/>
  <c r="D839" i="1"/>
  <c r="D834" i="1"/>
  <c r="D824" i="1"/>
  <c r="D850" i="1"/>
  <c r="D852" i="1"/>
  <c r="D1131" i="1"/>
  <c r="D836" i="1"/>
  <c r="D837" i="1"/>
  <c r="D858" i="1"/>
  <c r="D838" i="1"/>
  <c r="D822" i="1"/>
  <c r="D841" i="1"/>
  <c r="D842" i="1"/>
  <c r="D843" i="1"/>
  <c r="D872" i="1"/>
  <c r="D844" i="1"/>
  <c r="D830" i="1"/>
  <c r="D423" i="1"/>
  <c r="D424" i="1"/>
  <c r="D1132" i="1"/>
  <c r="D425" i="1"/>
  <c r="D831" i="1"/>
  <c r="D924" i="1"/>
  <c r="D891" i="1"/>
  <c r="D911" i="1"/>
  <c r="D594" i="1"/>
  <c r="D599" i="1"/>
  <c r="D434" i="1"/>
  <c r="D855" i="1"/>
  <c r="D1251" i="1"/>
  <c r="D860" i="1"/>
  <c r="D793" i="1"/>
  <c r="D500" i="1"/>
  <c r="D508" i="1"/>
  <c r="D916" i="1"/>
  <c r="D922" i="1"/>
  <c r="D511" i="1"/>
  <c r="D602" i="1"/>
  <c r="D956" i="1"/>
  <c r="D630" i="1"/>
  <c r="D867" i="1"/>
  <c r="D645" i="1"/>
  <c r="D646" i="1"/>
  <c r="D971" i="1"/>
  <c r="D870" i="1"/>
  <c r="D651" i="1"/>
  <c r="D672" i="1"/>
  <c r="D1074" i="1"/>
  <c r="D678" i="1"/>
  <c r="D617" i="1"/>
  <c r="D1257" i="1"/>
  <c r="D1167" i="1"/>
  <c r="D1176" i="1"/>
  <c r="D1140" i="1"/>
  <c r="D1231" i="1"/>
  <c r="D1189" i="1"/>
  <c r="D685" i="1"/>
  <c r="D879" i="1"/>
  <c r="D713" i="1"/>
  <c r="D752" i="1"/>
  <c r="D929" i="1"/>
  <c r="D764" i="1"/>
  <c r="D892" i="1"/>
  <c r="D1143" i="1"/>
  <c r="D1094" i="1"/>
  <c r="D790" i="1"/>
  <c r="D795" i="1"/>
  <c r="D816" i="1"/>
  <c r="D819" i="1"/>
  <c r="D846" i="1"/>
  <c r="D847" i="1"/>
  <c r="D874" i="1"/>
  <c r="D1199" i="1"/>
  <c r="D881" i="1"/>
  <c r="D694" i="1"/>
  <c r="D888" i="1"/>
  <c r="D890" i="1"/>
  <c r="D899" i="1"/>
  <c r="D903" i="1"/>
  <c r="D91" i="1"/>
  <c r="D920" i="1"/>
  <c r="D893" i="1"/>
  <c r="D894" i="1"/>
  <c r="D965" i="1"/>
  <c r="D895" i="1"/>
  <c r="D967" i="1"/>
  <c r="D102" i="1"/>
  <c r="D179" i="1"/>
  <c r="D943" i="1"/>
  <c r="D180" i="1"/>
  <c r="D377" i="1"/>
  <c r="D435" i="1"/>
  <c r="D969" i="1"/>
  <c r="D961" i="1"/>
  <c r="D703" i="1"/>
  <c r="D1138" i="1"/>
  <c r="D231" i="1"/>
  <c r="D973" i="1"/>
  <c r="D950" i="1"/>
  <c r="D980" i="1"/>
  <c r="D1001" i="1"/>
  <c r="D989" i="1"/>
  <c r="D990" i="1"/>
  <c r="D1018" i="1"/>
  <c r="D1032" i="1"/>
  <c r="D1034" i="1"/>
  <c r="D1036" i="1"/>
  <c r="D1041" i="1"/>
  <c r="D1130" i="1"/>
  <c r="D1159" i="1"/>
  <c r="D1047" i="1"/>
  <c r="D1051" i="1"/>
  <c r="D1058" i="1"/>
  <c r="D1059" i="1"/>
  <c r="D1149" i="1"/>
  <c r="D1160" i="1"/>
  <c r="D902" i="1"/>
  <c r="D1016" i="1"/>
  <c r="D1056" i="1"/>
  <c r="D1063" i="1"/>
  <c r="D906" i="1"/>
  <c r="D1157" i="1"/>
  <c r="D1170" i="1"/>
  <c r="D491" i="1"/>
  <c r="D540" i="1"/>
  <c r="D653" i="1"/>
  <c r="D1259" i="1"/>
  <c r="D383" i="1"/>
  <c r="D1082" i="1"/>
  <c r="D1083" i="1"/>
  <c r="D1090" i="1"/>
  <c r="D654" i="1"/>
  <c r="D1153" i="1"/>
  <c r="D1029" i="1"/>
  <c r="D908" i="1"/>
  <c r="D1088" i="1"/>
  <c r="D667" i="1"/>
  <c r="D1053" i="1"/>
  <c r="D1154" i="1"/>
  <c r="D1193" i="1"/>
  <c r="D1230" i="1"/>
  <c r="D1276" i="1"/>
  <c r="D1273" i="1"/>
  <c r="D1297" i="1"/>
  <c r="D656" i="1"/>
  <c r="D657" i="1"/>
  <c r="D1302" i="1"/>
  <c r="D1305" i="1"/>
  <c r="D658" i="1"/>
  <c r="D659" i="1"/>
  <c r="D660" i="1"/>
  <c r="D671" i="1"/>
  <c r="D662" i="1"/>
  <c r="D631" i="1"/>
  <c r="D632" i="1"/>
  <c r="D633" i="1"/>
  <c r="D634" i="1"/>
  <c r="D543" i="1"/>
  <c r="D544" i="1"/>
  <c r="D16" i="1"/>
  <c r="D568" i="1"/>
  <c r="D1093" i="1"/>
  <c r="D8" i="1"/>
  <c r="D807" i="1"/>
  <c r="D687" i="1"/>
  <c r="D688" i="1"/>
  <c r="D689" i="1"/>
  <c r="D690" i="1"/>
  <c r="D691" i="1"/>
  <c r="D692" i="1"/>
  <c r="D596" i="1"/>
  <c r="D557" i="1"/>
  <c r="D611" i="1"/>
  <c r="D621" i="1"/>
  <c r="D62" i="1"/>
  <c r="D564" i="1"/>
  <c r="D566" i="1"/>
  <c r="D572" i="1"/>
  <c r="D581" i="1"/>
  <c r="D583" i="1"/>
  <c r="D588" i="1"/>
  <c r="D590" i="1"/>
  <c r="D569" i="1"/>
  <c r="D670" i="1"/>
  <c r="D727" i="1"/>
  <c r="D613" i="1"/>
  <c r="D614" i="1"/>
  <c r="D628" i="1"/>
  <c r="D695" i="1"/>
  <c r="D742" i="1"/>
  <c r="D665" i="1"/>
  <c r="D697" i="1"/>
  <c r="D110" i="1"/>
  <c r="D740" i="1"/>
  <c r="D1095" i="1"/>
  <c r="D751" i="1"/>
  <c r="D759" i="1"/>
  <c r="D761" i="1"/>
  <c r="D730" i="1"/>
  <c r="D1096" i="1"/>
  <c r="D116" i="1"/>
  <c r="D24" i="1"/>
  <c r="D805" i="1"/>
  <c r="D808" i="1"/>
  <c r="D840" i="1"/>
  <c r="D701" i="1"/>
  <c r="D702" i="1"/>
  <c r="D769" i="1"/>
  <c r="D773" i="1"/>
  <c r="D705" i="1"/>
  <c r="D706" i="1"/>
  <c r="D707" i="1"/>
  <c r="D708" i="1"/>
  <c r="D401" i="1"/>
  <c r="D828" i="1"/>
  <c r="D853" i="1"/>
  <c r="D711" i="1"/>
  <c r="D1097" i="1"/>
  <c r="D856" i="1"/>
  <c r="D785" i="1"/>
  <c r="D574" i="1"/>
  <c r="D576" i="1"/>
  <c r="D592" i="1"/>
  <c r="D412" i="1"/>
  <c r="D714" i="1"/>
  <c r="D578" i="1"/>
  <c r="D579" i="1"/>
  <c r="D862" i="1"/>
  <c r="D866" i="1"/>
  <c r="D1209" i="1"/>
  <c r="D715" i="1"/>
  <c r="D716" i="1"/>
  <c r="D775" i="1"/>
  <c r="D876" i="1"/>
  <c r="D580" i="1"/>
  <c r="D720" i="1"/>
  <c r="D584" i="1"/>
  <c r="D1098" i="1"/>
  <c r="D1139" i="1"/>
  <c r="D721" i="1"/>
  <c r="D722" i="1"/>
  <c r="D845" i="1"/>
  <c r="D882" i="1"/>
  <c r="D851" i="1"/>
  <c r="D585" i="1"/>
  <c r="D432" i="1"/>
  <c r="D1101" i="1"/>
  <c r="D586" i="1"/>
  <c r="D587" i="1"/>
  <c r="D591" i="1"/>
  <c r="D600" i="1"/>
  <c r="D725" i="1"/>
  <c r="D778" i="1"/>
  <c r="D1102" i="1"/>
  <c r="D909" i="1"/>
  <c r="D728" i="1"/>
  <c r="D452" i="1"/>
  <c r="D813" i="1"/>
  <c r="D1103" i="1"/>
  <c r="D731" i="1"/>
  <c r="D798" i="1"/>
  <c r="D607" i="1"/>
  <c r="D732" i="1"/>
  <c r="D1212" i="1"/>
  <c r="D612" i="1"/>
  <c r="D735" i="1"/>
  <c r="D736" i="1"/>
  <c r="D738" i="1"/>
  <c r="D966" i="1"/>
  <c r="D1038" i="1"/>
  <c r="D741" i="1"/>
  <c r="D745" i="1"/>
  <c r="D1214" i="1"/>
  <c r="D647" i="1"/>
  <c r="D748" i="1"/>
  <c r="D1043" i="1"/>
  <c r="D1049" i="1"/>
  <c r="D1073" i="1"/>
  <c r="D749" i="1"/>
  <c r="D608" i="1"/>
  <c r="D1105" i="1"/>
  <c r="D609" i="1"/>
  <c r="D679" i="1"/>
  <c r="D1106" i="1"/>
  <c r="D681" i="1"/>
  <c r="D1107" i="1"/>
  <c r="D1180" i="1"/>
  <c r="D1109" i="1"/>
  <c r="D682" i="1"/>
  <c r="D683" i="1"/>
  <c r="D693" i="1"/>
  <c r="D698" i="1"/>
  <c r="D709" i="1"/>
  <c r="D605" i="1"/>
  <c r="D884" i="1"/>
  <c r="D758" i="1"/>
  <c r="D768" i="1"/>
  <c r="D1086" i="1"/>
  <c r="D787" i="1"/>
  <c r="D763" i="1"/>
  <c r="D643" i="1"/>
  <c r="D788" i="1"/>
  <c r="D1112" i="1"/>
  <c r="D644" i="1"/>
  <c r="D765" i="1"/>
  <c r="D814" i="1"/>
  <c r="D818" i="1"/>
  <c r="D820" i="1"/>
  <c r="D898" i="1"/>
  <c r="D873" i="1"/>
  <c r="D649" i="1"/>
  <c r="D610" i="1"/>
  <c r="D1100" i="1"/>
  <c r="D878" i="1"/>
  <c r="D772" i="1"/>
  <c r="D1111" i="1"/>
  <c r="D900" i="1"/>
  <c r="D880" i="1"/>
  <c r="D905" i="1"/>
  <c r="D917" i="1"/>
  <c r="D886" i="1"/>
  <c r="D776" i="1"/>
  <c r="D34" i="1"/>
  <c r="D36" i="1"/>
  <c r="D64" i="1"/>
  <c r="D897" i="1"/>
  <c r="D78" i="1"/>
  <c r="D58" i="1"/>
  <c r="D821" i="1"/>
  <c r="D918" i="1"/>
  <c r="D779" i="1"/>
  <c r="D953" i="1"/>
  <c r="D1006" i="1"/>
  <c r="D960" i="1"/>
  <c r="D1234" i="1"/>
  <c r="D1008" i="1"/>
  <c r="D940" i="1"/>
  <c r="D92" i="1"/>
  <c r="D98" i="1"/>
  <c r="D167" i="1"/>
  <c r="D181" i="1"/>
  <c r="D1122" i="1"/>
  <c r="D83" i="1"/>
  <c r="D71" i="1"/>
  <c r="D73" i="1"/>
  <c r="D447" i="1"/>
  <c r="D79" i="1"/>
  <c r="D385" i="1"/>
  <c r="D12" i="1"/>
  <c r="D17" i="1"/>
  <c r="D997" i="1"/>
  <c r="D975" i="1"/>
  <c r="D957" i="1"/>
  <c r="D1000" i="1"/>
  <c r="D1002" i="1"/>
  <c r="D789" i="1"/>
  <c r="D1010" i="1"/>
  <c r="D1031" i="1"/>
  <c r="D1033" i="1"/>
  <c r="D1003" i="1"/>
  <c r="D1040" i="1"/>
  <c r="D1135" i="1"/>
  <c r="D1156" i="1"/>
  <c r="D1005" i="1"/>
  <c r="D1048" i="1"/>
  <c r="D1055" i="1"/>
  <c r="D1013" i="1"/>
  <c r="D1152" i="1"/>
  <c r="D1164" i="1"/>
  <c r="D1104" i="1"/>
  <c r="D1057" i="1"/>
  <c r="D794" i="1"/>
  <c r="D1017" i="1"/>
  <c r="D1118" i="1"/>
  <c r="D1136" i="1"/>
  <c r="D1155" i="1"/>
  <c r="D796" i="1"/>
  <c r="D797" i="1"/>
  <c r="D1175" i="1"/>
  <c r="D539" i="1"/>
  <c r="D546" i="1"/>
  <c r="D547" i="1"/>
  <c r="D548" i="1"/>
  <c r="D615" i="1"/>
  <c r="D99" i="1"/>
  <c r="D101" i="1"/>
  <c r="D1076" i="1"/>
  <c r="D1077" i="1"/>
  <c r="D1084" i="1"/>
  <c r="D616" i="1"/>
  <c r="D827" i="1"/>
  <c r="D655" i="1"/>
  <c r="D618" i="1"/>
  <c r="D620" i="1"/>
  <c r="D1119" i="1"/>
  <c r="D549" i="1"/>
  <c r="D1171" i="1"/>
  <c r="D1172" i="1"/>
  <c r="D1216" i="1"/>
  <c r="D1184" i="1"/>
  <c r="D1081" i="1"/>
  <c r="D801" i="1"/>
  <c r="D1243" i="1"/>
  <c r="D804" i="1"/>
  <c r="D1246" i="1"/>
  <c r="D1248" i="1"/>
  <c r="D1087" i="1"/>
  <c r="D810" i="1"/>
  <c r="D1179" i="1"/>
  <c r="D661" i="1"/>
  <c r="D664" i="1"/>
  <c r="D811" i="1"/>
  <c r="D624" i="1"/>
  <c r="D1121" i="1"/>
  <c r="D625" i="1"/>
  <c r="D1070" i="1"/>
  <c r="D1072" i="1"/>
  <c r="D1218" i="1"/>
  <c r="D1110" i="1"/>
  <c r="D1265" i="1"/>
  <c r="D815" i="1"/>
  <c r="D1125" i="1"/>
  <c r="D1269" i="1"/>
  <c r="D1204" i="1"/>
  <c r="D1206" i="1"/>
  <c r="D1188" i="1"/>
  <c r="D1127" i="1"/>
  <c r="D626" i="1"/>
  <c r="D1142" i="1"/>
  <c r="D1144" i="1"/>
  <c r="D627" i="1"/>
  <c r="D1145" i="1"/>
  <c r="D629" i="1"/>
  <c r="D1146" i="1"/>
  <c r="D1147" i="1"/>
  <c r="D1186" i="1"/>
  <c r="D555" i="1"/>
  <c r="D556" i="1"/>
  <c r="D558" i="1"/>
  <c r="D559" i="1"/>
  <c r="D560" i="1"/>
  <c r="D483" i="1"/>
  <c r="D492" i="1"/>
  <c r="D515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379" i="1" l="1"/>
  <c r="I1" i="1" l="1"/>
  <c r="D1210" i="1"/>
  <c r="D496" i="1"/>
  <c r="D462" i="1"/>
  <c r="D1292" i="1"/>
  <c r="D464" i="1"/>
  <c r="D121" i="1"/>
  <c r="D10" i="1"/>
  <c r="D122" i="1"/>
  <c r="D126" i="1"/>
  <c r="D124" i="1"/>
  <c r="D14" i="1"/>
  <c r="D125" i="1"/>
  <c r="D153" i="1"/>
  <c r="D127" i="1"/>
  <c r="D128" i="1"/>
  <c r="D129" i="1"/>
  <c r="D130" i="1"/>
  <c r="D131" i="1"/>
  <c r="D132" i="1"/>
  <c r="D133" i="1"/>
  <c r="D23" i="1"/>
  <c r="D134" i="1"/>
  <c r="D47" i="1"/>
  <c r="D135" i="1"/>
  <c r="D49" i="1"/>
  <c r="D136" i="1"/>
  <c r="D138" i="1"/>
  <c r="D137" i="1"/>
  <c r="D31" i="1"/>
  <c r="D139" i="1"/>
  <c r="D33" i="1"/>
  <c r="D140" i="1"/>
  <c r="D157" i="1"/>
  <c r="D141" i="1"/>
  <c r="D142" i="1"/>
  <c r="D143" i="1"/>
  <c r="D39" i="1"/>
  <c r="D144" i="1"/>
  <c r="D41" i="1"/>
  <c r="D145" i="1"/>
  <c r="D160" i="1"/>
  <c r="D147" i="1"/>
  <c r="D45" i="1"/>
  <c r="D148" i="1"/>
  <c r="D208" i="1"/>
  <c r="D149" i="1"/>
  <c r="D209" i="1"/>
  <c r="D150" i="1"/>
  <c r="D51" i="1"/>
  <c r="D151" i="1"/>
  <c r="D53" i="1"/>
  <c r="D152" i="1"/>
  <c r="D362" i="1"/>
  <c r="D154" i="1"/>
  <c r="D57" i="1"/>
  <c r="D155" i="1"/>
  <c r="D59" i="1"/>
  <c r="D156" i="1"/>
  <c r="D61" i="1"/>
  <c r="D158" i="1"/>
  <c r="D63" i="1"/>
  <c r="D159" i="1"/>
  <c r="D65" i="1"/>
  <c r="D161" i="1"/>
  <c r="D364" i="1"/>
  <c r="D163" i="1"/>
  <c r="D164" i="1"/>
  <c r="D165" i="1"/>
  <c r="D166" i="1"/>
  <c r="D381" i="1"/>
  <c r="D413" i="1"/>
  <c r="D411" i="1"/>
  <c r="D1277" i="1"/>
  <c r="D1293" i="1"/>
  <c r="D74" i="1"/>
  <c r="D1255" i="1"/>
  <c r="D75" i="1"/>
  <c r="D76" i="1"/>
  <c r="D168" i="1"/>
  <c r="D1294" i="1"/>
  <c r="D480" i="1"/>
  <c r="D481" i="1"/>
  <c r="D409" i="1"/>
  <c r="D374" i="1"/>
  <c r="D389" i="1"/>
  <c r="D77" i="1"/>
  <c r="D169" i="1"/>
  <c r="D170" i="1"/>
  <c r="D171" i="1"/>
  <c r="D224" i="1"/>
  <c r="D593" i="1"/>
  <c r="D18" i="1"/>
  <c r="D19" i="1"/>
  <c r="D718" i="1"/>
  <c r="D375" i="1"/>
  <c r="D1272" i="1"/>
  <c r="D395" i="1"/>
  <c r="D182" i="1"/>
  <c r="D20" i="1"/>
  <c r="D1279" i="1"/>
  <c r="D466" i="1"/>
  <c r="D516" i="1"/>
  <c r="D1280" i="1"/>
  <c r="D173" i="1"/>
  <c r="D174" i="1"/>
  <c r="D175" i="1"/>
  <c r="D176" i="1"/>
  <c r="D177" i="1"/>
  <c r="D178" i="1"/>
  <c r="D1067" i="1"/>
  <c r="D535" i="1"/>
  <c r="D431" i="1"/>
  <c r="D415" i="1"/>
  <c r="D378" i="1"/>
  <c r="D416" i="1"/>
  <c r="D417" i="1"/>
  <c r="D418" i="1"/>
  <c r="D419" i="1"/>
  <c r="D420" i="1"/>
  <c r="D421" i="1"/>
  <c r="D1283" i="1"/>
  <c r="D396" i="1"/>
  <c r="D397" i="1"/>
  <c r="D636" i="1"/>
  <c r="D21" i="1"/>
  <c r="D82" i="1"/>
  <c r="D733" i="1"/>
  <c r="D1309" i="1"/>
  <c r="D503" i="1"/>
  <c r="D504" i="1"/>
  <c r="D506" i="1"/>
  <c r="D507" i="1"/>
  <c r="D1310" i="1"/>
  <c r="D1291" i="1"/>
  <c r="D1289" i="1"/>
  <c r="D27" i="1"/>
  <c r="D1256" i="1"/>
  <c r="D393" i="1"/>
  <c r="D22" i="1"/>
  <c r="D84" i="1"/>
  <c r="D85" i="1"/>
  <c r="D1235" i="1"/>
  <c r="D1278" i="1"/>
  <c r="D382" i="1"/>
  <c r="D1258" i="1"/>
  <c r="D904" i="1"/>
  <c r="D271" i="1"/>
  <c r="D398" i="1"/>
  <c r="D6" i="1"/>
  <c r="D7" i="1"/>
  <c r="D117" i="1"/>
  <c r="D1211" i="1"/>
  <c r="D497" i="1"/>
  <c r="D414" i="1"/>
  <c r="D1295" i="1"/>
  <c r="D123" i="1"/>
  <c r="D218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10" i="1"/>
  <c r="D211" i="1"/>
  <c r="D212" i="1"/>
  <c r="D213" i="1"/>
  <c r="D214" i="1"/>
  <c r="D215" i="1"/>
  <c r="D498" i="1"/>
  <c r="D1281" i="1"/>
  <c r="D490" i="1"/>
  <c r="D427" i="1"/>
  <c r="D470" i="1"/>
  <c r="D1236" i="1"/>
  <c r="D1254" i="1"/>
  <c r="D88" i="1"/>
  <c r="D89" i="1"/>
  <c r="D217" i="1"/>
  <c r="D1296" i="1"/>
  <c r="D1298" i="1"/>
  <c r="D1299" i="1"/>
  <c r="D90" i="1"/>
  <c r="D1249" i="1"/>
  <c r="D220" i="1"/>
  <c r="D1237" i="1"/>
  <c r="D29" i="1"/>
  <c r="D25" i="1"/>
  <c r="D1260" i="1"/>
  <c r="D1208" i="1"/>
  <c r="D802" i="1"/>
  <c r="D399" i="1"/>
  <c r="D221" i="1"/>
  <c r="D28" i="1"/>
  <c r="D1267" i="1"/>
  <c r="D944" i="1"/>
  <c r="D476" i="1"/>
  <c r="D384" i="1"/>
  <c r="D222" i="1"/>
  <c r="D223" i="1"/>
  <c r="D747" i="1"/>
  <c r="D226" i="1"/>
  <c r="D227" i="1"/>
  <c r="D225" i="1"/>
  <c r="D487" i="1"/>
  <c r="D488" i="1"/>
  <c r="D428" i="1"/>
  <c r="D238" i="1"/>
  <c r="D806" i="1"/>
  <c r="D429" i="1"/>
  <c r="D246" i="1"/>
  <c r="D430" i="1"/>
  <c r="D437" i="1"/>
  <c r="D1282" i="1"/>
  <c r="D247" i="1"/>
  <c r="D400" i="1"/>
  <c r="D236" i="1"/>
  <c r="D30" i="1"/>
  <c r="D541" i="1"/>
  <c r="D94" i="1"/>
  <c r="D1311" i="1"/>
  <c r="D510" i="1"/>
  <c r="D1312" i="1"/>
  <c r="D512" i="1"/>
  <c r="D262" i="1"/>
  <c r="D35" i="1"/>
  <c r="D228" i="1"/>
  <c r="D32" i="1"/>
  <c r="D95" i="1"/>
  <c r="D96" i="1"/>
  <c r="D386" i="1"/>
  <c r="D230" i="1"/>
  <c r="D781" i="1"/>
  <c r="D1274" i="1"/>
  <c r="D9" i="1"/>
  <c r="D11" i="1"/>
  <c r="D1207" i="1"/>
  <c r="D1213" i="1"/>
  <c r="D499" i="1"/>
  <c r="D472" i="1"/>
  <c r="D229" i="1"/>
  <c r="D233" i="1"/>
  <c r="D234" i="1"/>
  <c r="D235" i="1"/>
  <c r="D237" i="1"/>
  <c r="D239" i="1"/>
  <c r="D240" i="1"/>
  <c r="D241" i="1"/>
  <c r="D242" i="1"/>
  <c r="D243" i="1"/>
  <c r="D244" i="1"/>
  <c r="D245" i="1"/>
  <c r="D248" i="1"/>
  <c r="D249" i="1"/>
  <c r="D250" i="1"/>
  <c r="D251" i="1"/>
  <c r="D252" i="1"/>
  <c r="D327" i="1"/>
  <c r="D254" i="1"/>
  <c r="D255" i="1"/>
  <c r="D256" i="1"/>
  <c r="D257" i="1"/>
  <c r="D258" i="1"/>
  <c r="D259" i="1"/>
  <c r="D260" i="1"/>
  <c r="D363" i="1"/>
  <c r="D263" i="1"/>
  <c r="D264" i="1"/>
  <c r="D265" i="1"/>
  <c r="D266" i="1"/>
  <c r="D267" i="1"/>
  <c r="D268" i="1"/>
  <c r="D1307" i="1"/>
  <c r="D433" i="1"/>
  <c r="D3" i="1"/>
  <c r="D473" i="1"/>
  <c r="D97" i="1"/>
  <c r="D269" i="1"/>
  <c r="D5" i="1"/>
  <c r="D1241" i="1"/>
  <c r="D270" i="1"/>
  <c r="D489" i="1"/>
  <c r="D1303" i="1"/>
  <c r="D1300" i="1"/>
  <c r="D100" i="1"/>
  <c r="D4" i="1"/>
  <c r="D43" i="1"/>
  <c r="D1261" i="1"/>
  <c r="D37" i="1"/>
  <c r="D485" i="1"/>
  <c r="D387" i="1"/>
  <c r="D402" i="1"/>
  <c r="D310" i="1"/>
  <c r="D38" i="1"/>
  <c r="D1286" i="1"/>
  <c r="D474" i="1"/>
  <c r="D388" i="1"/>
  <c r="D272" i="1"/>
  <c r="D273" i="1"/>
  <c r="D274" i="1"/>
  <c r="D275" i="1"/>
  <c r="D276" i="1"/>
  <c r="D277" i="1"/>
  <c r="D278" i="1"/>
  <c r="D536" i="1"/>
  <c r="D1287" i="1"/>
  <c r="D436" i="1"/>
  <c r="D308" i="1"/>
  <c r="D467" i="1"/>
  <c r="D438" i="1"/>
  <c r="D439" i="1"/>
  <c r="D440" i="1"/>
  <c r="D441" i="1"/>
  <c r="D1275" i="1"/>
  <c r="D404" i="1"/>
  <c r="D40" i="1"/>
  <c r="D663" i="1"/>
  <c r="D1232" i="1"/>
  <c r="D513" i="1"/>
  <c r="D1313" i="1"/>
  <c r="D329" i="1"/>
  <c r="D104" i="1"/>
  <c r="D279" i="1"/>
  <c r="D42" i="1"/>
  <c r="D105" i="1"/>
  <c r="D1245" i="1"/>
  <c r="D13" i="1"/>
  <c r="D15" i="1"/>
  <c r="D219" i="1"/>
  <c r="D1215" i="1"/>
  <c r="D501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72" i="1"/>
  <c r="D146" i="1"/>
  <c r="D475" i="1"/>
  <c r="D1263" i="1"/>
  <c r="D1247" i="1"/>
  <c r="D309" i="1"/>
  <c r="D1301" i="1"/>
  <c r="D70" i="1"/>
  <c r="D1238" i="1"/>
  <c r="D232" i="1"/>
  <c r="D405" i="1"/>
  <c r="D373" i="1"/>
  <c r="D46" i="1"/>
  <c r="D1285" i="1"/>
  <c r="D477" i="1"/>
  <c r="D391" i="1"/>
  <c r="D311" i="1"/>
  <c r="D312" i="1"/>
  <c r="D313" i="1"/>
  <c r="D314" i="1"/>
  <c r="D315" i="1"/>
  <c r="D316" i="1"/>
  <c r="D494" i="1"/>
  <c r="D443" i="1"/>
  <c r="D444" i="1"/>
  <c r="D1262" i="1"/>
  <c r="D445" i="1"/>
  <c r="D446" i="1"/>
  <c r="D1290" i="1"/>
  <c r="D406" i="1"/>
  <c r="D111" i="1"/>
  <c r="D537" i="1"/>
  <c r="D448" i="1"/>
  <c r="D342" i="1"/>
  <c r="D112" i="1"/>
  <c r="D317" i="1"/>
  <c r="D48" i="1"/>
  <c r="D113" i="1"/>
  <c r="D114" i="1"/>
  <c r="D1217" i="1"/>
  <c r="D1308" i="1"/>
  <c r="D318" i="1"/>
  <c r="D319" i="1"/>
  <c r="D162" i="1"/>
  <c r="D321" i="1"/>
  <c r="D322" i="1"/>
  <c r="D323" i="1"/>
  <c r="D324" i="1"/>
  <c r="D325" i="1"/>
  <c r="D261" i="1"/>
  <c r="D320" i="1"/>
  <c r="D328" i="1"/>
  <c r="D330" i="1"/>
  <c r="D358" i="1"/>
  <c r="D332" i="1"/>
  <c r="D333" i="1"/>
  <c r="D334" i="1"/>
  <c r="D335" i="1"/>
  <c r="D336" i="1"/>
  <c r="D478" i="1"/>
  <c r="D1304" i="1"/>
  <c r="D115" i="1"/>
  <c r="D337" i="1"/>
  <c r="D80" i="1"/>
  <c r="D407" i="1"/>
  <c r="D52" i="1"/>
  <c r="D449" i="1"/>
  <c r="D408" i="1"/>
  <c r="D450" i="1"/>
  <c r="D451" i="1"/>
  <c r="D1315" i="1"/>
  <c r="D453" i="1"/>
  <c r="D454" i="1"/>
  <c r="D1264" i="1"/>
  <c r="D338" i="1"/>
  <c r="D54" i="1"/>
  <c r="D1252" i="1"/>
  <c r="D119" i="1"/>
  <c r="D1219" i="1"/>
  <c r="D183" i="1"/>
  <c r="D340" i="1"/>
  <c r="D341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120" i="1"/>
  <c r="D410" i="1"/>
  <c r="D390" i="1"/>
  <c r="D455" i="1"/>
  <c r="D355" i="1"/>
  <c r="D56" i="1"/>
  <c r="D426" i="1"/>
  <c r="D392" i="1"/>
  <c r="D1220" i="1"/>
  <c r="D356" i="1"/>
  <c r="D357" i="1"/>
  <c r="D253" i="1"/>
  <c r="D359" i="1"/>
  <c r="D360" i="1"/>
  <c r="D326" i="1"/>
  <c r="D331" i="1"/>
  <c r="D339" i="1"/>
  <c r="D361" i="1"/>
  <c r="D365" i="1"/>
  <c r="D366" i="1"/>
  <c r="D456" i="1"/>
  <c r="D457" i="1"/>
  <c r="D367" i="1"/>
  <c r="D60" i="1"/>
  <c r="D1221" i="1"/>
  <c r="D368" i="1"/>
  <c r="D458" i="1"/>
  <c r="D1222" i="1"/>
  <c r="D1223" i="1"/>
  <c r="D369" i="1"/>
  <c r="D459" i="1"/>
  <c r="D1224" i="1"/>
  <c r="D370" i="1"/>
  <c r="D460" i="1"/>
  <c r="D1225" i="1"/>
  <c r="D371" i="1"/>
  <c r="D461" i="1"/>
  <c r="D1226" i="1"/>
  <c r="D372" i="1"/>
  <c r="D1227" i="1"/>
  <c r="D1228" i="1"/>
  <c r="D1229" i="1"/>
</calcChain>
</file>

<file path=xl/sharedStrings.xml><?xml version="1.0" encoding="utf-8"?>
<sst xmlns="http://schemas.openxmlformats.org/spreadsheetml/2006/main" count="9334" uniqueCount="2014">
  <si>
    <t>Project Code</t>
  </si>
  <si>
    <t>Drawing No.</t>
  </si>
  <si>
    <t>Spool No</t>
  </si>
  <si>
    <t>MSN no.</t>
  </si>
  <si>
    <t>Paint System</t>
  </si>
  <si>
    <t>Description</t>
  </si>
  <si>
    <t>Total Qty</t>
  </si>
  <si>
    <t>Inch Dia</t>
  </si>
  <si>
    <t>Spool Size</t>
  </si>
  <si>
    <t>TJ/25-26/184</t>
  </si>
  <si>
    <t/>
  </si>
  <si>
    <t>Spool</t>
  </si>
  <si>
    <t>V17551-PIND-0002</t>
  </si>
  <si>
    <t>SHA-1030-01</t>
  </si>
  <si>
    <t>V17551-PIND-0010</t>
  </si>
  <si>
    <t>V17551-PIND-0010-01</t>
  </si>
  <si>
    <t>P5,P1</t>
  </si>
  <si>
    <t>V17551-PIND-0011</t>
  </si>
  <si>
    <t>V17551-PIND-0011-01</t>
  </si>
  <si>
    <t>V17551-PIND-0012</t>
  </si>
  <si>
    <t>V17551-PIND-0012-01</t>
  </si>
  <si>
    <t>V17551-PIND-0013</t>
  </si>
  <si>
    <t>V17551-PIND-0013-01</t>
  </si>
  <si>
    <t>V17551-PIND-0014</t>
  </si>
  <si>
    <t>V17551-PIND-0014-01</t>
  </si>
  <si>
    <t>P5</t>
  </si>
  <si>
    <t>V17551-PIND-0015</t>
  </si>
  <si>
    <t>V17551-PIND-0015-01</t>
  </si>
  <si>
    <t>V17551-PIND-0016</t>
  </si>
  <si>
    <t>V17551-PIND-0016-01</t>
  </si>
  <si>
    <t>V17551-PIND-0017</t>
  </si>
  <si>
    <t>V17551-PIND-0017-01</t>
  </si>
  <si>
    <t>V17551-PIND-0018</t>
  </si>
  <si>
    <t>V17551-PIND-0018-01</t>
  </si>
  <si>
    <t>V17551-PIND-0019</t>
  </si>
  <si>
    <t>V17551-PIND-0019-01</t>
  </si>
  <si>
    <t>V17551-PIND-0020</t>
  </si>
  <si>
    <t>V17551-PIND-0020-01</t>
  </si>
  <si>
    <t>V17551-PIND-0021</t>
  </si>
  <si>
    <t>V17551-PIND-0021-01</t>
  </si>
  <si>
    <t>V17551-PIND-0022</t>
  </si>
  <si>
    <t>V17551-PIND-0022-01</t>
  </si>
  <si>
    <t>V17551-PIND-0023</t>
  </si>
  <si>
    <t>V17551-PIND-0023-01</t>
  </si>
  <si>
    <t>V17551-PIND-0024</t>
  </si>
  <si>
    <t>V17551-PIND-0024-01</t>
  </si>
  <si>
    <t>V17551-PIND-0025</t>
  </si>
  <si>
    <t>V17551-PIND-0025-01</t>
  </si>
  <si>
    <t>V17551-PIND-0026</t>
  </si>
  <si>
    <t>V17551-PIND-0026-01</t>
  </si>
  <si>
    <t>V17551-PIND-0027</t>
  </si>
  <si>
    <t>V17551-PIND-0027-01</t>
  </si>
  <si>
    <t>V17551-PIND-0028</t>
  </si>
  <si>
    <t>V17551-PIND-0028-01</t>
  </si>
  <si>
    <t>V17551-PIND-0029</t>
  </si>
  <si>
    <t>V17551-PIND-0029-01</t>
  </si>
  <si>
    <t>V17551-PIND-0030</t>
  </si>
  <si>
    <t>V17551-PIND-0030-01</t>
  </si>
  <si>
    <t>V17551-PIND-0031</t>
  </si>
  <si>
    <t>V17551-PIND-0031-01</t>
  </si>
  <si>
    <t>V17551-PIND-0032</t>
  </si>
  <si>
    <t>V17551-PIND-0032-01</t>
  </si>
  <si>
    <t>V17551-PIND-0033</t>
  </si>
  <si>
    <t>V17551-PIND-0033-01</t>
  </si>
  <si>
    <t>V17551-PIND-0034</t>
  </si>
  <si>
    <t>V17551-PIND-0034-01</t>
  </si>
  <si>
    <t>V17551-PIND-0035</t>
  </si>
  <si>
    <t>V17551-PIND-0035-01</t>
  </si>
  <si>
    <t>V17551-PIND-0036</t>
  </si>
  <si>
    <t>V17551-PIND-0036-01</t>
  </si>
  <si>
    <t>V17551-PIND-0037</t>
  </si>
  <si>
    <t>V17551-PIND-0037-01</t>
  </si>
  <si>
    <t>V17551-PIND-0038</t>
  </si>
  <si>
    <t>V17551-PIND-0038-01</t>
  </si>
  <si>
    <t>V17551-PIND-0039</t>
  </si>
  <si>
    <t>V17551-PIND-0039-01</t>
  </si>
  <si>
    <t>V17551-PIND-0040</t>
  </si>
  <si>
    <t>V17551-PIND-0040-01</t>
  </si>
  <si>
    <t>V17551-PIND-0041</t>
  </si>
  <si>
    <t>V17551-PIND-0041-01</t>
  </si>
  <si>
    <t>V17551-PIND-0042</t>
  </si>
  <si>
    <t>V17551-PIND-0042-01</t>
  </si>
  <si>
    <t>V17551-PIND-0043</t>
  </si>
  <si>
    <t>V17551-PIND-0043-01</t>
  </si>
  <si>
    <t>V17551-PIND-0044</t>
  </si>
  <si>
    <t>V17551-PIND-0044-01</t>
  </si>
  <si>
    <t>V17551-PIND-0045</t>
  </si>
  <si>
    <t>V17551-PIND-0045-01</t>
  </si>
  <si>
    <t>V17551-PIND-0046</t>
  </si>
  <si>
    <t>V17551-PIND-0046-01</t>
  </si>
  <si>
    <t>V17551-PIND-0047</t>
  </si>
  <si>
    <t>V17551-PIND-0047-01</t>
  </si>
  <si>
    <t>V17551-PIND-0048</t>
  </si>
  <si>
    <t>V17551-PIND-0048-01</t>
  </si>
  <si>
    <t>V17551-PIND-0049</t>
  </si>
  <si>
    <t>V17551-PIND-0049-01</t>
  </si>
  <si>
    <t>V17551-PIND-0050</t>
  </si>
  <si>
    <t>V17551-PIND-0050-01</t>
  </si>
  <si>
    <t>V17551-PIND-0051</t>
  </si>
  <si>
    <t>V17551-PIND-0051-01</t>
  </si>
  <si>
    <t>V17551-PIND-0052</t>
  </si>
  <si>
    <t>V17551-PIND-0052-01</t>
  </si>
  <si>
    <t>V17551-PIND-0053</t>
  </si>
  <si>
    <t>V17551-PIND-0053-01</t>
  </si>
  <si>
    <t>V17551-PIND-0054</t>
  </si>
  <si>
    <t>V17551-PIND-0054-01</t>
  </si>
  <si>
    <t>V17551-PIND-0055</t>
  </si>
  <si>
    <t>V17551-PIND-0055-01</t>
  </si>
  <si>
    <t>V17551-PIND-0056</t>
  </si>
  <si>
    <t>V17551-PIND-0056-01</t>
  </si>
  <si>
    <t>V17551-PIND-0057</t>
  </si>
  <si>
    <t>V17551-PIND-0057-01</t>
  </si>
  <si>
    <t>V17551-PIND-0058</t>
  </si>
  <si>
    <t>V17551-PIND-0058-01</t>
  </si>
  <si>
    <t>V17551-PIND-0059</t>
  </si>
  <si>
    <t>V17551-PIND-0059-01</t>
  </si>
  <si>
    <t>V17551-PIND-0060</t>
  </si>
  <si>
    <t>V17551-PIND-0060-01</t>
  </si>
  <si>
    <t>V17551-PIND-0061</t>
  </si>
  <si>
    <t>V17551-PIND-0061-01</t>
  </si>
  <si>
    <t>V17551-PIND-0062</t>
  </si>
  <si>
    <t>V17551-PIND-0062-01</t>
  </si>
  <si>
    <t>V17551-PIND-0063</t>
  </si>
  <si>
    <t>V17551-PIND-0063-01</t>
  </si>
  <si>
    <t>V17551-PIND-0064</t>
  </si>
  <si>
    <t>V17551-PIND-0064-01</t>
  </si>
  <si>
    <t>V17551-PIND-0065</t>
  </si>
  <si>
    <t>V17551-PIND-0065-01</t>
  </si>
  <si>
    <t>V17551-PIND-0066</t>
  </si>
  <si>
    <t>V17551-PIND-0066-01</t>
  </si>
  <si>
    <t>V17551-PIND-0067</t>
  </si>
  <si>
    <t>V17551-PIND-0067-01</t>
  </si>
  <si>
    <t>V17551-PIND-0068</t>
  </si>
  <si>
    <t>V17551-PIND-0068-01</t>
  </si>
  <si>
    <t>V17551-PIND-0069</t>
  </si>
  <si>
    <t>V17551-PIND-0069-01</t>
  </si>
  <si>
    <t>V17551-PIND-0070</t>
  </si>
  <si>
    <t>V17551-PIND-0070-01</t>
  </si>
  <si>
    <t>V17551-PIND-0071</t>
  </si>
  <si>
    <t>V17551-PIND-0071-01</t>
  </si>
  <si>
    <t>V17551-PIND-0072</t>
  </si>
  <si>
    <t>V17551-PIND-0072-01</t>
  </si>
  <si>
    <t>V17551-PIND-0073</t>
  </si>
  <si>
    <t>V17551-PIND-0073-01</t>
  </si>
  <si>
    <t>V17551-PIND-0074</t>
  </si>
  <si>
    <t>V17551-PIND-0074-01</t>
  </si>
  <si>
    <t>V17551-PIND-0075</t>
  </si>
  <si>
    <t>V17551-PIND-0075-01</t>
  </si>
  <si>
    <t>V17551-PIND-0076</t>
  </si>
  <si>
    <t>V17551-PIND-0076-01</t>
  </si>
  <si>
    <t>V17551-PIND-0077</t>
  </si>
  <si>
    <t>V17551-PIND-0077-01</t>
  </si>
  <si>
    <t>V17551-PIND-0078</t>
  </si>
  <si>
    <t>V17551-PIND-0078-01</t>
  </si>
  <si>
    <t>V17551-PIND-0079</t>
  </si>
  <si>
    <t>V17551-PIND-0079-01</t>
  </si>
  <si>
    <t>V17551-PIND-0080</t>
  </si>
  <si>
    <t>V17551-PIND-0080-01</t>
  </si>
  <si>
    <t>V17551-PIND-0081</t>
  </si>
  <si>
    <t>V17551-PIND-0081-01</t>
  </si>
  <si>
    <t>S-5076</t>
  </si>
  <si>
    <t>V17551-PIND-0082</t>
  </si>
  <si>
    <t>V17551-PIND-0082-01</t>
  </si>
  <si>
    <t>S-5078</t>
  </si>
  <si>
    <t>V17551-PIND-0083</t>
  </si>
  <si>
    <t>V17551-PIND-0083-01</t>
  </si>
  <si>
    <t>S-5083</t>
  </si>
  <si>
    <t>V17551-PIND-0084</t>
  </si>
  <si>
    <t>V17551-PIND-0084-03</t>
  </si>
  <si>
    <t>V17551-PIND-0085</t>
  </si>
  <si>
    <t>V17551-PIND-0085-01</t>
  </si>
  <si>
    <t>V17551-PIND-0086</t>
  </si>
  <si>
    <t>V17551-PIND-0086-01</t>
  </si>
  <si>
    <t>S-5095</t>
  </si>
  <si>
    <t>V17551-PIND-0087</t>
  </si>
  <si>
    <t>V17551-PIND-0087-01</t>
  </si>
  <si>
    <t>S-5098</t>
  </si>
  <si>
    <t>V17551-PIND-0088</t>
  </si>
  <si>
    <t>V17551-PIND-0088-01</t>
  </si>
  <si>
    <t>S-5110</t>
  </si>
  <si>
    <t>V17551-PIND-0089</t>
  </si>
  <si>
    <t>V17551-PIND-0089-01</t>
  </si>
  <si>
    <t>S-5113</t>
  </si>
  <si>
    <t>V17551-PIND-0090</t>
  </si>
  <si>
    <t>V17551-PIND-0090-01</t>
  </si>
  <si>
    <t>V17551-PIND-0091</t>
  </si>
  <si>
    <t>V17551-PIND-0091-01</t>
  </si>
  <si>
    <t>V17551-PIND-0092</t>
  </si>
  <si>
    <t>V17551-PIND-0092-01</t>
  </si>
  <si>
    <t>V17551-PIND-0093</t>
  </si>
  <si>
    <t>V17551-PIND-0093-01</t>
  </si>
  <si>
    <t>V17551-PIND-0094</t>
  </si>
  <si>
    <t>V17551-PIND-0094-01</t>
  </si>
  <si>
    <t>V17551-PIND-0095</t>
  </si>
  <si>
    <t>V17551-PIND-0095-01</t>
  </si>
  <si>
    <t>V17551-PIND-0096</t>
  </si>
  <si>
    <t>V17551-PIND-0096-01</t>
  </si>
  <si>
    <t>S-5128</t>
  </si>
  <si>
    <t>V17551-PIND-0097</t>
  </si>
  <si>
    <t>V17551-PIND-0097-01</t>
  </si>
  <si>
    <t>S-5130</t>
  </si>
  <si>
    <t>V17551-PIND-0098</t>
  </si>
  <si>
    <t>V17551-PIND-0098-01</t>
  </si>
  <si>
    <t>S-5131</t>
  </si>
  <si>
    <t>V17551-PIND-0099</t>
  </si>
  <si>
    <t>V17551-PIND-0099-01</t>
  </si>
  <si>
    <t>S-5134</t>
  </si>
  <si>
    <t>V17551-PIND-0100</t>
  </si>
  <si>
    <t>V17551-PIND-0100-01</t>
  </si>
  <si>
    <t>S-5136</t>
  </si>
  <si>
    <t>V17551-PIND-0101</t>
  </si>
  <si>
    <t>V17551-PIND-0101-01</t>
  </si>
  <si>
    <t>V17551-PIND-0102</t>
  </si>
  <si>
    <t>V17551-PIND-0102-01</t>
  </si>
  <si>
    <t>S-5139</t>
  </si>
  <si>
    <t>V17551-PIND-0103</t>
  </si>
  <si>
    <t>V17551-PIND-0103-01</t>
  </si>
  <si>
    <t>S-5142</t>
  </si>
  <si>
    <t>V17551-PIND-0104</t>
  </si>
  <si>
    <t>V17551-PIND-0104-01</t>
  </si>
  <si>
    <t>S-5146</t>
  </si>
  <si>
    <t>V17551-PIND-0105</t>
  </si>
  <si>
    <t>V17551-PIND-0105-01</t>
  </si>
  <si>
    <t>V17551-PIND-0106</t>
  </si>
  <si>
    <t>V17551-PIND-0106-01</t>
  </si>
  <si>
    <t>V17551-PIND-0107</t>
  </si>
  <si>
    <t>V17551-PIND-0107-01</t>
  </si>
  <si>
    <t>V17551-PIND-0108</t>
  </si>
  <si>
    <t>V17551-PIND-0108-01</t>
  </si>
  <si>
    <t>S-5147</t>
  </si>
  <si>
    <t>V17551-PIND-0109</t>
  </si>
  <si>
    <t>V17551-PIND-0109-01</t>
  </si>
  <si>
    <t>S-5152</t>
  </si>
  <si>
    <t>V17551-PIND-0110</t>
  </si>
  <si>
    <t>V17551-PIND-0110-01</t>
  </si>
  <si>
    <t>V17551-PIND-0111</t>
  </si>
  <si>
    <t>V17551-PIND-0111-01</t>
  </si>
  <si>
    <t>V17551-PIND-0112</t>
  </si>
  <si>
    <t>V17551-PIND-0112-01</t>
  </si>
  <si>
    <t>S-5154</t>
  </si>
  <si>
    <t>V17551-PIND-0113</t>
  </si>
  <si>
    <t>V17551-PIND-0113-05</t>
  </si>
  <si>
    <t>S-5158</t>
  </si>
  <si>
    <t>V17551-PIND-0114</t>
  </si>
  <si>
    <t>V17551-PIND-0114-09</t>
  </si>
  <si>
    <t>S-5162</t>
  </si>
  <si>
    <t>V17551-PIND-0115</t>
  </si>
  <si>
    <t>V17551-PIND-0115-13</t>
  </si>
  <si>
    <t>S-5166</t>
  </si>
  <si>
    <t>V17551-PIND-0116</t>
  </si>
  <si>
    <t>V17551-PIND-0116-17</t>
  </si>
  <si>
    <t>S-5170</t>
  </si>
  <si>
    <t>V17551-PIND-0117</t>
  </si>
  <si>
    <t>V17551-PIND-0117-21</t>
  </si>
  <si>
    <t>S-5174</t>
  </si>
  <si>
    <t>V17551-PIND-0118</t>
  </si>
  <si>
    <t>V17551-PIND-0118-01</t>
  </si>
  <si>
    <t>S-5178</t>
  </si>
  <si>
    <t>V17551-PIND-0119</t>
  </si>
  <si>
    <t>V17551-PIND-0119-01</t>
  </si>
  <si>
    <t>V17551-PIND-0120</t>
  </si>
  <si>
    <t>V17551-PIND-0120-01</t>
  </si>
  <si>
    <t>V17551-PIND-0121</t>
  </si>
  <si>
    <t>V17551-PIND-0121-01</t>
  </si>
  <si>
    <t>V17551-PIND-0122</t>
  </si>
  <si>
    <t>V17551-PIND-0122-01</t>
  </si>
  <si>
    <t>V17551-PIND-0123</t>
  </si>
  <si>
    <t>V17551-PIND-0123-01</t>
  </si>
  <si>
    <t>V17551-PIND-0124</t>
  </si>
  <si>
    <t>V17551-PIND-0124 -01</t>
  </si>
  <si>
    <t>V17551-PIND-0125</t>
  </si>
  <si>
    <t>V17551-PIND-0125-01</t>
  </si>
  <si>
    <t>S-5181</t>
  </si>
  <si>
    <t>V17551-PIND-0126</t>
  </si>
  <si>
    <t>V17551-PIND-0126-01</t>
  </si>
  <si>
    <t>S-5184</t>
  </si>
  <si>
    <t>P1,P1</t>
  </si>
  <si>
    <t>V17551-PIND-0127</t>
  </si>
  <si>
    <t>V17551-PIND-0127-01</t>
  </si>
  <si>
    <t>V17551-PIND-0128</t>
  </si>
  <si>
    <t>V17551-PIND-0128-01</t>
  </si>
  <si>
    <t>P1</t>
  </si>
  <si>
    <t>V17551-PIND-0129</t>
  </si>
  <si>
    <t>V17551-PIND-0129-01</t>
  </si>
  <si>
    <t>S-5195</t>
  </si>
  <si>
    <t>V17551-PIND-0130</t>
  </si>
  <si>
    <t>V17551-PIND-0130-01</t>
  </si>
  <si>
    <t>V17551-PIND-0131</t>
  </si>
  <si>
    <t>V17551-PIND-0131-01</t>
  </si>
  <si>
    <t>S-5200</t>
  </si>
  <si>
    <t>V17551-PIND-0132</t>
  </si>
  <si>
    <t>V17551-PIND-0132-01</t>
  </si>
  <si>
    <t>S-5203</t>
  </si>
  <si>
    <t>V17551-PIND-0133</t>
  </si>
  <si>
    <t>V17551-PIND-0133-01</t>
  </si>
  <si>
    <t>V17551-PIND-0134</t>
  </si>
  <si>
    <t>V17551-PIND-0134-01</t>
  </si>
  <si>
    <t>V17551-PIND-0135</t>
  </si>
  <si>
    <t>V17551-PIND-0135-01</t>
  </si>
  <si>
    <t>S-5204</t>
  </si>
  <si>
    <t>V17551-PIND-0136</t>
  </si>
  <si>
    <t>V17551-PIND-0136-01</t>
  </si>
  <si>
    <t>V17551-PIND-0137</t>
  </si>
  <si>
    <t>V17551-PIND-0137-01</t>
  </si>
  <si>
    <t>V17551-PIND-0138</t>
  </si>
  <si>
    <t>V17551-PIND-0138-01</t>
  </si>
  <si>
    <t>V17551-PIND-0139</t>
  </si>
  <si>
    <t>V17551-PIND-0139-01</t>
  </si>
  <si>
    <t>S-5207</t>
  </si>
  <si>
    <t>V17551-PIND-0140</t>
  </si>
  <si>
    <t>V17551-PIND-0140-01</t>
  </si>
  <si>
    <t>V17551-PIND-0141</t>
  </si>
  <si>
    <t>V17551-PIND-0141-01</t>
  </si>
  <si>
    <t>V17551-PIND-0142</t>
  </si>
  <si>
    <t>V17551-PIND-0142-01</t>
  </si>
  <si>
    <t>V17551-PIND-0143</t>
  </si>
  <si>
    <t>V17551-PIND-0143-01</t>
  </si>
  <si>
    <t>V17551-PIND-0144</t>
  </si>
  <si>
    <t>V17551-PIND-0144-01</t>
  </si>
  <si>
    <t>V17551-PIND-0145</t>
  </si>
  <si>
    <t>V17551-PIND-0145-01</t>
  </si>
  <si>
    <t>V17551-PIND-0146</t>
  </si>
  <si>
    <t>V17551-PIND-0146-01</t>
  </si>
  <si>
    <t>V17551-PIND-0147</t>
  </si>
  <si>
    <t>V17551-PIND-0147-08</t>
  </si>
  <si>
    <t>S-5221</t>
  </si>
  <si>
    <t>V17551-PIND-0148</t>
  </si>
  <si>
    <t>V17551-PIND-0148-01</t>
  </si>
  <si>
    <t>V17551-PIND-0149</t>
  </si>
  <si>
    <t>V17551-PIND-0149-01</t>
  </si>
  <si>
    <t>V17551-PIND-0150</t>
  </si>
  <si>
    <t>V17551-PIND-0150-01</t>
  </si>
  <si>
    <t>V17551-PIND-0151</t>
  </si>
  <si>
    <t>V17551-PIND-0151-01</t>
  </si>
  <si>
    <t>V17551-PIND-0152</t>
  </si>
  <si>
    <t>V17551-PIND-0152-01</t>
  </si>
  <si>
    <t>V17551-PIND-0153</t>
  </si>
  <si>
    <t>V17551-PIND-0153-01</t>
  </si>
  <si>
    <t>S-5229</t>
  </si>
  <si>
    <t>V17551-PIND-0154</t>
  </si>
  <si>
    <t>V17551-PIND-0154-01</t>
  </si>
  <si>
    <t>S-5231</t>
  </si>
  <si>
    <t>V17551-PIND-0155</t>
  </si>
  <si>
    <t>V17551-PIND-0155-01</t>
  </si>
  <si>
    <t>V17551-PIND-0156</t>
  </si>
  <si>
    <t>V17551-PIND-0156-01</t>
  </si>
  <si>
    <t>S-5232</t>
  </si>
  <si>
    <t>V17551-PIND-0157</t>
  </si>
  <si>
    <t>V17551-PIND-0157-01</t>
  </si>
  <si>
    <t>V17551-PIND-0158</t>
  </si>
  <si>
    <t>V17551-PIND-0158-01</t>
  </si>
  <si>
    <t>V17551-PIND-0159</t>
  </si>
  <si>
    <t>V17551-PIND-0159-01</t>
  </si>
  <si>
    <t>SHA-1031-01</t>
  </si>
  <si>
    <t>V17551-PIND-0010-02</t>
  </si>
  <si>
    <t>V17551-PIND-0011-02</t>
  </si>
  <si>
    <t>V17551-PIND-0013-02</t>
  </si>
  <si>
    <t>V17551-PIND-0014-02</t>
  </si>
  <si>
    <t>V17551-PIND-0016-02</t>
  </si>
  <si>
    <t>V17551-PIND-0018-02</t>
  </si>
  <si>
    <t>V17551-PIND-0020-02</t>
  </si>
  <si>
    <t>V17551-PIND-0022-02</t>
  </si>
  <si>
    <t>V17551-PIND-0024-02</t>
  </si>
  <si>
    <t>V17551-PIND-0026-02</t>
  </si>
  <si>
    <t>V17551-PIND-0028-02</t>
  </si>
  <si>
    <t>V17551-PIND-0030-02</t>
  </si>
  <si>
    <t>V17551-PIND-0032-02</t>
  </si>
  <si>
    <t>V17551-PIND-0034-02</t>
  </si>
  <si>
    <t>V17551-PIND-0036-02</t>
  </si>
  <si>
    <t>V17551-PIND-0038-02</t>
  </si>
  <si>
    <t>V17551-PIND-0040-02</t>
  </si>
  <si>
    <t>V17551-PIND-0042-02</t>
  </si>
  <si>
    <t>V17551-PIND-0044-02</t>
  </si>
  <si>
    <t>V17551-PIND-0046-02</t>
  </si>
  <si>
    <t>V17551-PIND-0048-02</t>
  </si>
  <si>
    <t>V17551-PIND-0050-02</t>
  </si>
  <si>
    <t>V17551-PIND-0052-02</t>
  </si>
  <si>
    <t>V17551-PIND-0054-02</t>
  </si>
  <si>
    <t>V17551-PIND-0056-02</t>
  </si>
  <si>
    <t>V17551-PIND-0058-02</t>
  </si>
  <si>
    <t>V17551-PIND-0060-02</t>
  </si>
  <si>
    <t>V17551-PIND-0062-02</t>
  </si>
  <si>
    <t>V17551-PIND-0064-02</t>
  </si>
  <si>
    <t>V17551-PIND-0066-02</t>
  </si>
  <si>
    <t>V17551-PIND-0068-02</t>
  </si>
  <si>
    <t>V17551-PIND-0070-02</t>
  </si>
  <si>
    <t>V17551-PIND-0072-02</t>
  </si>
  <si>
    <t>V17551-PIND-0074-02</t>
  </si>
  <si>
    <t>V17551-PIND-0076-02</t>
  </si>
  <si>
    <t>V17551-PIND-0078-02</t>
  </si>
  <si>
    <t>V17551-PIND-0079-02</t>
  </si>
  <si>
    <t>V17551-PIND-0080-02</t>
  </si>
  <si>
    <t>V17551-PIND-0081-02</t>
  </si>
  <si>
    <t>S-5077</t>
  </si>
  <si>
    <t>V17551-PIND-0082-02</t>
  </si>
  <si>
    <t>S-5079</t>
  </si>
  <si>
    <t>V17551-PIND-0083-02</t>
  </si>
  <si>
    <t>S-5084</t>
  </si>
  <si>
    <t>V17551-PIND-0084-02</t>
  </si>
  <si>
    <t>S-5089</t>
  </si>
  <si>
    <t>V17551-PIND-0085-02</t>
  </si>
  <si>
    <t>V17551-PIND-0086-02</t>
  </si>
  <si>
    <t>S-5096</t>
  </si>
  <si>
    <t>V17551-PIND-0087-02</t>
  </si>
  <si>
    <t>S-5099</t>
  </si>
  <si>
    <t>V17551-PIND-0088-02</t>
  </si>
  <si>
    <t>S-5111</t>
  </si>
  <si>
    <t>V17551-PIND-0089-02</t>
  </si>
  <si>
    <t>S-5114</t>
  </si>
  <si>
    <t>V17551-PIND-0090-02</t>
  </si>
  <si>
    <t>S-5118</t>
  </si>
  <si>
    <t>V17551-PIND-0094-02</t>
  </si>
  <si>
    <t>V17551-PIND-0095-02</t>
  </si>
  <si>
    <t>S-5127</t>
  </si>
  <si>
    <t>V17551-PIND-0096-02</t>
  </si>
  <si>
    <t>S-5129</t>
  </si>
  <si>
    <t>V17551-PIND-0098-02</t>
  </si>
  <si>
    <t>S-5132</t>
  </si>
  <si>
    <t>V17551-PIND-0099-02</t>
  </si>
  <si>
    <t>S-5135</t>
  </si>
  <si>
    <t>V17551-PIND-0100-02</t>
  </si>
  <si>
    <t>S-5137</t>
  </si>
  <si>
    <t>V17551-PIND-0101-02</t>
  </si>
  <si>
    <t>V17551-PIND-0102-02</t>
  </si>
  <si>
    <t>S-5140</t>
  </si>
  <si>
    <t>V17551-PIND-0103-02</t>
  </si>
  <si>
    <t>S-5143</t>
  </si>
  <si>
    <t>V17551-PIND-0105-02</t>
  </si>
  <si>
    <t>V17551-PIND-0106-02</t>
  </si>
  <si>
    <t>V17551-PIND-0107-02</t>
  </si>
  <si>
    <t>V17551-PIND-0108-02</t>
  </si>
  <si>
    <t>S-5148</t>
  </si>
  <si>
    <t>V17551-PIND-0109-02</t>
  </si>
  <si>
    <t>S-5153</t>
  </si>
  <si>
    <t>V17551-PIND-0110-02</t>
  </si>
  <si>
    <t>V17551-PIND-0111-02</t>
  </si>
  <si>
    <t>V17551-PIND-0112-02</t>
  </si>
  <si>
    <t>S-5155</t>
  </si>
  <si>
    <t>V17551-PIND-0113-06</t>
  </si>
  <si>
    <t>S-5159</t>
  </si>
  <si>
    <t>V17551-PIND-0114-10</t>
  </si>
  <si>
    <t>S-5163</t>
  </si>
  <si>
    <t>V17551-PIND-0115-14</t>
  </si>
  <si>
    <t>S-5167</t>
  </si>
  <si>
    <t>V17551-PIND-0116-18</t>
  </si>
  <si>
    <t>S-5171</t>
  </si>
  <si>
    <t>V17551-PIND-0117-22</t>
  </si>
  <si>
    <t>S-5175</t>
  </si>
  <si>
    <t>V17551-PIND-0118-02</t>
  </si>
  <si>
    <t>S-5179</t>
  </si>
  <si>
    <t>V17551-PIND-0119-02</t>
  </si>
  <si>
    <t>V17551-PIND-0120-02</t>
  </si>
  <si>
    <t>V17551-PIND-0121-02</t>
  </si>
  <si>
    <t>V17551-PIND-0122-02</t>
  </si>
  <si>
    <t>V17551-PIND-0123-02</t>
  </si>
  <si>
    <t>V17551-PIND-0125-02</t>
  </si>
  <si>
    <t>S-5182</t>
  </si>
  <si>
    <t>V17551-PIND-0126-02</t>
  </si>
  <si>
    <t>S-5185</t>
  </si>
  <si>
    <t>V17551-PIND-0127-02</t>
  </si>
  <si>
    <t>V17551-PIND-0128-02</t>
  </si>
  <si>
    <t>S-5189</t>
  </si>
  <si>
    <t>V17551-PIND-0129-02</t>
  </si>
  <si>
    <t>S-5196</t>
  </si>
  <si>
    <t>V17551-PIND-0130-02</t>
  </si>
  <si>
    <t>V17551-PIND-0131-02</t>
  </si>
  <si>
    <t>S-5201</t>
  </si>
  <si>
    <t>V17551-PIND-0133-02</t>
  </si>
  <si>
    <t>V17551-PIND-0134-02</t>
  </si>
  <si>
    <t>V17551-PIND-0135-02</t>
  </si>
  <si>
    <t>S-5205</t>
  </si>
  <si>
    <t>V17551-PIND-0136-02</t>
  </si>
  <si>
    <t>V17551-PIND-0139-02</t>
  </si>
  <si>
    <t>S-5208</t>
  </si>
  <si>
    <t>V17551-PIND-0140-02</t>
  </si>
  <si>
    <t>S-5211</t>
  </si>
  <si>
    <t>V17551-PIND-0141-02</t>
  </si>
  <si>
    <t>V17551-PIND-0143-02</t>
  </si>
  <si>
    <t>V17551-PIND-0144-02</t>
  </si>
  <si>
    <t>V17551-PIND-0145-02</t>
  </si>
  <si>
    <t>V17551-PIND-0147-07</t>
  </si>
  <si>
    <t>S-5222</t>
  </si>
  <si>
    <t>V17551-PIND-0148-02</t>
  </si>
  <si>
    <t>V17551-PIND-0149-02</t>
  </si>
  <si>
    <t>V17551-PIND-0150-02</t>
  </si>
  <si>
    <t>V17551-PIND-0153-02</t>
  </si>
  <si>
    <t>S-5230</t>
  </si>
  <si>
    <t>V17551-PIND-0155-02</t>
  </si>
  <si>
    <t>V17551-PIND-0156-02</t>
  </si>
  <si>
    <t>S-5233</t>
  </si>
  <si>
    <t>V17551-PIND-0157-02</t>
  </si>
  <si>
    <t>V17551-PIND-0158-03</t>
  </si>
  <si>
    <t>V17551-PIND-0159-02</t>
  </si>
  <si>
    <t>SHA-1032-01</t>
  </si>
  <si>
    <t>V17551-PIND-0010-03</t>
  </si>
  <si>
    <t>V17551-PIND-0011-03</t>
  </si>
  <si>
    <t>V17551-PIND-0014-03</t>
  </si>
  <si>
    <t>V17551-PIND-0016-03</t>
  </si>
  <si>
    <t>V17551-PIND-0018-03</t>
  </si>
  <si>
    <t>V17551-PIND-0020-03</t>
  </si>
  <si>
    <t>V17551-PIND-0022-03</t>
  </si>
  <si>
    <t>V17551-PIND-0024-03</t>
  </si>
  <si>
    <t>V17551-PIND-0026-03</t>
  </si>
  <si>
    <t>V17551-PIND-0028-03</t>
  </si>
  <si>
    <t>V17551-PIND-0030-03</t>
  </si>
  <si>
    <t>V17551-PIND-0032-03</t>
  </si>
  <si>
    <t>V17551-PIND-0034-03</t>
  </si>
  <si>
    <t>V17551-PIND-0036-03</t>
  </si>
  <si>
    <t>V17551-PIND-0038-03</t>
  </si>
  <si>
    <t>V17551-PIND-0040-03</t>
  </si>
  <si>
    <t>V17551-PIND-0042-03</t>
  </si>
  <si>
    <t>V17551-PIND-0044-03</t>
  </si>
  <si>
    <t>V17551-PIND-0046-03</t>
  </si>
  <si>
    <t>V17551-PIND-0048-03</t>
  </si>
  <si>
    <t>V17551-PIND-0050-03</t>
  </si>
  <si>
    <t>V17551-PIND-0052-03</t>
  </si>
  <si>
    <t>V17551-PIND-0054-03</t>
  </si>
  <si>
    <t>V17551-PIND-0056-03</t>
  </si>
  <si>
    <t>V17551-PIND-0058-03</t>
  </si>
  <si>
    <t>V17551-PIND-0060-03</t>
  </si>
  <si>
    <t>V17551-PIND-0062-03</t>
  </si>
  <si>
    <t>V17551-PIND-0064-03</t>
  </si>
  <si>
    <t>V17551-PIND-0066-03</t>
  </si>
  <si>
    <t>V17551-PIND-0068-03</t>
  </si>
  <si>
    <t>V17551-PIND-0070-03</t>
  </si>
  <si>
    <t>V17551-PIND-0072-03</t>
  </si>
  <si>
    <t>V17551-PIND-0074-03</t>
  </si>
  <si>
    <t>V17551-PIND-0076-03</t>
  </si>
  <si>
    <t>V17551-PIND-0078-03</t>
  </si>
  <si>
    <t>V17551-PIND-0079-03</t>
  </si>
  <si>
    <t>V17551-PIND-0081-L18</t>
  </si>
  <si>
    <t>V17551-PIND-0082-03</t>
  </si>
  <si>
    <t>S-5080</t>
  </si>
  <si>
    <t>V17551-PIND-0083-03</t>
  </si>
  <si>
    <t>S-5085</t>
  </si>
  <si>
    <t>V17551-PIND-0084-01</t>
  </si>
  <si>
    <t>S-5090</t>
  </si>
  <si>
    <t>V17551-PIND-0085-03</t>
  </si>
  <si>
    <t>V17551-PIND-0086-03</t>
  </si>
  <si>
    <t>S-5097</t>
  </si>
  <si>
    <t>V17551-PIND-0087-03</t>
  </si>
  <si>
    <t>S-5100</t>
  </si>
  <si>
    <t>V17551-PIND-0088-03</t>
  </si>
  <si>
    <t>S-5112</t>
  </si>
  <si>
    <t>V17551-PIND-0089-03</t>
  </si>
  <si>
    <t>S-5115</t>
  </si>
  <si>
    <t>V17551-PIND-0090-03</t>
  </si>
  <si>
    <t>S-5119</t>
  </si>
  <si>
    <t>V17551-PIND-0094-03</t>
  </si>
  <si>
    <t>V17551-PIND-0096-L22</t>
  </si>
  <si>
    <t>V17551-PIND-0098-03</t>
  </si>
  <si>
    <t>S-5133</t>
  </si>
  <si>
    <t>V17551-PIND-0100-03</t>
  </si>
  <si>
    <t>S-5138</t>
  </si>
  <si>
    <t>V17551-PIND-0101-03</t>
  </si>
  <si>
    <t>V17551-PIND-0102-03</t>
  </si>
  <si>
    <t>S-5141</t>
  </si>
  <si>
    <t>V17551-PIND-0103-03</t>
  </si>
  <si>
    <t>S-5144</t>
  </si>
  <si>
    <t>V17551-PIND-0105-03</t>
  </si>
  <si>
    <t>V17551-PIND-0106-03</t>
  </si>
  <si>
    <t>V17551-PIND-0107-03</t>
  </si>
  <si>
    <t>V17551-PIND-0108-03</t>
  </si>
  <si>
    <t>S-5149</t>
  </si>
  <si>
    <t>V17551-PIND-0110-03</t>
  </si>
  <si>
    <t>V17551-PIND-0111-03</t>
  </si>
  <si>
    <t>V17551-PIND-0112-03</t>
  </si>
  <si>
    <t>S-5156</t>
  </si>
  <si>
    <t>V17551-PIND-0113-07</t>
  </si>
  <si>
    <t>S-5160</t>
  </si>
  <si>
    <t>V17551-PIND-0114-11</t>
  </si>
  <si>
    <t>S-5164</t>
  </si>
  <si>
    <t>V17551-PIND-0115-15</t>
  </si>
  <si>
    <t>S-5168</t>
  </si>
  <si>
    <t>V17551-PIND-0116-19</t>
  </si>
  <si>
    <t>S-5172</t>
  </si>
  <si>
    <t>V17551-PIND-0117-23</t>
  </si>
  <si>
    <t>S-5176</t>
  </si>
  <si>
    <t>V17551-PIND-0118-03</t>
  </si>
  <si>
    <t>S-5180</t>
  </si>
  <si>
    <t>V17551-PIND-0119-03</t>
  </si>
  <si>
    <t>V17551-PIND-0120-03</t>
  </si>
  <si>
    <t>V17551-PIND-0121-03</t>
  </si>
  <si>
    <t>V17551-PIND-0123-03</t>
  </si>
  <si>
    <t>V17551-PIND-0125-03</t>
  </si>
  <si>
    <t>S-5183</t>
  </si>
  <si>
    <t>V17551-PIND-0126-03</t>
  </si>
  <si>
    <t>S-5186</t>
  </si>
  <si>
    <t>V17551-PIND-0127-03</t>
  </si>
  <si>
    <t>V17551-PIND-0128-03</t>
  </si>
  <si>
    <t>S-5190</t>
  </si>
  <si>
    <t>V17551-PIND-0129-03</t>
  </si>
  <si>
    <t>S-5197</t>
  </si>
  <si>
    <t>V17551-PIND-0130-03</t>
  </si>
  <si>
    <t>V17551-PIND-0131-03</t>
  </si>
  <si>
    <t>S-5202</t>
  </si>
  <si>
    <t>V17551-PIND-0133-03</t>
  </si>
  <si>
    <t>V17551-PIND-0134-03</t>
  </si>
  <si>
    <t>V17551-PIND-0135-03</t>
  </si>
  <si>
    <t>S-5206</t>
  </si>
  <si>
    <t>V17551-PIND-0139-03</t>
  </si>
  <si>
    <t>S-5209</t>
  </si>
  <si>
    <t>V17551-PIND-0140-03</t>
  </si>
  <si>
    <t>S-5212</t>
  </si>
  <si>
    <t>V17551-PIND-0143-03</t>
  </si>
  <si>
    <t>V17551-PIND-0144-03</t>
  </si>
  <si>
    <t>V17551-PIND-0145-03</t>
  </si>
  <si>
    <t>V17551-PIND-0147-06</t>
  </si>
  <si>
    <t>S-5223</t>
  </si>
  <si>
    <t>V17551-PIND-0148-03</t>
  </si>
  <si>
    <t>V17551-PIND-0149-03</t>
  </si>
  <si>
    <t>V17551-PIND-0157-03</t>
  </si>
  <si>
    <t>V17551-PIND-0158-02</t>
  </si>
  <si>
    <t>V17551-PIND-0159-03</t>
  </si>
  <si>
    <t>SHA-1071-01</t>
  </si>
  <si>
    <t>V17551-PIND-0010-04</t>
  </si>
  <si>
    <t>V17551-PIND-0018-04</t>
  </si>
  <si>
    <t>V17551-PIND-0020-04</t>
  </si>
  <si>
    <t>V17551-PIND-0022-04</t>
  </si>
  <si>
    <t>V17551-PIND-0024-04</t>
  </si>
  <si>
    <t>V17551-PIND-0026-04</t>
  </si>
  <si>
    <t>V17551-PIND-0028-04</t>
  </si>
  <si>
    <t>V17551-PIND-0030-04</t>
  </si>
  <si>
    <t>V17551-PIND-0032-04</t>
  </si>
  <si>
    <t>V17551-PIND-0034-04</t>
  </si>
  <si>
    <t>V17551-PIND-0036-04</t>
  </si>
  <si>
    <t>V17551-PIND-0038-04</t>
  </si>
  <si>
    <t>V17551-PIND-0040-04</t>
  </si>
  <si>
    <t>V17551-PIND-0042-04</t>
  </si>
  <si>
    <t>V17551-PIND-0044-04</t>
  </si>
  <si>
    <t>V17551-PIND-0046-04</t>
  </si>
  <si>
    <t>V17551-PIND-0048-04</t>
  </si>
  <si>
    <t>V17551-PIND-0050-04</t>
  </si>
  <si>
    <t>V17551-PIND-0052-04</t>
  </si>
  <si>
    <t>V17551-PIND-0054-04</t>
  </si>
  <si>
    <t>V17551-PIND-0056-04</t>
  </si>
  <si>
    <t>V17551-PIND-0058-04</t>
  </si>
  <si>
    <t>V17551-PIND-0060-04</t>
  </si>
  <si>
    <t>V17551-PIND-0062-04</t>
  </si>
  <si>
    <t>V17551-PIND-0064-04</t>
  </si>
  <si>
    <t>V17551-PIND-0066-04</t>
  </si>
  <si>
    <t>V17551-PIND-0068-04</t>
  </si>
  <si>
    <t>V17551-PIND-0070-04</t>
  </si>
  <si>
    <t>V17551-PIND-0072-04</t>
  </si>
  <si>
    <t>V17551-PIND-0074-04</t>
  </si>
  <si>
    <t>V17551-PIND-0076-04</t>
  </si>
  <si>
    <t>V17551-PIND-0082-04</t>
  </si>
  <si>
    <t>S-5081</t>
  </si>
  <si>
    <t>V17551-PIND-0083-04</t>
  </si>
  <si>
    <t>S-5086</t>
  </si>
  <si>
    <t>V17551-PIND-0085-04</t>
  </si>
  <si>
    <t>S-5094</t>
  </si>
  <si>
    <t>V17551-PIND-0087-04</t>
  </si>
  <si>
    <t>S-5101</t>
  </si>
  <si>
    <t>V17551-PIND-0089-04</t>
  </si>
  <si>
    <t>S-5116</t>
  </si>
  <si>
    <t>V17551-PIND-0094-04</t>
  </si>
  <si>
    <t>S-5123</t>
  </si>
  <si>
    <t>V17551-PIND-0098-04</t>
  </si>
  <si>
    <t>S-5239</t>
  </si>
  <si>
    <t>V17551-PIND-0103-04</t>
  </si>
  <si>
    <t>S-5145</t>
  </si>
  <si>
    <t>V17551-PIND-0105-04</t>
  </si>
  <si>
    <t>V17551-PIND-0106-04</t>
  </si>
  <si>
    <t>V17551-PIND-0107-04</t>
  </si>
  <si>
    <t>V17551-PIND-0108-04</t>
  </si>
  <si>
    <t>S-5150</t>
  </si>
  <si>
    <t>V17551-PIND-0110-04</t>
  </si>
  <si>
    <t>V17551-PIND-0111-04</t>
  </si>
  <si>
    <t>V17551-PIND-0112-04</t>
  </si>
  <si>
    <t>S-5157</t>
  </si>
  <si>
    <t>V17551-PIND-0113-08</t>
  </si>
  <si>
    <t>S-5161</t>
  </si>
  <si>
    <t>V17551-PIND-0114-12</t>
  </si>
  <si>
    <t>S-5165</t>
  </si>
  <si>
    <t>V17551-PIND-0115-16</t>
  </si>
  <si>
    <t>S-5169</t>
  </si>
  <si>
    <t>V17551-PIND-0116-20</t>
  </si>
  <si>
    <t>S-5173</t>
  </si>
  <si>
    <t>V17551-PIND-0117-24</t>
  </si>
  <si>
    <t>S-5177</t>
  </si>
  <si>
    <t>V17551-PIND-0119-04</t>
  </si>
  <si>
    <t>V17551-PIND-0121-04</t>
  </si>
  <si>
    <t>V17551-PIND-0123-04</t>
  </si>
  <si>
    <t>V17551-PIND-0125-L15</t>
  </si>
  <si>
    <t>V17551-PIND-0126-04</t>
  </si>
  <si>
    <t>S-5187</t>
  </si>
  <si>
    <t>V17551-PIND-0128-04</t>
  </si>
  <si>
    <t>S-5191</t>
  </si>
  <si>
    <t>V17551-PIND-0129-04</t>
  </si>
  <si>
    <t>S-5198</t>
  </si>
  <si>
    <t>V17551-PIND-0130-04</t>
  </si>
  <si>
    <t>V17551-PIND-0134-04</t>
  </si>
  <si>
    <t>V17551-PIND-0139-04</t>
  </si>
  <si>
    <t>S - 5242</t>
  </si>
  <si>
    <t>V17551-PIND-0140-04</t>
  </si>
  <si>
    <t>V17551-PIND-0143-04</t>
  </si>
  <si>
    <t>V17551-PIND-0144-04</t>
  </si>
  <si>
    <t>V17551-PIND-0145-04</t>
  </si>
  <si>
    <t>V17551-PIND-0147-05</t>
  </si>
  <si>
    <t>S-5224</t>
  </si>
  <si>
    <t>V17551-PIND-0148-04</t>
  </si>
  <si>
    <t>V17551-PIND-0149-04</t>
  </si>
  <si>
    <t>SHA-1072-01</t>
  </si>
  <si>
    <t>V17551-PIND-0010-05</t>
  </si>
  <si>
    <t>V17551-PIND-0028-05</t>
  </si>
  <si>
    <t>V17551-PIND-0030-05</t>
  </si>
  <si>
    <t>V17551-PIND-0032-05</t>
  </si>
  <si>
    <t>V17551-PIND-0034-05</t>
  </si>
  <si>
    <t>V17551-PIND-0036-05</t>
  </si>
  <si>
    <t>V17551-PIND-0038-05</t>
  </si>
  <si>
    <t>V17551-PIND-0040-05</t>
  </si>
  <si>
    <t>V17551-PIND-0042-05</t>
  </si>
  <si>
    <t>V17551-PIND-0044-05</t>
  </si>
  <si>
    <t>V17551-PIND-0046-05</t>
  </si>
  <si>
    <t>V17551-PIND-0048-05</t>
  </si>
  <si>
    <t>V17551-PIND-0050-05</t>
  </si>
  <si>
    <t>V17551-PIND-0052-05</t>
  </si>
  <si>
    <t>V17551-PIND-0054-05</t>
  </si>
  <si>
    <t>V17551-PIND-0056-05</t>
  </si>
  <si>
    <t>V17551-PIND-0058-05</t>
  </si>
  <si>
    <t>V17551-PIND-0060-05</t>
  </si>
  <si>
    <t>V17551-PIND-0062-05</t>
  </si>
  <si>
    <t>V17551-PIND-0082-05</t>
  </si>
  <si>
    <t>S-5082</t>
  </si>
  <si>
    <t>V17551-PIND-0083-05</t>
  </si>
  <si>
    <t>S-5087</t>
  </si>
  <si>
    <t>V17551-PIND-0085-05</t>
  </si>
  <si>
    <t>V17551-PIND-0087-05</t>
  </si>
  <si>
    <t>S-5102</t>
  </si>
  <si>
    <t>V17551-PIND-0094-05</t>
  </si>
  <si>
    <t>S-5124</t>
  </si>
  <si>
    <t>V17551-PIND-0105-05</t>
  </si>
  <si>
    <t>V17551-PIND-0107-05</t>
  </si>
  <si>
    <t>V17551-PIND-0108-05</t>
  </si>
  <si>
    <t>S-5151</t>
  </si>
  <si>
    <t>V17551-PIND-0111-05</t>
  </si>
  <si>
    <t>V17551-PIND-0126-05</t>
  </si>
  <si>
    <t>S - 5243</t>
  </si>
  <si>
    <t>V17551-PIND-0128-05</t>
  </si>
  <si>
    <t>S-5192</t>
  </si>
  <si>
    <t>V17551-PIND-0129-05</t>
  </si>
  <si>
    <t>S-5199</t>
  </si>
  <si>
    <t>V17551-PIND-0140-05</t>
  </si>
  <si>
    <t>V17551-PIND-0143-05</t>
  </si>
  <si>
    <t>V17551-PIND-0144-05</t>
  </si>
  <si>
    <t>V17551-PIND-0145-07</t>
  </si>
  <si>
    <t>V17551-PIND-0147-04</t>
  </si>
  <si>
    <t>S-5225</t>
  </si>
  <si>
    <t>V17551-PIND-0148-05</t>
  </si>
  <si>
    <t>V17551-PIND-0149-05</t>
  </si>
  <si>
    <t>SIP-1118-01</t>
  </si>
  <si>
    <t>V17551-PIND-0032-06</t>
  </si>
  <si>
    <t>V17551-PIND-0034-06</t>
  </si>
  <si>
    <t>V17551-PIND-0036-06</t>
  </si>
  <si>
    <t>V17551-PIND-0038-06</t>
  </si>
  <si>
    <t>V17551-PIND-0040-06</t>
  </si>
  <si>
    <t>V17551-PIND-0042-06</t>
  </si>
  <si>
    <t>V17551-PIND-0044-06</t>
  </si>
  <si>
    <t>V17551-PIND-0046-06</t>
  </si>
  <si>
    <t>V17551-PIND-0048-06</t>
  </si>
  <si>
    <t>V17551-PIND-0050-06</t>
  </si>
  <si>
    <t>V17551-PIND-0052-06</t>
  </si>
  <si>
    <t>V17551-PIND-0054-06</t>
  </si>
  <si>
    <t>V17551-PIND-0056-06</t>
  </si>
  <si>
    <t>V17551-PIND-0058-06</t>
  </si>
  <si>
    <t>V17551-PIND-0087-06</t>
  </si>
  <si>
    <t>S-5103</t>
  </si>
  <si>
    <t>V17551-PIND-0094-06</t>
  </si>
  <si>
    <t>S-5125</t>
  </si>
  <si>
    <t>V17551-PIND-0105-06</t>
  </si>
  <si>
    <t>V17551-PIND-0128-06</t>
  </si>
  <si>
    <t>S-5193</t>
  </si>
  <si>
    <t>V17551-PIND-0140-06</t>
  </si>
  <si>
    <t>V17551-PIND-0145-05</t>
  </si>
  <si>
    <t>V17551-PIND-0147-03</t>
  </si>
  <si>
    <t>S-5226</t>
  </si>
  <si>
    <t>V17551-PIND-0148-06</t>
  </si>
  <si>
    <t>V17551-PIND-0149-06</t>
  </si>
  <si>
    <t>SIP-1119-01</t>
  </si>
  <si>
    <t>V17551-PIND-0036-07</t>
  </si>
  <si>
    <t>V17551-PIND-0038-07</t>
  </si>
  <si>
    <t>V17551-PIND-0040-07</t>
  </si>
  <si>
    <t>V17551-PIND-0042-07</t>
  </si>
  <si>
    <t>V17551-PIND-0044-07</t>
  </si>
  <si>
    <t>V17551-PIND-0046-07</t>
  </si>
  <si>
    <t>V17551-PIND-0048-07</t>
  </si>
  <si>
    <t>V17551-PIND-0050-07</t>
  </si>
  <si>
    <t>V17551-PIND-0052-07</t>
  </si>
  <si>
    <t>V17551-PIND-0054-07</t>
  </si>
  <si>
    <t>V17551-PIND-0087-07</t>
  </si>
  <si>
    <t>S-5104</t>
  </si>
  <si>
    <t>V17551-PIND-0128-07</t>
  </si>
  <si>
    <t>S-5194</t>
  </si>
  <si>
    <t>V17551-PIND-0140-07</t>
  </si>
  <si>
    <t>V17551-PIND-0145-06</t>
  </si>
  <si>
    <t>V17551-PIND-0147-02</t>
  </si>
  <si>
    <t>S-5227</t>
  </si>
  <si>
    <t>SIP-1120-01</t>
  </si>
  <si>
    <t>V17551-PIND-0087-08</t>
  </si>
  <si>
    <t>S-5105</t>
  </si>
  <si>
    <t>V17551-PIND-0140-08</t>
  </si>
  <si>
    <t>S-5217</t>
  </si>
  <si>
    <t>V17551-PIND-0147-01</t>
  </si>
  <si>
    <t>S-5228</t>
  </si>
  <si>
    <t>SIP-1146-01</t>
  </si>
  <si>
    <t>V17551-PIND-0087-09</t>
  </si>
  <si>
    <t>S-5106</t>
  </si>
  <si>
    <t>V17551-PIND-0140-09</t>
  </si>
  <si>
    <t>S-5218</t>
  </si>
  <si>
    <t>SIP-1147-01</t>
  </si>
  <si>
    <t>V17551-PIND-0087-10</t>
  </si>
  <si>
    <t>S-5107</t>
  </si>
  <si>
    <t>V17551-PIND-0140-10</t>
  </si>
  <si>
    <t>S-5219</t>
  </si>
  <si>
    <t>SLP-1217-01</t>
  </si>
  <si>
    <t>V17551-PIND-0087-11</t>
  </si>
  <si>
    <t>S-5108</t>
  </si>
  <si>
    <t>V17551-PIND-0140-11</t>
  </si>
  <si>
    <t>S-5220</t>
  </si>
  <si>
    <t>SLP-1218-01</t>
  </si>
  <si>
    <t>V17551-PIND-0087-12</t>
  </si>
  <si>
    <t>S-5109</t>
  </si>
  <si>
    <t>SLP-1219-01</t>
  </si>
  <si>
    <t>SLP-1246-01</t>
  </si>
  <si>
    <t>SLP-1247-01</t>
  </si>
  <si>
    <t>Vlookup</t>
  </si>
  <si>
    <t>Box No</t>
  </si>
  <si>
    <t>PDI Date</t>
  </si>
  <si>
    <t>Packing Date</t>
  </si>
  <si>
    <t>Packing Status</t>
  </si>
  <si>
    <t>Dispatched Date</t>
  </si>
  <si>
    <t>Box No.</t>
  </si>
  <si>
    <t>Status</t>
  </si>
  <si>
    <t>QTY</t>
  </si>
  <si>
    <t>Net WT.</t>
  </si>
  <si>
    <t>Dispatch Date</t>
  </si>
  <si>
    <t>Container No.</t>
  </si>
  <si>
    <t>Seal No.</t>
  </si>
  <si>
    <t xml:space="preserve"> TJ/25-26/184 / Vogt Power </t>
  </si>
  <si>
    <t>TOTAL</t>
  </si>
  <si>
    <t>V17551-PIND-0112-05</t>
  </si>
  <si>
    <t>S-5244</t>
  </si>
  <si>
    <t>V17551-PIND-0080-03</t>
  </si>
  <si>
    <t>V17551-PIND-0080-04</t>
  </si>
  <si>
    <t>V17551-PIND-0108-06</t>
  </si>
  <si>
    <t>V17551-PIND-0121-05</t>
  </si>
  <si>
    <t>V17551-PIND-0121-06</t>
  </si>
  <si>
    <t>V17551-PIND-0136-03</t>
  </si>
  <si>
    <t>V17551-PIND-0136-04</t>
  </si>
  <si>
    <t>V17551-PIND-0136-05</t>
  </si>
  <si>
    <t>V17551-PIND-0136-06</t>
  </si>
  <si>
    <t>V17551-PIND-0136-07</t>
  </si>
  <si>
    <t>V17551-PIND-0136-08</t>
  </si>
  <si>
    <t>V17551-PIND-0136-09</t>
  </si>
  <si>
    <t>V17551-PIND-0136-10</t>
  </si>
  <si>
    <t>V17551-PIND-0141-03</t>
  </si>
  <si>
    <t>V17551-PIND-0141-04</t>
  </si>
  <si>
    <t>V17551-PIND-0141-05</t>
  </si>
  <si>
    <t>V17551-PIND-0141-06</t>
  </si>
  <si>
    <t>V17551-PIND-0141-07</t>
  </si>
  <si>
    <t>V17551-PIND-0141-08</t>
  </si>
  <si>
    <t>V17551-PIND-0141-09</t>
  </si>
  <si>
    <t>V17551-PIND-0141-10</t>
  </si>
  <si>
    <t>S-5248</t>
  </si>
  <si>
    <t>DISPATCHED</t>
  </si>
  <si>
    <t>JXLU7835341</t>
  </si>
  <si>
    <t>A4251282344</t>
  </si>
  <si>
    <t>ZCSU7460137</t>
  </si>
  <si>
    <t>A4251282341</t>
  </si>
  <si>
    <t>ZCSU7955250</t>
  </si>
  <si>
    <t>A4251282348</t>
  </si>
  <si>
    <t>ZCSU7490321</t>
  </si>
  <si>
    <t>A4251282354</t>
  </si>
  <si>
    <t>ZCSU7202765</t>
  </si>
  <si>
    <t>A4251282359</t>
  </si>
  <si>
    <t>Dispatched</t>
  </si>
  <si>
    <t>FSCU8167312</t>
  </si>
  <si>
    <t>A4251282396</t>
  </si>
  <si>
    <t>JXLU6325338</t>
  </si>
  <si>
    <t>A4251282389</t>
  </si>
  <si>
    <t>JXLU4400520</t>
  </si>
  <si>
    <t>A4251282407</t>
  </si>
  <si>
    <t>ZCSU6617793</t>
  </si>
  <si>
    <t>A4251282420</t>
  </si>
  <si>
    <t>V17551-ERND-0309</t>
  </si>
  <si>
    <t>V17551-ERND-0309-01</t>
  </si>
  <si>
    <t>V17551-ERND-0313</t>
  </si>
  <si>
    <t>V17551-ERND-0313-01</t>
  </si>
  <si>
    <t>V17551-ERND-0314</t>
  </si>
  <si>
    <t>V17551-ERND-0314-01</t>
  </si>
  <si>
    <t>V17551-ERND-0315</t>
  </si>
  <si>
    <t>V17551-ERND-0315-01</t>
  </si>
  <si>
    <t>V17551-ERND-0316</t>
  </si>
  <si>
    <t>V17551-ERND-0316-01</t>
  </si>
  <si>
    <t>V17551-PIND-0301</t>
  </si>
  <si>
    <t>V17551-PIND-0301-01</t>
  </si>
  <si>
    <t>V17551-PIND-0302</t>
  </si>
  <si>
    <t>V17551-PIND-0302-01</t>
  </si>
  <si>
    <t>V17551-PIND-0303</t>
  </si>
  <si>
    <t>V17551-PIND-0303-01</t>
  </si>
  <si>
    <t>V17551-PIND-0304</t>
  </si>
  <si>
    <t>V17551-PIND-0304-01</t>
  </si>
  <si>
    <t>V17551-PIND-0305</t>
  </si>
  <si>
    <t>V17551-PIND-0305-01</t>
  </si>
  <si>
    <t>V17551-PIND-0306</t>
  </si>
  <si>
    <t>V17551-PIND-0306-01</t>
  </si>
  <si>
    <t>V17551-PIND-0307</t>
  </si>
  <si>
    <t>V17551-PIND-0307-01</t>
  </si>
  <si>
    <t>V17551-PIND-0308</t>
  </si>
  <si>
    <t>V17551-PIND-0308-01</t>
  </si>
  <si>
    <t>V17551-PIND-0309</t>
  </si>
  <si>
    <t>V17551-PIND-0309-01</t>
  </si>
  <si>
    <t>V17551-PIND-0310</t>
  </si>
  <si>
    <t>V17551-PIND-0310-01</t>
  </si>
  <si>
    <t>V17551-PIND-0311</t>
  </si>
  <si>
    <t>V17551-PIND-0311-01</t>
  </si>
  <si>
    <t>V17551-PIND-0312</t>
  </si>
  <si>
    <t>V17551-PIND-0312-01</t>
  </si>
  <si>
    <t>V17551-PIND-0313</t>
  </si>
  <si>
    <t>V17551-PIND-0313-01</t>
  </si>
  <si>
    <t>V17551-PIND-0314</t>
  </si>
  <si>
    <t>V17551-PIND-0314-01</t>
  </si>
  <si>
    <t>V17551-PIND-0315</t>
  </si>
  <si>
    <t>V17551-PIND-0315-01</t>
  </si>
  <si>
    <t>V17551-PIND-0316</t>
  </si>
  <si>
    <t>V17551-PIND-0316-01</t>
  </si>
  <si>
    <t>V17551-PIND-0317</t>
  </si>
  <si>
    <t>V17551-PIND-0317-01</t>
  </si>
  <si>
    <t>V17551-PIND-0318</t>
  </si>
  <si>
    <t>V17551-PIND-0318-01</t>
  </si>
  <si>
    <t>V17551-PIND-0319</t>
  </si>
  <si>
    <t>V17551-PIND-0319-01</t>
  </si>
  <si>
    <t>V17551-PIND-0320</t>
  </si>
  <si>
    <t>V17551-PIND-0320-01</t>
  </si>
  <si>
    <t>V17551-PIND-0321</t>
  </si>
  <si>
    <t>V17551-PIND-0321-01</t>
  </si>
  <si>
    <t>V17551-PIND-0322</t>
  </si>
  <si>
    <t>V17551-PIND-0322-01</t>
  </si>
  <si>
    <t>V17551-PIND-0323</t>
  </si>
  <si>
    <t>V17551-PIND-0323-01</t>
  </si>
  <si>
    <t>V17551-PIND-0324</t>
  </si>
  <si>
    <t>V17551-PIND-0324-01</t>
  </si>
  <si>
    <t>V17551-PIND-0325</t>
  </si>
  <si>
    <t>V17551-PIND-0325-01</t>
  </si>
  <si>
    <t>V17551-PIND-0326</t>
  </si>
  <si>
    <t>V17551-PIND-0326-01</t>
  </si>
  <si>
    <t>V17551-PIND-0327</t>
  </si>
  <si>
    <t>V17551-PIND-0327-01</t>
  </si>
  <si>
    <t>V17551-PIND-0328</t>
  </si>
  <si>
    <t>V17551-PIND-0328-01</t>
  </si>
  <si>
    <t>V17551-PIND-0329</t>
  </si>
  <si>
    <t>V17551-PIND-0329-01</t>
  </si>
  <si>
    <t>V17551-PIND-0330</t>
  </si>
  <si>
    <t>V17551-PIND-0330-01</t>
  </si>
  <si>
    <t>V17551-PIND-0331</t>
  </si>
  <si>
    <t>V17551-PIND-0331-01</t>
  </si>
  <si>
    <t>V17551-PIND-0332</t>
  </si>
  <si>
    <t>V17551-PIND-0332-01</t>
  </si>
  <si>
    <t>V17551-PIND-0333</t>
  </si>
  <si>
    <t>V17551-PIND-0333-01</t>
  </si>
  <si>
    <t>V17551-PIND-0334</t>
  </si>
  <si>
    <t>V17551-PIND-0334-01</t>
  </si>
  <si>
    <t>V17551-PIND-0335</t>
  </si>
  <si>
    <t>V17551-PIND-0335-01</t>
  </si>
  <si>
    <t>V17551-PIND-0336</t>
  </si>
  <si>
    <t>V17551-PIND-0336-01</t>
  </si>
  <si>
    <t>V17551-PIND-0337</t>
  </si>
  <si>
    <t>V17551-PIND-0337-01</t>
  </si>
  <si>
    <t>V17551-PIND-0338</t>
  </si>
  <si>
    <t>V17551-PIND-0338-01</t>
  </si>
  <si>
    <t>V17551-PIND-0339</t>
  </si>
  <si>
    <t>V17551-PIND-0339-01</t>
  </si>
  <si>
    <t>V17551-PIND-0340</t>
  </si>
  <si>
    <t>V17551-PIND-0340-01</t>
  </si>
  <si>
    <t>V17551-PIND-0341</t>
  </si>
  <si>
    <t>V17551-PIND-0341-01</t>
  </si>
  <si>
    <t>V17551-PIND-0342</t>
  </si>
  <si>
    <t>V17551-PIND-0342-01</t>
  </si>
  <si>
    <t>V17551-PIND-0343</t>
  </si>
  <si>
    <t>V17551-PIND-0343-01</t>
  </si>
  <si>
    <t>V17551-PIND-0344</t>
  </si>
  <si>
    <t>V17551-PIND-0344-01</t>
  </si>
  <si>
    <t>V17551-PIND-0345</t>
  </si>
  <si>
    <t>V17551-PIND-0345-01</t>
  </si>
  <si>
    <t>V17551-PIND-0346</t>
  </si>
  <si>
    <t>V17551-PIND-0346-01</t>
  </si>
  <si>
    <t>V17551-PIND-0347</t>
  </si>
  <si>
    <t>V17551-PIND-0347-01</t>
  </si>
  <si>
    <t>V17551-PIND-0348</t>
  </si>
  <si>
    <t>V17551-PIND-0348-01</t>
  </si>
  <si>
    <t>V17551-PIND-0349</t>
  </si>
  <si>
    <t>V17551-PIND-0349-04</t>
  </si>
  <si>
    <t>V17551-PIND-0350</t>
  </si>
  <si>
    <t>V17551-PIND-0350-01</t>
  </si>
  <si>
    <t>V17551-PIND-0351</t>
  </si>
  <si>
    <t>V17551-PIND-0351-01</t>
  </si>
  <si>
    <t>V17551-PIND-0352</t>
  </si>
  <si>
    <t>V17551-PIND-0352-01</t>
  </si>
  <si>
    <t>V17551-PIND-0353</t>
  </si>
  <si>
    <t>V17551-PIND-0353-01</t>
  </si>
  <si>
    <t>V17551-PIND-0354</t>
  </si>
  <si>
    <t>V17551-PIND-0354-01</t>
  </si>
  <si>
    <t>V17551-PIND-0355</t>
  </si>
  <si>
    <t>V17551-PIND-0355-01</t>
  </si>
  <si>
    <t>V17551-PIND-0356</t>
  </si>
  <si>
    <t>V17551-PIND-0356-01</t>
  </si>
  <si>
    <t>V17551-PIND-0357</t>
  </si>
  <si>
    <t>V17551-PIND-0357-01</t>
  </si>
  <si>
    <t>V17551-PIND-0358</t>
  </si>
  <si>
    <t>V17551-PIND-0358-01</t>
  </si>
  <si>
    <t>V17551-PIND-0359</t>
  </si>
  <si>
    <t>V17551-PIND-0359-01</t>
  </si>
  <si>
    <t>V17551-PIND-0360</t>
  </si>
  <si>
    <t>V17551-PIND-0360-01</t>
  </si>
  <si>
    <t>V17551-PIND-0361</t>
  </si>
  <si>
    <t>V17551-PIND-0361-01</t>
  </si>
  <si>
    <t>V17551-PIND-0362</t>
  </si>
  <si>
    <t>V17551-PIND-0362-01</t>
  </si>
  <si>
    <t>V17551-PIND-0363</t>
  </si>
  <si>
    <t>V17551-PIND-0363-01</t>
  </si>
  <si>
    <t>V17551-PIND-0364</t>
  </si>
  <si>
    <t>V17551-PIND-0364-01</t>
  </si>
  <si>
    <t>V17551-PIND-0365</t>
  </si>
  <si>
    <t>V17551-PIND-0365-01</t>
  </si>
  <si>
    <t>V17551-PIND-0366</t>
  </si>
  <si>
    <t>V17551-PIND-0366-01</t>
  </si>
  <si>
    <t>V17551-PIND-0367</t>
  </si>
  <si>
    <t>V17551-PIND-0367-01</t>
  </si>
  <si>
    <t>V17551-PIND-0368</t>
  </si>
  <si>
    <t>V17551-PIND-0368-01</t>
  </si>
  <si>
    <t>V17551-PIND-0369</t>
  </si>
  <si>
    <t>V17551-PIND-0369-01</t>
  </si>
  <si>
    <t>V17551-PIND-0370</t>
  </si>
  <si>
    <t>V17551-PIND-0370-01</t>
  </si>
  <si>
    <t>V17551-PIND-0371</t>
  </si>
  <si>
    <t>V17551-PIND-0371-01</t>
  </si>
  <si>
    <t>V17551-PIND-0372</t>
  </si>
  <si>
    <t>V17551-PIND-0372-01</t>
  </si>
  <si>
    <t>V17551-PIND-0373</t>
  </si>
  <si>
    <t>V17551-PIND-0373-01</t>
  </si>
  <si>
    <t>V17551-PIND-0374</t>
  </si>
  <si>
    <t>V17551-PIND-0374-01</t>
  </si>
  <si>
    <t>V17551-PIND-0375</t>
  </si>
  <si>
    <t>V17551-PIND-0375-01</t>
  </si>
  <si>
    <t>V17551-PIND-0376</t>
  </si>
  <si>
    <t>V17551-PIND-0376-01</t>
  </si>
  <si>
    <t>V17551-PIND-0377</t>
  </si>
  <si>
    <t>V17551-PIND-0377-01</t>
  </si>
  <si>
    <t>V17551-PIND-0378</t>
  </si>
  <si>
    <t>V17551-PIND-0378-01</t>
  </si>
  <si>
    <t>V17551-PIND-0379</t>
  </si>
  <si>
    <t>V17551-PIND-0379-01</t>
  </si>
  <si>
    <t>V17551-PIND-0380</t>
  </si>
  <si>
    <t>V17551-PIND-0380-01</t>
  </si>
  <si>
    <t>V17551-PIND-0381</t>
  </si>
  <si>
    <t>V17551-PIND-0381-01</t>
  </si>
  <si>
    <t>V17551-PIND-0382</t>
  </si>
  <si>
    <t>V17551-PIND-0382-01</t>
  </si>
  <si>
    <t>V17551-PIND-0383</t>
  </si>
  <si>
    <t>V17551-PIND-0383-01</t>
  </si>
  <si>
    <t>V17551-PIND-0384</t>
  </si>
  <si>
    <t>V17551-PIND-0384-01</t>
  </si>
  <si>
    <t>V17551-PIND-0385</t>
  </si>
  <si>
    <t>V17551-PIND-0385-06</t>
  </si>
  <si>
    <t>V17551-PIND-0386</t>
  </si>
  <si>
    <t>V17551-PIND-0386-01</t>
  </si>
  <si>
    <t>V17551-PIND-0387</t>
  </si>
  <si>
    <t>V17551-PIND-0387-01</t>
  </si>
  <si>
    <t>V17551-PIND-0388</t>
  </si>
  <si>
    <t>V17551-PIND-0388-01</t>
  </si>
  <si>
    <t>V17551-PIND-0389</t>
  </si>
  <si>
    <t>V17551-PIND-0389-01</t>
  </si>
  <si>
    <t>V17551-PIND-0390</t>
  </si>
  <si>
    <t>V17551-PIND-0390-01</t>
  </si>
  <si>
    <t>V17551-PIND-0391</t>
  </si>
  <si>
    <t>V17551-PIND-0391-01</t>
  </si>
  <si>
    <t>V17551-PIND-0392</t>
  </si>
  <si>
    <t>V17551-PIND-0392-01</t>
  </si>
  <si>
    <t>V17551-PIND-0393</t>
  </si>
  <si>
    <t>V17551-PIND-0393-01</t>
  </si>
  <si>
    <t>V17551-PIND-0394</t>
  </si>
  <si>
    <t>V17551-PIND-0394-01</t>
  </si>
  <si>
    <t>V17551-PIND-0395</t>
  </si>
  <si>
    <t>V17551-PIND-0395-01</t>
  </si>
  <si>
    <t>V17551-PIND-0396</t>
  </si>
  <si>
    <t>V17551-PIND-0396-01</t>
  </si>
  <si>
    <t>V17551-PIND-0397</t>
  </si>
  <si>
    <t>V17551-PIND-0397-01</t>
  </si>
  <si>
    <t>V17551-PIND-0398</t>
  </si>
  <si>
    <t>V17551-PIND-0398-01</t>
  </si>
  <si>
    <t>V17551-PIND-0399</t>
  </si>
  <si>
    <t>V17551-PIND-0399-01</t>
  </si>
  <si>
    <t>V17551-PIND-0400</t>
  </si>
  <si>
    <t>V17551-PIND-0400-01</t>
  </si>
  <si>
    <t>V17551-PIND-0401</t>
  </si>
  <si>
    <t>V17551-PIND-0401-01</t>
  </si>
  <si>
    <t>V17551-PIND-0402</t>
  </si>
  <si>
    <t>V17551-PIND-0402-01</t>
  </si>
  <si>
    <t>V17551-PIND-0403</t>
  </si>
  <si>
    <t>V17551-PIND-0403-01</t>
  </si>
  <si>
    <t>V17551-PIND-0404</t>
  </si>
  <si>
    <t>V17551-PIND-0404-01</t>
  </si>
  <si>
    <t>V17551-PIND-0405</t>
  </si>
  <si>
    <t>V17551-PIND-0405-01</t>
  </si>
  <si>
    <t>V17551-PIND-0406</t>
  </si>
  <si>
    <t>V17551-PIND-0406-01</t>
  </si>
  <si>
    <t>V17551-PIND-0407</t>
  </si>
  <si>
    <t>V17551-PIND-0407-01</t>
  </si>
  <si>
    <t>V17551-PIND-0408</t>
  </si>
  <si>
    <t>V17551-PIND-0408-01</t>
  </si>
  <si>
    <t>V17551-PIND-0409</t>
  </si>
  <si>
    <t>V17551-PIND-0409-01</t>
  </si>
  <si>
    <t>V17551-PIND-0410</t>
  </si>
  <si>
    <t>V17551-PIND-0410-01</t>
  </si>
  <si>
    <t>V17551-PIND-0411</t>
  </si>
  <si>
    <t>V17551-PIND-0411-01</t>
  </si>
  <si>
    <t>V17551-PIND-0412</t>
  </si>
  <si>
    <t>V17551-PIND-0412-01</t>
  </si>
  <si>
    <t>V17551-PIND-0413</t>
  </si>
  <si>
    <t>V17551-PIND-0413-01</t>
  </si>
  <si>
    <t>V17551-PIND-0414</t>
  </si>
  <si>
    <t>V17551-PIND-0414-01</t>
  </si>
  <si>
    <t>V17551-PIND-0415</t>
  </si>
  <si>
    <t>V17551-PIND-0415-01</t>
  </si>
  <si>
    <t>V17551-PIND-0416</t>
  </si>
  <si>
    <t>V17551-PIND-0416-01</t>
  </si>
  <si>
    <t>V17551-PIND-0417</t>
  </si>
  <si>
    <t>V17551-PIND-0417-01</t>
  </si>
  <si>
    <t>V17551-PIND-0418</t>
  </si>
  <si>
    <t>V17551-PIND-0418-01</t>
  </si>
  <si>
    <t>V17551-PIND-0419</t>
  </si>
  <si>
    <t>V17551-PIND-0419-01</t>
  </si>
  <si>
    <t>V17551-PIND-0420</t>
  </si>
  <si>
    <t>V17551-PIND-0420-01</t>
  </si>
  <si>
    <t>V17551-PIND-0421</t>
  </si>
  <si>
    <t>V17551-PIND-0421-01</t>
  </si>
  <si>
    <t>V17551-PIND-0422</t>
  </si>
  <si>
    <t>V17551-PIND-0422-01</t>
  </si>
  <si>
    <t>V17551-PIND-0423</t>
  </si>
  <si>
    <t>V17551-PIND-0423-01</t>
  </si>
  <si>
    <t>V17551-PIND-0424</t>
  </si>
  <si>
    <t>V17551-PIND-0424-01</t>
  </si>
  <si>
    <t>V17551-PIND-0425</t>
  </si>
  <si>
    <t>V17551-PIND-0425-01</t>
  </si>
  <si>
    <t>V17551-PIND-0426</t>
  </si>
  <si>
    <t>V17551-PIND-0426-01</t>
  </si>
  <si>
    <t>V17551-PIND-0427</t>
  </si>
  <si>
    <t>V17551-PIND-0427-01</t>
  </si>
  <si>
    <t>V17551-PIND-0428</t>
  </si>
  <si>
    <t>V17551-PIND-0428-01</t>
  </si>
  <si>
    <t>V17551-PIND-0429</t>
  </si>
  <si>
    <t>V17551-PIND-0429-01</t>
  </si>
  <si>
    <t>V17551-PIND-0430</t>
  </si>
  <si>
    <t>V17551-PIND-0430-01</t>
  </si>
  <si>
    <t>V17551-PIND-0431</t>
  </si>
  <si>
    <t>V17551-PIND-0431-01</t>
  </si>
  <si>
    <t>V17551-PIND-0433</t>
  </si>
  <si>
    <t>V17551-PIND-0433-01</t>
  </si>
  <si>
    <t>V17551-PIND-0434</t>
  </si>
  <si>
    <t>V17551-PIND-0434-01</t>
  </si>
  <si>
    <t>V17551-PIND-0435</t>
  </si>
  <si>
    <t>V17551-PIND-0435-01</t>
  </si>
  <si>
    <t>V17551-PIND-0436</t>
  </si>
  <si>
    <t>V17551-PIND-0436-01</t>
  </si>
  <si>
    <t>V17551-PIND-0437</t>
  </si>
  <si>
    <t>V17551-PIND-0437-01</t>
  </si>
  <si>
    <t>V17551-PIND-0438</t>
  </si>
  <si>
    <t>V17551-PIND-0438-01</t>
  </si>
  <si>
    <t>V17551-PIND-0439</t>
  </si>
  <si>
    <t>V17551-PIND-0439-01</t>
  </si>
  <si>
    <t>V17551-PIND-0440</t>
  </si>
  <si>
    <t>V17551-PIND-0440-01</t>
  </si>
  <si>
    <t>V17551-PIND-0441</t>
  </si>
  <si>
    <t>V17551-PIND-0441-01</t>
  </si>
  <si>
    <t>V17551-PIND-0442</t>
  </si>
  <si>
    <t>V17551-PIND-0442-01</t>
  </si>
  <si>
    <t>V17551-PIND-0443</t>
  </si>
  <si>
    <t>V17551-PIND-0443-01</t>
  </si>
  <si>
    <t>V17551-PIND-0444</t>
  </si>
  <si>
    <t>V17551-PIND-0444-01</t>
  </si>
  <si>
    <t>V17551-PIND-0445</t>
  </si>
  <si>
    <t>V17551-PIND-0445-01</t>
  </si>
  <si>
    <t>V17551-PIND-0446</t>
  </si>
  <si>
    <t>V17551-PIND-0446-01</t>
  </si>
  <si>
    <t>V17551-PIND-0447</t>
  </si>
  <si>
    <t>V17551-PIND-0447-01</t>
  </si>
  <si>
    <t>V17551-PIND-0448</t>
  </si>
  <si>
    <t>V17551-PIND-0448-01</t>
  </si>
  <si>
    <t>V17551-PIND-0449</t>
  </si>
  <si>
    <t>V17551-PIND-0449-01</t>
  </si>
  <si>
    <t>V17551-PIND-0450</t>
  </si>
  <si>
    <t>V17551-PIND-0450-01</t>
  </si>
  <si>
    <t>V17551-PIND-0451</t>
  </si>
  <si>
    <t>V17551-PIND-0451-01</t>
  </si>
  <si>
    <t>V17551-PIND-0452</t>
  </si>
  <si>
    <t>V17551-PIND-0452-01</t>
  </si>
  <si>
    <t>V17551-PIND-0453</t>
  </si>
  <si>
    <t>V17551-PIND-0453-01</t>
  </si>
  <si>
    <t>V17551-PIND-0454</t>
  </si>
  <si>
    <t>V17551-PIND-0454-01</t>
  </si>
  <si>
    <t>V17551-PIND-0455</t>
  </si>
  <si>
    <t>V17551-PIND-0455-01</t>
  </si>
  <si>
    <t>V17551-PIND-0456</t>
  </si>
  <si>
    <t>V17551-PIND-0456-01</t>
  </si>
  <si>
    <t>V17551-PIND-0457</t>
  </si>
  <si>
    <t>V17551-PIND-0457-01</t>
  </si>
  <si>
    <t>V17551-PIND-0458</t>
  </si>
  <si>
    <t>V17551-PIND-0458-01</t>
  </si>
  <si>
    <t>V17551-PIND-0459</t>
  </si>
  <si>
    <t>V17551-PIND-0459-01</t>
  </si>
  <si>
    <t>V17551-PIND-0460</t>
  </si>
  <si>
    <t>V17551-PIND-0460-01</t>
  </si>
  <si>
    <t>V17551-PIND-0461</t>
  </si>
  <si>
    <t>V17551-PIND-0461-01</t>
  </si>
  <si>
    <t>V17551-PIND-0462</t>
  </si>
  <si>
    <t>V17551-PIND-0462-01</t>
  </si>
  <si>
    <t>V17551-PIND-0463</t>
  </si>
  <si>
    <t>V17551-PIND-0463-01</t>
  </si>
  <si>
    <t>V17551-PIND-0464</t>
  </si>
  <si>
    <t>V17551-PIND-0464-01</t>
  </si>
  <si>
    <t>V17551-PIND-0465</t>
  </si>
  <si>
    <t>V17551-PIND-0465-01</t>
  </si>
  <si>
    <t>V17551-PIND-0466</t>
  </si>
  <si>
    <t>V17551-PIND-0466-01</t>
  </si>
  <si>
    <t>V17551-PIND-0467</t>
  </si>
  <si>
    <t>V17551-PIND-0467-01</t>
  </si>
  <si>
    <t>V17551-PIND-0468</t>
  </si>
  <si>
    <t>V17551-PIND-0468-01</t>
  </si>
  <si>
    <t>V17551-PIND-0469</t>
  </si>
  <si>
    <t>V17551-PIND-0469-01</t>
  </si>
  <si>
    <t>V17551-PIND-0470</t>
  </si>
  <si>
    <t>V17551-PIND-0470-01</t>
  </si>
  <si>
    <t>V17551-PIND-0471</t>
  </si>
  <si>
    <t>V17551-PIND-0471-01</t>
  </si>
  <si>
    <t>V17551-PIND-0472</t>
  </si>
  <si>
    <t>V17551-PIND-0472-01</t>
  </si>
  <si>
    <t>V17551-PIND-0473</t>
  </si>
  <si>
    <t>V17551-PIND-0473-01</t>
  </si>
  <si>
    <t>V17551-PIND-0474</t>
  </si>
  <si>
    <t>V17551-PIND-0474-01</t>
  </si>
  <si>
    <t>V17551-PIND-0475</t>
  </si>
  <si>
    <t>V17551-PIND-0475-01</t>
  </si>
  <si>
    <t>V17551-PIND-0476</t>
  </si>
  <si>
    <t>V17551-PIND-0476-01</t>
  </si>
  <si>
    <t>V17551-PIND-0477</t>
  </si>
  <si>
    <t>V17551-PIND-0477-01</t>
  </si>
  <si>
    <t>V17551-PIND-0478</t>
  </si>
  <si>
    <t>V17551-PIND-0478-01</t>
  </si>
  <si>
    <t>V17551-PIND-0479</t>
  </si>
  <si>
    <t>V17551-PIND-0479-01</t>
  </si>
  <si>
    <t>V17551-PIND-0480</t>
  </si>
  <si>
    <t>V17551-PIND-0480-01</t>
  </si>
  <si>
    <t>V17551-PIND-0481</t>
  </si>
  <si>
    <t>V17551-PIND-0481-01</t>
  </si>
  <si>
    <t>V17551-PIND-0482</t>
  </si>
  <si>
    <t>V17551-PIND-0482-01</t>
  </si>
  <si>
    <t>V17551-PIND-0483</t>
  </si>
  <si>
    <t>V17551-PIND-0483-01</t>
  </si>
  <si>
    <t>V17551-PIND-0484</t>
  </si>
  <si>
    <t>V17551-PIND-0484-01</t>
  </si>
  <si>
    <t>V17551-PIND-0485</t>
  </si>
  <si>
    <t>V17551-PIND-0485-01</t>
  </si>
  <si>
    <t>V17551-PIND-0486</t>
  </si>
  <si>
    <t>V17551-PIND-0486-01</t>
  </si>
  <si>
    <t>V17551-PIND-0487</t>
  </si>
  <si>
    <t>V17551-PIND-0487-01</t>
  </si>
  <si>
    <t>V17551-PIND-0488</t>
  </si>
  <si>
    <t>V17551-PIND-0488-01</t>
  </si>
  <si>
    <t>V17551-PIND-0489</t>
  </si>
  <si>
    <t>V17551-PIND-0489-01</t>
  </si>
  <si>
    <t>V17551-PIND-0490</t>
  </si>
  <si>
    <t>V17551-PIND-0490-01</t>
  </si>
  <si>
    <t>V17551-PIND-0491</t>
  </si>
  <si>
    <t>V17551-PIND-0491-01</t>
  </si>
  <si>
    <t>V17551-PIND-0492</t>
  </si>
  <si>
    <t>V17551-PIND-0492-01</t>
  </si>
  <si>
    <t>V17551-PIND-0493</t>
  </si>
  <si>
    <t>V17551-PIND-0493-01</t>
  </si>
  <si>
    <t>V17551-PIND-0494</t>
  </si>
  <si>
    <t>V17551-PIND-0494-01</t>
  </si>
  <si>
    <t>V17551-PIND-0495</t>
  </si>
  <si>
    <t>V17551-PIND-0495-01</t>
  </si>
  <si>
    <t>V17551-PIND-0496</t>
  </si>
  <si>
    <t>V17551-PIND-0496-01</t>
  </si>
  <si>
    <t>V17551-PIND-0497</t>
  </si>
  <si>
    <t>V17551-PIND-0497-01</t>
  </si>
  <si>
    <t>V17551-PIND-0498</t>
  </si>
  <si>
    <t>V17551-PIND-0498-01</t>
  </si>
  <si>
    <t>V17551-PIND-0499</t>
  </si>
  <si>
    <t>V17551-PIND-0499-01</t>
  </si>
  <si>
    <t>V17551-PIND-0500</t>
  </si>
  <si>
    <t>V17551-PIND-0500-01</t>
  </si>
  <si>
    <t>V17551-PIND-0501</t>
  </si>
  <si>
    <t>V17551-PIND-0501-01</t>
  </si>
  <si>
    <t>V17551-PIND-0502</t>
  </si>
  <si>
    <t>V17551-PIND-0502-01</t>
  </si>
  <si>
    <t>V17551-PIND-0503</t>
  </si>
  <si>
    <t>V17551-PIND-0503-01</t>
  </si>
  <si>
    <t>V17551-PIND-0504</t>
  </si>
  <si>
    <t>V17551-PIND-0504-01</t>
  </si>
  <si>
    <t>V17551-PIND-0505</t>
  </si>
  <si>
    <t>V17551-PIND-0505-01</t>
  </si>
  <si>
    <t>V17551-PIND-0506</t>
  </si>
  <si>
    <t>V17551-PIND-0506-01</t>
  </si>
  <si>
    <t>V17551-PIND-0507</t>
  </si>
  <si>
    <t>V17551-PIND-0507-01</t>
  </si>
  <si>
    <t>V17551-PIND-0508</t>
  </si>
  <si>
    <t>V17551-PIND-0508-01</t>
  </si>
  <si>
    <t>V17551-PIND-0509</t>
  </si>
  <si>
    <t>V17551-PIND-0509-01</t>
  </si>
  <si>
    <t>V17551-PIND-0510</t>
  </si>
  <si>
    <t>V17551-PIND-0510-01</t>
  </si>
  <si>
    <t>V17551-PIND-0511</t>
  </si>
  <si>
    <t>V17551-PIND-0511-01</t>
  </si>
  <si>
    <t>V17551-PIND-0512</t>
  </si>
  <si>
    <t>V17551-PIND-0512-01</t>
  </si>
  <si>
    <t>V17551-PIND-0513</t>
  </si>
  <si>
    <t>V17551-PIND-0513-01</t>
  </si>
  <si>
    <t>V17551-PIND-0514</t>
  </si>
  <si>
    <t>V17551-PIND-0514-01</t>
  </si>
  <si>
    <t>V17551-PIND-0515</t>
  </si>
  <si>
    <t>V17551-PIND-0515-01</t>
  </si>
  <si>
    <t>V17551-PIND-0516</t>
  </si>
  <si>
    <t>V17551-PIND-0516-01</t>
  </si>
  <si>
    <t>V17551-PIND-0517</t>
  </si>
  <si>
    <t>V17551-PIND-0517-01</t>
  </si>
  <si>
    <t>V17551-PIND-0518</t>
  </si>
  <si>
    <t>V17551-PIND-0518-01</t>
  </si>
  <si>
    <t>V17551-PIND-0519</t>
  </si>
  <si>
    <t>V17551-PIND-0519-01</t>
  </si>
  <si>
    <t>V17551-PIND-0520</t>
  </si>
  <si>
    <t>V17551-PIND-0520-01</t>
  </si>
  <si>
    <t>V17551-PIND-0521</t>
  </si>
  <si>
    <t>V17551-PIND-0521-01</t>
  </si>
  <si>
    <t>V17551-PIND-0522</t>
  </si>
  <si>
    <t>V17551-PIND-0522-01</t>
  </si>
  <si>
    <t>V17551-PIND-0523</t>
  </si>
  <si>
    <t>V17551-PIND-0523-01</t>
  </si>
  <si>
    <t>V17551-PIND-0524</t>
  </si>
  <si>
    <t>V17551-PIND-0524-01</t>
  </si>
  <si>
    <t>V17551-PIND-0525</t>
  </si>
  <si>
    <t>V17551-PIND-0525-01</t>
  </si>
  <si>
    <t>V17551-PIND-0526</t>
  </si>
  <si>
    <t>V17551-PIND-0526-01</t>
  </si>
  <si>
    <t>V17551-PIND-0527</t>
  </si>
  <si>
    <t>V17551-PIND-0527-01</t>
  </si>
  <si>
    <t>V17551-PIND-0528</t>
  </si>
  <si>
    <t>V17551-PIND-0528-01</t>
  </si>
  <si>
    <t>V17551-PIND-0529</t>
  </si>
  <si>
    <t>V17551-PIND-0529-01</t>
  </si>
  <si>
    <t>V17551-PIND-0530</t>
  </si>
  <si>
    <t>V17551-PIND-0530-01</t>
  </si>
  <si>
    <t>V17551-PIND-0536</t>
  </si>
  <si>
    <t>V17551-PIND-0536-01</t>
  </si>
  <si>
    <t>V17551-PIND-0537</t>
  </si>
  <si>
    <t>V17551-PIND-0537-01</t>
  </si>
  <si>
    <t>V17551-PIND-0538</t>
  </si>
  <si>
    <t>V17551-PIND-0538-01</t>
  </si>
  <si>
    <t>V17551-PIND-0539</t>
  </si>
  <si>
    <t>V17551-PIND-0539-01</t>
  </si>
  <si>
    <t>V17551-PIND-0540</t>
  </si>
  <si>
    <t>V17551-PIND-0540-01</t>
  </si>
  <si>
    <t>V17551-PIND-0541</t>
  </si>
  <si>
    <t>V17551-PIND-0541-01</t>
  </si>
  <si>
    <t>V17551-PIND-0542</t>
  </si>
  <si>
    <t>V17551-PIND-0542-01</t>
  </si>
  <si>
    <t>V17551-PIND-0543</t>
  </si>
  <si>
    <t>V17551-PIND-0543-01</t>
  </si>
  <si>
    <t>V17551-PIND-0544</t>
  </si>
  <si>
    <t>V17551-PIND-0544-01</t>
  </si>
  <si>
    <t>V17551-PIND-0545</t>
  </si>
  <si>
    <t>V17551-PIND-0545-01</t>
  </si>
  <si>
    <t>V17551-PIND-0546</t>
  </si>
  <si>
    <t>V17551-PIND-0546-01</t>
  </si>
  <si>
    <t>V17551-PIND-0547</t>
  </si>
  <si>
    <t>V17551-PIND-0547-01</t>
  </si>
  <si>
    <t>V17551-PIND-0548</t>
  </si>
  <si>
    <t>V17551-PIND-0548-01</t>
  </si>
  <si>
    <t>V17551-PIND-0549</t>
  </si>
  <si>
    <t>V17551-PIND-0549-01</t>
  </si>
  <si>
    <t>V17551-PIND-0550</t>
  </si>
  <si>
    <t>V17551-PIND-0550-01</t>
  </si>
  <si>
    <t>V17551-PIND-0551</t>
  </si>
  <si>
    <t>V17551-PIND-0551-01</t>
  </si>
  <si>
    <t>V17551-PIND-0552</t>
  </si>
  <si>
    <t>V17551-PIND-0552-01</t>
  </si>
  <si>
    <t>V17551-PIND-0553</t>
  </si>
  <si>
    <t>V17551-PIND-0553-01</t>
  </si>
  <si>
    <t>V17551-PIND-0554</t>
  </si>
  <si>
    <t>V17551-PIND-0554-01</t>
  </si>
  <si>
    <t>V17551-PIND-0555</t>
  </si>
  <si>
    <t>V17551-PIND-0555-01</t>
  </si>
  <si>
    <t>V17551-PIND-0556</t>
  </si>
  <si>
    <t>V17551-PIND-0556-01</t>
  </si>
  <si>
    <t>V17551-PIND-0557</t>
  </si>
  <si>
    <t>V17551-PIND-0557-01</t>
  </si>
  <si>
    <t>V17551-PIND-0558</t>
  </si>
  <si>
    <t>V17551-PIND-0558-01</t>
  </si>
  <si>
    <t>V17551-PIND-0559</t>
  </si>
  <si>
    <t>V17551-PIND-0559-01</t>
  </si>
  <si>
    <t>V17551-PIND-0560</t>
  </si>
  <si>
    <t>V17551-PIND-0560-01</t>
  </si>
  <si>
    <t>V17551-PIND-0561</t>
  </si>
  <si>
    <t>V17551-PIND-0561-01</t>
  </si>
  <si>
    <t>V17551-PIND-0562</t>
  </si>
  <si>
    <t>V17551-PIND-0562-01</t>
  </si>
  <si>
    <t>V17551-PIND-0563</t>
  </si>
  <si>
    <t>V17551-PIND-0563-01</t>
  </si>
  <si>
    <t>V17551-PIND-0564</t>
  </si>
  <si>
    <t>V17551-PIND-0564-01</t>
  </si>
  <si>
    <t>V17551-PIND-0565</t>
  </si>
  <si>
    <t>V17551-PIND-0565-01</t>
  </si>
  <si>
    <t>V17551-PIND-0566</t>
  </si>
  <si>
    <t>V17551-PIND-0566-01</t>
  </si>
  <si>
    <t>V17551-PIND-0567</t>
  </si>
  <si>
    <t>V17551-PIND-0567-01</t>
  </si>
  <si>
    <t>V17551-PIND-0568</t>
  </si>
  <si>
    <t>V17551-PIND-0568-01</t>
  </si>
  <si>
    <t>V17551-PIND-0569</t>
  </si>
  <si>
    <t>V17551-PIND-0569-01</t>
  </si>
  <si>
    <t>V17551-PIND-0570</t>
  </si>
  <si>
    <t>V17551-PIND-0570-01</t>
  </si>
  <si>
    <t>V17551-PIND-0571</t>
  </si>
  <si>
    <t>V17551-PIND-0571-01</t>
  </si>
  <si>
    <t>V17551-PIND-0572</t>
  </si>
  <si>
    <t>V17551-PIND-0572-01</t>
  </si>
  <si>
    <t>V17551-PIND-0573</t>
  </si>
  <si>
    <t>V17551-PIND-0573-01</t>
  </si>
  <si>
    <t>V17551-PIND-0574</t>
  </si>
  <si>
    <t>V17551-PIND-0574-07</t>
  </si>
  <si>
    <t>V17551-PIND-0575</t>
  </si>
  <si>
    <t>V17551-PIND-0575-06</t>
  </si>
  <si>
    <t>V17551-PIND-0576</t>
  </si>
  <si>
    <t>V17551-PIND-0576-01</t>
  </si>
  <si>
    <t>V17551-PIND-0577</t>
  </si>
  <si>
    <t>V17551-PIND-0577-01</t>
  </si>
  <si>
    <t>V17551-PIND-0578</t>
  </si>
  <si>
    <t>V17551-PIND-0578-01</t>
  </si>
  <si>
    <t>V17551-PIND-0579</t>
  </si>
  <si>
    <t>V17551-PIND-0579-01</t>
  </si>
  <si>
    <t>V17551-PIND-0580</t>
  </si>
  <si>
    <t>V17551-PIND-0580-01</t>
  </si>
  <si>
    <t>V17551-PIND-0581</t>
  </si>
  <si>
    <t>V17551-PIND-0581-01</t>
  </si>
  <si>
    <t>V17551-PIND-0582</t>
  </si>
  <si>
    <t>V17551-PIND-0582-01</t>
  </si>
  <si>
    <t>V17551-PIND-0583</t>
  </si>
  <si>
    <t>V17551-PIND-0583-01</t>
  </si>
  <si>
    <t>V17551-PIND-0584</t>
  </si>
  <si>
    <t>V17551-PIND-0584-01</t>
  </si>
  <si>
    <t>V17551-PIND-0585</t>
  </si>
  <si>
    <t>V17551-PIND-0585-01</t>
  </si>
  <si>
    <t>V17551-ERND-0313-02</t>
  </si>
  <si>
    <t>V17551-ERND-0314-02</t>
  </si>
  <si>
    <t>V17551-ERND-0315-02</t>
  </si>
  <si>
    <t>V17551-ERND-0316-02</t>
  </si>
  <si>
    <t>V17551-PIND-0301-02</t>
  </si>
  <si>
    <t>V17551-PIND-0304-02</t>
  </si>
  <si>
    <t>V17551-PIND-0305-02</t>
  </si>
  <si>
    <t>V17551-PIND-0306-02</t>
  </si>
  <si>
    <t>V17551-PIND-0307-02</t>
  </si>
  <si>
    <t>V17551-PIND-0308-02</t>
  </si>
  <si>
    <t>V17551-PIND-0309-02</t>
  </si>
  <si>
    <t>V17551-PIND-0310-02</t>
  </si>
  <si>
    <t>V17551-PIND-0311-02</t>
  </si>
  <si>
    <t>V17551-PIND-0312-02</t>
  </si>
  <si>
    <t>V17551-PIND-0313-02</t>
  </si>
  <si>
    <t>V17551-PIND-0314-02</t>
  </si>
  <si>
    <t>V17551-PIND-0315-02</t>
  </si>
  <si>
    <t>V17551-PIND-0316-02</t>
  </si>
  <si>
    <t>V17551-PIND-0318-02</t>
  </si>
  <si>
    <t>V17551-PIND-0319-02</t>
  </si>
  <si>
    <t>V17551-PIND-0320-02</t>
  </si>
  <si>
    <t>V17551-PIND-0321-02</t>
  </si>
  <si>
    <t>V17551-PIND-0322-02</t>
  </si>
  <si>
    <t>V17551-PIND-0323-02</t>
  </si>
  <si>
    <t>V17551-PIND-0324-02</t>
  </si>
  <si>
    <t>V17551-PIND-0325-02</t>
  </si>
  <si>
    <t>V17551-PIND-0326-02</t>
  </si>
  <si>
    <t>V17551-PIND-0327-02</t>
  </si>
  <si>
    <t>V17551-PIND-0328-02</t>
  </si>
  <si>
    <t>V17551-PIND-0329-02</t>
  </si>
  <si>
    <t>V17551-PIND-0330-02</t>
  </si>
  <si>
    <t>V17551-PIND-0331-02</t>
  </si>
  <si>
    <t>V17551-PIND-0332-02</t>
  </si>
  <si>
    <t>V17551-PIND-0333-02</t>
  </si>
  <si>
    <t>V17551-PIND-0334-02</t>
  </si>
  <si>
    <t>V17551-PIND-0335-02</t>
  </si>
  <si>
    <t>V17551-PIND-0336-02</t>
  </si>
  <si>
    <t>V17551-PIND-0337-02</t>
  </si>
  <si>
    <t>V17551-PIND-0339-02</t>
  </si>
  <si>
    <t>V17551-PIND-0340-02</t>
  </si>
  <si>
    <t>V17551-PIND-0341-02</t>
  </si>
  <si>
    <t>V17551-PIND-0342-02</t>
  </si>
  <si>
    <t>V17551-PIND-0343-02</t>
  </si>
  <si>
    <t>V17551-PIND-0344-02</t>
  </si>
  <si>
    <t>V17551-PIND-0345-02</t>
  </si>
  <si>
    <t>V17551-PIND-0346-02</t>
  </si>
  <si>
    <t>V17551-PIND-0347-02</t>
  </si>
  <si>
    <t>V17551-PIND-0348-02</t>
  </si>
  <si>
    <t>V17551-PIND-0349-05</t>
  </si>
  <si>
    <t>V17551-PIND-0355-02</t>
  </si>
  <si>
    <t>V17551-PIND-0356-02</t>
  </si>
  <si>
    <t>V17551-PIND-0361-02</t>
  </si>
  <si>
    <t>V17551-PIND-0362-02</t>
  </si>
  <si>
    <t>V17551-PIND-0363-02</t>
  </si>
  <si>
    <t>V17551-PIND-0366-02</t>
  </si>
  <si>
    <t>V17551-PIND-0367-02</t>
  </si>
  <si>
    <t>V17551-PIND-0371-02</t>
  </si>
  <si>
    <t>V17551-PIND-0372-02</t>
  </si>
  <si>
    <t>V17551-PIND-0373-02</t>
  </si>
  <si>
    <t>V17551-PIND-0374-02</t>
  </si>
  <si>
    <t>V17551-PIND-0375-02</t>
  </si>
  <si>
    <t>V17551-PIND-0376-02</t>
  </si>
  <si>
    <t>V17551-PIND-0377-02</t>
  </si>
  <si>
    <t>V17551-PIND-0380-02</t>
  </si>
  <si>
    <t>V17551-PIND-0381-02</t>
  </si>
  <si>
    <t>V17551-PIND-0382-02</t>
  </si>
  <si>
    <t>V17551-PIND-0383-02</t>
  </si>
  <si>
    <t>V17551-PIND-0384-02</t>
  </si>
  <si>
    <t>V17551-PIND-0385-07</t>
  </si>
  <si>
    <t>V17551-PIND-0389-02</t>
  </si>
  <si>
    <t>V17551-PIND-0390-02</t>
  </si>
  <si>
    <t>V17551-PIND-0391-02</t>
  </si>
  <si>
    <t>V17551-PIND-0392-02</t>
  </si>
  <si>
    <t>V17551-PIND-0395-02</t>
  </si>
  <si>
    <t>V17551-PIND-0396-02</t>
  </si>
  <si>
    <t>V17551-PIND-0397-02</t>
  </si>
  <si>
    <t>V17551-PIND-0398-02</t>
  </si>
  <si>
    <t>V17551-PIND-0399-02</t>
  </si>
  <si>
    <t>V17551-PIND-0400-02</t>
  </si>
  <si>
    <t>V17551-PIND-0401-02</t>
  </si>
  <si>
    <t>V17551-PIND-0402-02</t>
  </si>
  <si>
    <t>V17551-PIND-0403-02</t>
  </si>
  <si>
    <t>V17551-PIND-0404-02</t>
  </si>
  <si>
    <t>V17551-PIND-0405-02</t>
  </si>
  <si>
    <t>V17551-PIND-0406-02</t>
  </si>
  <si>
    <t>V17551-PIND-0409-02</t>
  </si>
  <si>
    <t>V17551-PIND-0410-02</t>
  </si>
  <si>
    <t>V17551-PIND-0411-02</t>
  </si>
  <si>
    <t>V17551-PIND-0412-02</t>
  </si>
  <si>
    <t>V17551-PIND-0413-02</t>
  </si>
  <si>
    <t>V17551-PIND-0417-02</t>
  </si>
  <si>
    <t>V17551-PIND-0418-02</t>
  </si>
  <si>
    <t>V17551-PIND-0422-02</t>
  </si>
  <si>
    <t>V17551-PIND-0423-02</t>
  </si>
  <si>
    <t>V17551-PIND-0424-02</t>
  </si>
  <si>
    <t>V17551-PIND-0426-02</t>
  </si>
  <si>
    <t>V17551-PIND-0427-02</t>
  </si>
  <si>
    <t>V17551-PIND-0428-02</t>
  </si>
  <si>
    <t>V17551-PIND-0429-02</t>
  </si>
  <si>
    <t>V17551-PIND-0431-02</t>
  </si>
  <si>
    <t>V17551-PIND-0432</t>
  </si>
  <si>
    <t>V17551-PIND-0432-01</t>
  </si>
  <si>
    <t>V17551-PIND-0433-02</t>
  </si>
  <si>
    <t>V17551-PIND-0434-02</t>
  </si>
  <si>
    <t>V17551-PIND-0435-02</t>
  </si>
  <si>
    <t>V17551-PIND-0437-02</t>
  </si>
  <si>
    <t>V17551-PIND-0438-02</t>
  </si>
  <si>
    <t>V17551-PIND-0439-02</t>
  </si>
  <si>
    <t>V17551-PIND-0440-02</t>
  </si>
  <si>
    <t>V17551-PIND-0441-02</t>
  </si>
  <si>
    <t>V17551-PIND-0442-02</t>
  </si>
  <si>
    <t>V17551-PIND-0446-02</t>
  </si>
  <si>
    <t>V17551-PIND-0447-02</t>
  </si>
  <si>
    <t>V17551-PIND-0448-02</t>
  </si>
  <si>
    <t>V17551-PIND-0450-02</t>
  </si>
  <si>
    <t>V17551-PIND-0451-02</t>
  </si>
  <si>
    <t>V17551-PIND-0452-02</t>
  </si>
  <si>
    <t>V17551-PIND-0453-02</t>
  </si>
  <si>
    <t>V17551-PIND-0454-02</t>
  </si>
  <si>
    <t>V17551-PIND-0460-02</t>
  </si>
  <si>
    <t>V17551-PIND-0463-02</t>
  </si>
  <si>
    <t>V17551-PIND-0467-02</t>
  </si>
  <si>
    <t>V17551-PIND-0468-02</t>
  </si>
  <si>
    <t>V17551-PIND-0469-02</t>
  </si>
  <si>
    <t>V17551-PIND-0470-02</t>
  </si>
  <si>
    <t>V17551-PIND-0471-02</t>
  </si>
  <si>
    <t>V17551-PIND-0472-02</t>
  </si>
  <si>
    <t>V17551-PIND-0474-02</t>
  </si>
  <si>
    <t>V17551-PIND-0477-02</t>
  </si>
  <si>
    <t>V17551-PIND-0478-02</t>
  </si>
  <si>
    <t>V17551-PIND-0480-02</t>
  </si>
  <si>
    <t>V17551-PIND-0481-02</t>
  </si>
  <si>
    <t>V17551-PIND-0482-02</t>
  </si>
  <si>
    <t>V17551-PIND-0483-02</t>
  </si>
  <si>
    <t>V17551-PIND-0484-02</t>
  </si>
  <si>
    <t>V17551-PIND-0485-02</t>
  </si>
  <si>
    <t>V17551-PIND-0486-02</t>
  </si>
  <si>
    <t>V17551-PIND-0487-02</t>
  </si>
  <si>
    <t>V17551-PIND-0489-02</t>
  </si>
  <si>
    <t>V17551-PIND-0490-02</t>
  </si>
  <si>
    <t>V17551-PIND-0491-02</t>
  </si>
  <si>
    <t>V17551-PIND-0492-02</t>
  </si>
  <si>
    <t>V17551-PIND-0493-02</t>
  </si>
  <si>
    <t>V17551-PIND-0494-02</t>
  </si>
  <si>
    <t>V17551-PIND-0495-02</t>
  </si>
  <si>
    <t>V17551-PIND-0496-02</t>
  </si>
  <si>
    <t>V17551-PIND-0497-02</t>
  </si>
  <si>
    <t>V17551-PIND-0498-02</t>
  </si>
  <si>
    <t>V17551-PIND-0499-02</t>
  </si>
  <si>
    <t>V17551-PIND-0500-02</t>
  </si>
  <si>
    <t>V17551-PIND-0501-02</t>
  </si>
  <si>
    <t>V17551-PIND-0502-02</t>
  </si>
  <si>
    <t>V17551-PIND-0503-02</t>
  </si>
  <si>
    <t>V17551-PIND-0504-02</t>
  </si>
  <si>
    <t>V17551-PIND-0505-02</t>
  </si>
  <si>
    <t>V17551-PIND-0506-02</t>
  </si>
  <si>
    <t>V17551-PIND-0507-02</t>
  </si>
  <si>
    <t>V17551-PIND-0508-02</t>
  </si>
  <si>
    <t>V17551-PIND-0509-02</t>
  </si>
  <si>
    <t>V17551-PIND-0510-02</t>
  </si>
  <si>
    <t>V17551-PIND-0511-02</t>
  </si>
  <si>
    <t>V17551-PIND-0512-02</t>
  </si>
  <si>
    <t>V17551-PIND-0513-02</t>
  </si>
  <si>
    <t>V17551-PIND-0515-02</t>
  </si>
  <si>
    <t>V17551-PIND-0516-02</t>
  </si>
  <si>
    <t>V17551-PIND-0517-02</t>
  </si>
  <si>
    <t>V17551-PIND-0518-02</t>
  </si>
  <si>
    <t>V17551-PIND-0519-02</t>
  </si>
  <si>
    <t>V17551-PIND-0520-02</t>
  </si>
  <si>
    <t>V17551-PIND-0522-02</t>
  </si>
  <si>
    <t>V17551-PIND-0523-02</t>
  </si>
  <si>
    <t>V17551-PIND-0524-02</t>
  </si>
  <si>
    <t>V17551-PIND-0528-02</t>
  </si>
  <si>
    <t>V17551-PIND-0529-02</t>
  </si>
  <si>
    <t>V17551-PIND-0530-02</t>
  </si>
  <si>
    <t>V17551-PIND-0536-02</t>
  </si>
  <si>
    <t>V17551-PIND-0537-02</t>
  </si>
  <si>
    <t>V17551-PIND-0538-02</t>
  </si>
  <si>
    <t>V17551-PIND-0543-02</t>
  </si>
  <si>
    <t>V17551-PIND-0544-02</t>
  </si>
  <si>
    <t>V17551-PIND-0545-02</t>
  </si>
  <si>
    <t>V17551-PIND-0556-02</t>
  </si>
  <si>
    <t>V17551-PIND-0557-02</t>
  </si>
  <si>
    <t>V17551-PIND-0560-02</t>
  </si>
  <si>
    <t>V17551-PIND-0562-02</t>
  </si>
  <si>
    <t>V17551-PIND-0563-02</t>
  </si>
  <si>
    <t>V17551-PIND-0571-02</t>
  </si>
  <si>
    <t>V17551-PIND-0574-08</t>
  </si>
  <si>
    <t>V17551-PIND-0575-07</t>
  </si>
  <si>
    <t>V17551-PIND-0576-02</t>
  </si>
  <si>
    <t>V17551-PIND-0577-02</t>
  </si>
  <si>
    <t>V17551-PIND-0578-02</t>
  </si>
  <si>
    <t>V17551-PIND-0579-02</t>
  </si>
  <si>
    <t>V17551-PIND-0580-02</t>
  </si>
  <si>
    <t>V17551-PIND-0581-02</t>
  </si>
  <si>
    <t>V17551-PIND-0582-02</t>
  </si>
  <si>
    <t>V17551-PIND-0583-02</t>
  </si>
  <si>
    <t>V17551-PIND-0584-02</t>
  </si>
  <si>
    <t>V17551-PIND-0585-02</t>
  </si>
  <si>
    <t>V17551-ERND-0314-03</t>
  </si>
  <si>
    <t>V17551-PIND-0012-L2</t>
  </si>
  <si>
    <t>V17551-PIND-0013-L3</t>
  </si>
  <si>
    <t>V17551-PIND-0122-03</t>
  </si>
  <si>
    <t>V17551-PIND-0304-03</t>
  </si>
  <si>
    <t>V17551-PIND-0305-03</t>
  </si>
  <si>
    <t>V17551-PIND-0306-03</t>
  </si>
  <si>
    <t>V17551-PIND-0307-03</t>
  </si>
  <si>
    <t>V17551-PIND-0314-03</t>
  </si>
  <si>
    <t>V17551-PIND-0315-03</t>
  </si>
  <si>
    <t>V17551-PIND-0316-03</t>
  </si>
  <si>
    <t>V17551-PIND-0319-03</t>
  </si>
  <si>
    <t>V17551-PIND-0320-03</t>
  </si>
  <si>
    <t>V17551-PIND-0321-03</t>
  </si>
  <si>
    <t>V17551-PIND-0322-03</t>
  </si>
  <si>
    <t>V17551-PIND-0323-03</t>
  </si>
  <si>
    <t>V17551-PIND-0324-03</t>
  </si>
  <si>
    <t>V17551-PIND-0325-03</t>
  </si>
  <si>
    <t>V17551-PIND-0327-03</t>
  </si>
  <si>
    <t>V17551-PIND-0329-03</t>
  </si>
  <si>
    <t>V17551-PIND-0331-03</t>
  </si>
  <si>
    <t>V17551-PIND-0332-03</t>
  </si>
  <si>
    <t>V17551-PIND-0333-03</t>
  </si>
  <si>
    <t>V17551-PIND-0334-03</t>
  </si>
  <si>
    <t>V17551-PIND-0335-03</t>
  </si>
  <si>
    <t>V17551-PIND-0336-03</t>
  </si>
  <si>
    <t>V17551-PIND-0337-03</t>
  </si>
  <si>
    <t>V17551-PIND-0339-03</t>
  </si>
  <si>
    <t>V17551-PIND-0340-03</t>
  </si>
  <si>
    <t>V17551-PIND-0341-03</t>
  </si>
  <si>
    <t>V17551-PIND-0342-03</t>
  </si>
  <si>
    <t>V17551-PIND-0344-03</t>
  </si>
  <si>
    <t>V17551-PIND-0345-03</t>
  </si>
  <si>
    <t>V17551-PIND-0346-03</t>
  </si>
  <si>
    <t>V17551-PIND-0348-03</t>
  </si>
  <si>
    <t>V17551-PIND-0349-06</t>
  </si>
  <si>
    <t>V17551-PIND-0362-03</t>
  </si>
  <si>
    <t>V17551-PIND-0363-03</t>
  </si>
  <si>
    <t>V17551-PIND-0366-03</t>
  </si>
  <si>
    <t>V17551-PIND-0371-03</t>
  </si>
  <si>
    <t>V17551-PIND-0372-03</t>
  </si>
  <si>
    <t>V17551-PIND-0373-03</t>
  </si>
  <si>
    <t>V17551-PIND-0374-03</t>
  </si>
  <si>
    <t>V17551-PIND-0375-03</t>
  </si>
  <si>
    <t>V17551-PIND-0377-03</t>
  </si>
  <si>
    <t>V17551-PIND-0382-03</t>
  </si>
  <si>
    <t>V17551-PIND-0384-03</t>
  </si>
  <si>
    <t>V17551-PIND-0385-08</t>
  </si>
  <si>
    <t>V17551-PIND-0395-03</t>
  </si>
  <si>
    <t>V17551-PIND-0396-03</t>
  </si>
  <si>
    <t>V17551-PIND-0398-03</t>
  </si>
  <si>
    <t>V17551-PIND-0399-03</t>
  </si>
  <si>
    <t>V17551-PIND-0400-03</t>
  </si>
  <si>
    <t>V17551-PIND-0401-03</t>
  </si>
  <si>
    <t>V17551-PIND-0403-03</t>
  </si>
  <si>
    <t>V17551-PIND-0404-03</t>
  </si>
  <si>
    <t>V17551-PIND-0405-03</t>
  </si>
  <si>
    <t>V17551-PIND-0406-03</t>
  </si>
  <si>
    <t>V17551-PIND-0418-03</t>
  </si>
  <si>
    <t>V17551-PIND-0422-03</t>
  </si>
  <si>
    <t>V17551-PIND-0424-03</t>
  </si>
  <si>
    <t>V17551-PIND-0427-03</t>
  </si>
  <si>
    <t>V17551-PIND-0428-03</t>
  </si>
  <si>
    <t>V17551-PIND-0431-03</t>
  </si>
  <si>
    <t>V17551-PIND-0432-02</t>
  </si>
  <si>
    <t>V17551-PIND-0435-03</t>
  </si>
  <si>
    <t>V17551-PIND-0437-03</t>
  </si>
  <si>
    <t>V17551-PIND-0438-03</t>
  </si>
  <si>
    <t>V17551-PIND-0439-03</t>
  </si>
  <si>
    <t>V17551-PIND-0440-03</t>
  </si>
  <si>
    <t>V17551-PIND-0442-03</t>
  </si>
  <si>
    <t>V17551-PIND-0447-03</t>
  </si>
  <si>
    <t>V17551-PIND-0450-03</t>
  </si>
  <si>
    <t>V17551-PIND-0451-03</t>
  </si>
  <si>
    <t>V17551-PIND-0452-03</t>
  </si>
  <si>
    <t>V17551-PIND-0453-03</t>
  </si>
  <si>
    <t>V17551-PIND-0454-03</t>
  </si>
  <si>
    <t>V17551-PIND-0460-03</t>
  </si>
  <si>
    <t>V17551-PIND-0463-03</t>
  </si>
  <si>
    <t>V17551-PIND-0467-03</t>
  </si>
  <si>
    <t>V17551-PIND-0468-03</t>
  </si>
  <si>
    <t>V17551-PIND-0469-03</t>
  </si>
  <si>
    <t>V17551-PIND-0470-03</t>
  </si>
  <si>
    <t>V17551-PIND-0471-03</t>
  </si>
  <si>
    <t>V17551-PIND-0472-03</t>
  </si>
  <si>
    <t>V17551-PIND-0474-03</t>
  </si>
  <si>
    <t>V17551-PIND-0477-03</t>
  </si>
  <si>
    <t>V17551-PIND-0478-03</t>
  </si>
  <si>
    <t>V17551-PIND-0480-03</t>
  </si>
  <si>
    <t>V17551-PIND-0482-03</t>
  </si>
  <si>
    <t>V17551-PIND-0483-03</t>
  </si>
  <si>
    <t>V17551-PIND-0484-03</t>
  </si>
  <si>
    <t>V17551-PIND-0485-03</t>
  </si>
  <si>
    <t>V17551-PIND-0486-03</t>
  </si>
  <si>
    <t>V17551-PIND-0489-03</t>
  </si>
  <si>
    <t>V17551-PIND-0490-03</t>
  </si>
  <si>
    <t>V17551-PIND-0491-03</t>
  </si>
  <si>
    <t>V17551-PIND-0492-03</t>
  </si>
  <si>
    <t>V17551-PIND-0493-03</t>
  </si>
  <si>
    <t>V17551-PIND-0494-03</t>
  </si>
  <si>
    <t>V17551-PIND-0495-03</t>
  </si>
  <si>
    <t>V17551-PIND-0496-03</t>
  </si>
  <si>
    <t>V17551-PIND-0499-03</t>
  </si>
  <si>
    <t>V17551-PIND-0500-03</t>
  </si>
  <si>
    <t>V17551-PIND-0501-03</t>
  </si>
  <si>
    <t>V17551-PIND-0502-03</t>
  </si>
  <si>
    <t>V17551-PIND-0503-03</t>
  </si>
  <si>
    <t>V17551-PIND-0504-03</t>
  </si>
  <si>
    <t>V17551-PIND-0505-03</t>
  </si>
  <si>
    <t>V17551-PIND-0506-03</t>
  </si>
  <si>
    <t>V17551-PIND-0509-03</t>
  </si>
  <si>
    <t>V17551-PIND-0512-03</t>
  </si>
  <si>
    <t>V17551-PIND-0513-03</t>
  </si>
  <si>
    <t>V17551-PIND-0515-03</t>
  </si>
  <si>
    <t>V17551-PIND-0517-03</t>
  </si>
  <si>
    <t>V17551-PIND-0518-03</t>
  </si>
  <si>
    <t>V17551-PIND-0520-03</t>
  </si>
  <si>
    <t>V17551-PIND-0523-03</t>
  </si>
  <si>
    <t>V17551-PIND-0528-03</t>
  </si>
  <si>
    <t>V17551-PIND-0529-03</t>
  </si>
  <si>
    <t>V17551-PIND-0530-03</t>
  </si>
  <si>
    <t>V17551-PIND-0536-03</t>
  </si>
  <si>
    <t>V17551-PIND-0537-03</t>
  </si>
  <si>
    <t>V17551-PIND-0557-03</t>
  </si>
  <si>
    <t>V17551-PIND-0563-03</t>
  </si>
  <si>
    <t>V17551-PIND-0571-03</t>
  </si>
  <si>
    <t>V17551-PIND-0574-09</t>
  </si>
  <si>
    <t>V17551-PIND-0575-08</t>
  </si>
  <si>
    <t>V17551-PIND-0090-04</t>
  </si>
  <si>
    <t>V17551-PIND-0304-04</t>
  </si>
  <si>
    <t>V17551-PIND-0305-04</t>
  </si>
  <si>
    <t>V17551-PIND-0306-04</t>
  </si>
  <si>
    <t>V17551-PIND-0307-04</t>
  </si>
  <si>
    <t>V17551-PIND-0314-04</t>
  </si>
  <si>
    <t>V17551-PIND-0315-04</t>
  </si>
  <si>
    <t>V17551-PIND-0316-04</t>
  </si>
  <si>
    <t>V17551-PIND-0319-04</t>
  </si>
  <si>
    <t>V17551-PIND-0320-04</t>
  </si>
  <si>
    <t>V17551-PIND-0321-04</t>
  </si>
  <si>
    <t>V17551-PIND-0322-04</t>
  </si>
  <si>
    <t>V17551-PIND-0324-04</t>
  </si>
  <si>
    <t>V17551-PIND-0325-04</t>
  </si>
  <si>
    <t>V17551-PIND-0327-04</t>
  </si>
  <si>
    <t>V17551-PIND-0329-04</t>
  </si>
  <si>
    <t>V17551-PIND-0333-04</t>
  </si>
  <si>
    <t>V17551-PIND-0339-04</t>
  </si>
  <si>
    <t>V17551-PIND-0340-04</t>
  </si>
  <si>
    <t>V17551-PIND-0346-04</t>
  </si>
  <si>
    <t>V17551-PIND-0349-07</t>
  </si>
  <si>
    <t>V17551-PIND-0363-04</t>
  </si>
  <si>
    <t>V17551-PIND-0371-04</t>
  </si>
  <si>
    <t>V17551-PIND-0372-04</t>
  </si>
  <si>
    <t>V17551-PIND-0373-04</t>
  </si>
  <si>
    <t>V17551-PIND-0375-04</t>
  </si>
  <si>
    <t>V17551-PIND-0377-04</t>
  </si>
  <si>
    <t>V17551-PIND-0384-04</t>
  </si>
  <si>
    <t>V17551-PIND-0385-09</t>
  </si>
  <si>
    <t>V17551-PIND-0398-04</t>
  </si>
  <si>
    <t>V17551-PIND-0399-04</t>
  </si>
  <si>
    <t>V17551-PIND-0400-04</t>
  </si>
  <si>
    <t>V17551-PIND-0401-04</t>
  </si>
  <si>
    <t>V17551-PIND-0403-04</t>
  </si>
  <si>
    <t>V17551-PIND-0404-04</t>
  </si>
  <si>
    <t>V17551-PIND-0405-04</t>
  </si>
  <si>
    <t>V17551-PIND-0406-04</t>
  </si>
  <si>
    <t>V17551-PIND-0418-04</t>
  </si>
  <si>
    <t>V17551-PIND-0424-04</t>
  </si>
  <si>
    <t>V17551-PIND-0427-04</t>
  </si>
  <si>
    <t>V17551-PIND-0428-04</t>
  </si>
  <si>
    <t>V17551-PIND-0431-04</t>
  </si>
  <si>
    <t>V17551-PIND-0437-04</t>
  </si>
  <si>
    <t>V17551-PIND-0438-04</t>
  </si>
  <si>
    <t>V17551-PIND-0439-04</t>
  </si>
  <si>
    <t>V17551-PIND-0440-04</t>
  </si>
  <si>
    <t>V17551-PIND-0442-04</t>
  </si>
  <si>
    <t>V17551-PIND-0447-04</t>
  </si>
  <si>
    <t>V17551-PIND-0450-04</t>
  </si>
  <si>
    <t>V17551-PIND-0451-04</t>
  </si>
  <si>
    <t>V17551-PIND-0452-04</t>
  </si>
  <si>
    <t>V17551-PIND-0453-04</t>
  </si>
  <si>
    <t>V17551-PIND-0454-04</t>
  </si>
  <si>
    <t>V17551-PIND-0460-04</t>
  </si>
  <si>
    <t>V17551-PIND-0468-04</t>
  </si>
  <si>
    <t>V17551-PIND-0469-04</t>
  </si>
  <si>
    <t>V17551-PIND-0471-04</t>
  </si>
  <si>
    <t>V17551-PIND-0472-04</t>
  </si>
  <si>
    <t>V17551-PIND-0474-04</t>
  </si>
  <si>
    <t>V17551-PIND-0478-04</t>
  </si>
  <si>
    <t>V17551-PIND-0480-04</t>
  </si>
  <si>
    <t>V17551-PIND-0482-04</t>
  </si>
  <si>
    <t>V17551-PIND-0483-04</t>
  </si>
  <si>
    <t>V17551-PIND-0485-04</t>
  </si>
  <si>
    <t>V17551-PIND-0490-04</t>
  </si>
  <si>
    <t>V17551-PIND-0491-04</t>
  </si>
  <si>
    <t>V17551-PIND-0492-04</t>
  </si>
  <si>
    <t>V17551-PIND-0495-04</t>
  </si>
  <si>
    <t>V17551-PIND-0496-04</t>
  </si>
  <si>
    <t>V17551-PIND-0499-04</t>
  </si>
  <si>
    <t>V17551-PIND-0501-04</t>
  </si>
  <si>
    <t>V17551-PIND-0504-04</t>
  </si>
  <si>
    <t>V17551-PIND-0509-04</t>
  </si>
  <si>
    <t>V17551-PIND-0513-04</t>
  </si>
  <si>
    <t>V17551-PIND-0518-04</t>
  </si>
  <si>
    <t>V17551-PIND-0520-04</t>
  </si>
  <si>
    <t>V17551-PIND-0523-04</t>
  </si>
  <si>
    <t>V17551-PIND-0528-04</t>
  </si>
  <si>
    <t>V17551-PIND-0529-04</t>
  </si>
  <si>
    <t>V17551-PIND-0530-04</t>
  </si>
  <si>
    <t>V17551-PIND-0557-04</t>
  </si>
  <si>
    <t>V17551-PIND-0563-04</t>
  </si>
  <si>
    <t>V17551-PIND-0574-10</t>
  </si>
  <si>
    <t>V17551-PIND-0575-09</t>
  </si>
  <si>
    <t>V17551-PIND-0123-05</t>
  </si>
  <si>
    <t>V17551-PIND-0304-05</t>
  </si>
  <si>
    <t>V17551-PIND-0307-05</t>
  </si>
  <si>
    <t>V17551-PIND-0314-05</t>
  </si>
  <si>
    <t>V17551-PIND-0315-05</t>
  </si>
  <si>
    <t>V17551-PIND-0316-05</t>
  </si>
  <si>
    <t>V17551-PIND-0319-05</t>
  </si>
  <si>
    <t>V17551-PIND-0320-05</t>
  </si>
  <si>
    <t>V17551-PIND-0321-05</t>
  </si>
  <si>
    <t>V17551-PIND-0324-05</t>
  </si>
  <si>
    <t>V17551-PIND-0327-05</t>
  </si>
  <si>
    <t>V17551-PIND-0349-08</t>
  </si>
  <si>
    <t>V17551-PIND-0363-05</t>
  </si>
  <si>
    <t>V17551-PIND-0372-05</t>
  </si>
  <si>
    <t>V17551-PIND-0384-05</t>
  </si>
  <si>
    <t>V17551-PIND-0398-05</t>
  </si>
  <si>
    <t>V17551-PIND-0399-05</t>
  </si>
  <si>
    <t>V17551-PIND-0400-05</t>
  </si>
  <si>
    <t>V17551-PIND-0401-05</t>
  </si>
  <si>
    <t>V17551-PIND-0403-05</t>
  </si>
  <si>
    <t>V17551-PIND-0404-05</t>
  </si>
  <si>
    <t>V17551-PIND-0418-05</t>
  </si>
  <si>
    <t>V17551-PIND-0424-05</t>
  </si>
  <si>
    <t>V17551-PIND-0428-05</t>
  </si>
  <si>
    <t>V17551-PIND-0431-05</t>
  </si>
  <si>
    <t>V17551-PIND-0437-05</t>
  </si>
  <si>
    <t>V17551-PIND-0442-05</t>
  </si>
  <si>
    <t>V17551-PIND-0447-05</t>
  </si>
  <si>
    <t>V17551-PIND-0453-05</t>
  </si>
  <si>
    <t>V17551-PIND-0454-05</t>
  </si>
  <si>
    <t>V17551-PIND-0468-05</t>
  </si>
  <si>
    <t>V17551-PIND-0469-05</t>
  </si>
  <si>
    <t>V17551-PIND-0474-05</t>
  </si>
  <si>
    <t>V17551-PIND-0490-05</t>
  </si>
  <si>
    <t>V17551-PIND-0491-05</t>
  </si>
  <si>
    <t>V17551-PIND-0492-05</t>
  </si>
  <si>
    <t>V17551-PIND-0495-05</t>
  </si>
  <si>
    <t>V17551-PIND-0496-05</t>
  </si>
  <si>
    <t>V17551-PIND-0499-05</t>
  </si>
  <si>
    <t>V17551-PIND-0501-05</t>
  </si>
  <si>
    <t>V17551-PIND-0513-05</t>
  </si>
  <si>
    <t>V17551-PIND-0518-05</t>
  </si>
  <si>
    <t>V17551-PIND-0523-05</t>
  </si>
  <si>
    <t>V17551-PIND-0528-05</t>
  </si>
  <si>
    <t>V17551-PIND-0529-05</t>
  </si>
  <si>
    <t>V17551-PIND-0530-05</t>
  </si>
  <si>
    <t>V17551-PIND-0557-05</t>
  </si>
  <si>
    <t>V17551-PIND-0563-05</t>
  </si>
  <si>
    <t>V17551-PIND-0574-11</t>
  </si>
  <si>
    <t>V17551-PIND-0575-10</t>
  </si>
  <si>
    <t>V17551-PIND-0083-06</t>
  </si>
  <si>
    <t>V17551-PIND-0307-06</t>
  </si>
  <si>
    <t>V17551-PIND-0315-06</t>
  </si>
  <si>
    <t>V17551-PIND-0320-06</t>
  </si>
  <si>
    <t>V17551-PIND-0363-06</t>
  </si>
  <si>
    <t>V17551-PIND-0399-06</t>
  </si>
  <si>
    <t>V17551-PIND-0401-06</t>
  </si>
  <si>
    <t>V17551-PIND-0403-06</t>
  </si>
  <si>
    <t>V17551-PIND-0404-06</t>
  </si>
  <si>
    <t>V17551-PIND-0424-06</t>
  </si>
  <si>
    <t>V17551-PIND-0437-06</t>
  </si>
  <si>
    <t>V17551-PIND-0447-06</t>
  </si>
  <si>
    <t>V17551-PIND-0491-06</t>
  </si>
  <si>
    <t>V17551-PIND-0496-06</t>
  </si>
  <si>
    <t>V17551-PIND-0499-06</t>
  </si>
  <si>
    <t>V17551-PIND-0501-06</t>
  </si>
  <si>
    <t>V17551-PIND-0528-06</t>
  </si>
  <si>
    <t>V17551-PIND-0529-06</t>
  </si>
  <si>
    <t>V17551-PIND-0557-06</t>
  </si>
  <si>
    <t>V17551-PIND-0574-12</t>
  </si>
  <si>
    <t>V17551-PIND-0575-11</t>
  </si>
  <si>
    <t>V17551-PIND-0148-07</t>
  </si>
  <si>
    <t>V17551-PIND-0315-07</t>
  </si>
  <si>
    <t>V17551-PIND-0363-07</t>
  </si>
  <si>
    <t>V17551-PIND-0437-07</t>
  </si>
  <si>
    <t>V17551-PIND-0499-07</t>
  </si>
  <si>
    <t>V17551-PIND-0557-07</t>
  </si>
  <si>
    <t>V17551-PIND-0575-12</t>
  </si>
  <si>
    <t>V17551-PIND-0315-08</t>
  </si>
  <si>
    <t>V17551-PIND-0363-08</t>
  </si>
  <si>
    <t>V17551-PIND-0499-08</t>
  </si>
  <si>
    <t>V17551-PIND-0499-09</t>
  </si>
  <si>
    <t>NA</t>
  </si>
  <si>
    <t>P5 &amp; P1</t>
  </si>
  <si>
    <t>S-5247</t>
  </si>
  <si>
    <t>TCNU6081129</t>
  </si>
  <si>
    <t>A4251282432</t>
  </si>
  <si>
    <t>Small Bore</t>
  </si>
  <si>
    <t>REMARK</t>
  </si>
  <si>
    <t>VALVE</t>
  </si>
  <si>
    <t>TGHU6285187</t>
  </si>
  <si>
    <t>A4251468303</t>
  </si>
  <si>
    <t>ZCSU6524094</t>
  </si>
  <si>
    <t>A4251468308</t>
  </si>
  <si>
    <t>ZCSU7505231</t>
  </si>
  <si>
    <t>A4251468306</t>
  </si>
  <si>
    <t>VPI package no.</t>
  </si>
  <si>
    <t>NRGCB-HRSG5-VPI-DEE-93280-0001</t>
  </si>
  <si>
    <t>NRGCB-HRSG5-VPI-DEE-93280-0002</t>
  </si>
  <si>
    <t>NRGCB-HRSG5-VPI-DEE-93280-0003</t>
  </si>
  <si>
    <t>NRGCB-HRSG5-VPI-DEE-93280-0004</t>
  </si>
  <si>
    <t>NRGCB-HRSG5-VPI-DEE-93280-0005</t>
  </si>
  <si>
    <t>NRGCB-HRSG5-VPI-DEE-93280-0006</t>
  </si>
  <si>
    <t>NRGCB-HRSG5-VPI-DEE-93280-0007</t>
  </si>
  <si>
    <t>NRGCB-HRSG5-VPI-DEE-93280-0008</t>
  </si>
  <si>
    <t>NRGCB-HRSG5-VPI-DEE-93280-0009</t>
  </si>
  <si>
    <t>NRGCB-HRSG5-VPI-DEE-93280-0010</t>
  </si>
  <si>
    <t>NRGCB-HRSG5-VPI-DEE-93280-0011</t>
  </si>
  <si>
    <t>NRGCB-HRSG5-VPI-DEE-93280-0012</t>
  </si>
  <si>
    <t>NRGCB-HRSG5-VPI-DEE-93280-0013</t>
  </si>
  <si>
    <t>NRGCB-HRSG5-VPI-DEE-93280-0014</t>
  </si>
  <si>
    <t>NRGCB-HRSG5-VPI-DEE-93280-0017</t>
  </si>
  <si>
    <t>NRGCB-HRSG5-VPI-DEE-93280-0015</t>
  </si>
  <si>
    <t>NRGCB-HRSG5-VPI-DEE-93280-0016</t>
  </si>
  <si>
    <t>Large Bore</t>
  </si>
  <si>
    <t>LBP/SBP</t>
  </si>
  <si>
    <t>TCNU4858903</t>
  </si>
  <si>
    <t>A4251305636</t>
  </si>
  <si>
    <t>TCNU3055640</t>
  </si>
  <si>
    <t>A4251305640</t>
  </si>
  <si>
    <t>JXLU6422261</t>
  </si>
  <si>
    <t>A4251278988</t>
  </si>
  <si>
    <t>JXLU7998919</t>
  </si>
  <si>
    <t>A42513005711</t>
  </si>
  <si>
    <t>Total Wt2</t>
  </si>
  <si>
    <t>ZCSU6852555</t>
  </si>
  <si>
    <t>A4251305647</t>
  </si>
  <si>
    <t>ZCSU7478368</t>
  </si>
  <si>
    <t>A4251305605</t>
  </si>
  <si>
    <t>ZCSU7291438</t>
  </si>
  <si>
    <t>A4251305575</t>
  </si>
  <si>
    <t>V17551-PIND-0544-03</t>
  </si>
  <si>
    <t>TIIU4831286</t>
  </si>
  <si>
    <t>FJ27700840</t>
  </si>
  <si>
    <t>SEGU6242090</t>
  </si>
  <si>
    <t>FJ27700841</t>
  </si>
  <si>
    <t>V17551-PIND-0147-09</t>
  </si>
  <si>
    <t>V17551-PIND-0556-03</t>
  </si>
  <si>
    <t>NRGCB-HRSG5-VPI-DEE-93280-0022</t>
  </si>
  <si>
    <t>NRGCB-HRSG5-VPI-DEE-93280-0021</t>
  </si>
  <si>
    <t>NRGCB-HRSG5-VPI-DEE-93280-0020</t>
  </si>
  <si>
    <t>NRGCB-HRSG5-VPI-DEE-93280-0018</t>
  </si>
  <si>
    <t>NRGCB-HRSG5-VPI-DEE-93280-0019</t>
  </si>
  <si>
    <t>NRGCB-HRSG5-VPI-DEE-93280-0023</t>
  </si>
  <si>
    <t>NRGCB-HRSG5-VPI-DEE-93280-0024</t>
  </si>
  <si>
    <t>ZCSU7342704</t>
  </si>
  <si>
    <t>A4251469543</t>
  </si>
  <si>
    <t>ZCSU6660043</t>
  </si>
  <si>
    <t>A4251469549</t>
  </si>
  <si>
    <t xml:space="preserve">By Air Shipped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</si>
</sst>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"/>
  </numFmts>
  <fonts count="12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Arial Black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9F9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43" fontId="7" fillId="0" borderId="0" applyFont="0" applyFill="0" applyBorder="0" applyAlignment="0" applyProtection="0"/>
    <xf numFmtId="0" fontId="10" fillId="0" borderId="0"/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5" fillId="6" borderId="2" xfId="2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2" fontId="6" fillId="2" borderId="1" xfId="0" applyNumberFormat="1" applyFont="1" applyFill="1" applyBorder="1" applyAlignment="1">
      <alignment horizontal="center" vertical="center"/>
    </xf>
    <xf numFmtId="0" fontId="10" fillId="0" borderId="1" xfId="3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6" borderId="0" xfId="2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10" borderId="5" xfId="0" applyFont="1" applyFill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4">
    <cellStyle name="40% - Accent1" xfId="1" builtinId="31"/>
    <cellStyle name="Comma" xfId="2" builtinId="3"/>
    <cellStyle name="Normal" xfId="0" builtinId="0"/>
    <cellStyle name="Normal 2" xfId="3" xr:uid="{F68E9A42-7505-45DD-84DB-5D3D274061B5}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Pokchat%20-Nav\Vogt-Cedar\DLL\DLL_070426.xlsx" TargetMode="External"/><Relationship Id="rId1" Type="http://schemas.openxmlformats.org/officeDocument/2006/relationships/externalLinkPath" Target="file:///T:\Pokchat%20-Nav\Vogt-Cedar\DLL\DLL_0704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2">
          <cell r="B2" t="str">
            <v>Spool No</v>
          </cell>
          <cell r="C2" t="str">
            <v>Prod. Order No.</v>
          </cell>
          <cell r="D2" t="str">
            <v>MSN no.</v>
          </cell>
          <cell r="E2" t="str">
            <v>Spool heading no</v>
          </cell>
          <cell r="F2" t="str">
            <v>Paint System</v>
          </cell>
          <cell r="G2" t="str">
            <v>Parent S.No.</v>
          </cell>
          <cell r="H2" t="str">
            <v>S.No.</v>
          </cell>
          <cell r="I2" t="str">
            <v>Not in Master</v>
          </cell>
          <cell r="J2" t="str">
            <v>Customer item No</v>
          </cell>
          <cell r="K2" t="str">
            <v>ICD not Approved</v>
          </cell>
          <cell r="L2" t="str">
            <v>ICD</v>
          </cell>
          <cell r="M2" t="str">
            <v>Current AICD</v>
          </cell>
          <cell r="N2" t="str">
            <v>Description</v>
          </cell>
          <cell r="O2" t="str">
            <v>Dee Unit Weight</v>
          </cell>
          <cell r="P2" t="str">
            <v>Cust. Unit Wt</v>
          </cell>
          <cell r="Q2" t="str">
            <v>Item Category Code</v>
          </cell>
          <cell r="R2" t="str">
            <v>Quantity</v>
          </cell>
          <cell r="S2" t="str">
            <v>Total Qty</v>
          </cell>
          <cell r="T2" t="str">
            <v>SP Wt</v>
          </cell>
          <cell r="U2" t="str">
            <v>Total Wt</v>
          </cell>
        </row>
        <row r="3">
          <cell r="B3" t="str">
            <v>V17551-ERND-0309-01</v>
          </cell>
          <cell r="C3" t="str">
            <v>PROD/26-27/00023</v>
          </cell>
          <cell r="D3" t="str">
            <v/>
          </cell>
          <cell r="E3" t="str">
            <v>TJ/25-26/184-SS</v>
          </cell>
          <cell r="F3" t="str">
            <v>NA</v>
          </cell>
          <cell r="G3">
            <v>0</v>
          </cell>
          <cell r="H3">
            <v>1</v>
          </cell>
          <cell r="I3" t="str">
            <v>Yes</v>
          </cell>
          <cell r="J3" t="str">
            <v/>
          </cell>
          <cell r="K3" t="str">
            <v>Yes</v>
          </cell>
          <cell r="L3" t="str">
            <v/>
          </cell>
          <cell r="M3" t="str">
            <v/>
          </cell>
          <cell r="N3" t="str">
            <v>Spool</v>
          </cell>
          <cell r="O3">
            <v>0</v>
          </cell>
          <cell r="P3">
            <v>0</v>
          </cell>
          <cell r="Q3" t="str">
            <v>SS</v>
          </cell>
          <cell r="R3">
            <v>1</v>
          </cell>
          <cell r="S3">
            <v>1</v>
          </cell>
          <cell r="T3">
            <v>15.118320000000001</v>
          </cell>
          <cell r="U3">
            <v>15.118320000000001</v>
          </cell>
        </row>
        <row r="4">
          <cell r="B4" t="str">
            <v>V17551-ERND-0313-01</v>
          </cell>
          <cell r="C4" t="str">
            <v>PROD/26-27/00022</v>
          </cell>
          <cell r="D4" t="str">
            <v/>
          </cell>
          <cell r="E4" t="str">
            <v>TJ/25-26/184-SS</v>
          </cell>
          <cell r="F4" t="str">
            <v>NA</v>
          </cell>
          <cell r="G4">
            <v>0</v>
          </cell>
          <cell r="H4">
            <v>1</v>
          </cell>
          <cell r="I4" t="str">
            <v>Yes</v>
          </cell>
          <cell r="J4" t="str">
            <v/>
          </cell>
          <cell r="K4" t="str">
            <v>Yes</v>
          </cell>
          <cell r="L4" t="str">
            <v/>
          </cell>
          <cell r="M4" t="str">
            <v/>
          </cell>
          <cell r="N4" t="str">
            <v>Spool</v>
          </cell>
          <cell r="O4">
            <v>0</v>
          </cell>
          <cell r="P4">
            <v>0</v>
          </cell>
          <cell r="Q4" t="str">
            <v>SS</v>
          </cell>
          <cell r="R4">
            <v>1</v>
          </cell>
          <cell r="S4">
            <v>1</v>
          </cell>
          <cell r="T4">
            <v>0.74021999999999999</v>
          </cell>
          <cell r="U4">
            <v>0.74021999999999999</v>
          </cell>
        </row>
        <row r="5">
          <cell r="B5" t="str">
            <v>V17551-ERND-0314-01</v>
          </cell>
          <cell r="C5" t="str">
            <v>PROD/26-27/00021</v>
          </cell>
          <cell r="D5" t="str">
            <v/>
          </cell>
          <cell r="E5" t="str">
            <v>TJ/25-26/184-SS</v>
          </cell>
          <cell r="F5" t="str">
            <v>NA</v>
          </cell>
          <cell r="G5">
            <v>0</v>
          </cell>
          <cell r="H5">
            <v>1</v>
          </cell>
          <cell r="I5" t="str">
            <v>Yes</v>
          </cell>
          <cell r="J5" t="str">
            <v/>
          </cell>
          <cell r="K5" t="str">
            <v>Yes</v>
          </cell>
          <cell r="L5" t="str">
            <v/>
          </cell>
          <cell r="M5" t="str">
            <v/>
          </cell>
          <cell r="N5" t="str">
            <v>Spool</v>
          </cell>
          <cell r="O5">
            <v>0</v>
          </cell>
          <cell r="P5">
            <v>0</v>
          </cell>
          <cell r="Q5" t="str">
            <v>SS</v>
          </cell>
          <cell r="R5">
            <v>1</v>
          </cell>
          <cell r="S5">
            <v>1</v>
          </cell>
          <cell r="T5">
            <v>2.6956000000000002</v>
          </cell>
          <cell r="U5">
            <v>2.6956000000000002</v>
          </cell>
        </row>
        <row r="6">
          <cell r="B6" t="str">
            <v>V17551-ERND-0315-01</v>
          </cell>
          <cell r="C6" t="str">
            <v>PROD/26-27/00020</v>
          </cell>
          <cell r="D6" t="str">
            <v/>
          </cell>
          <cell r="E6" t="str">
            <v>TJ/25-26/184-SS</v>
          </cell>
          <cell r="F6" t="str">
            <v>NA</v>
          </cell>
          <cell r="G6">
            <v>0</v>
          </cell>
          <cell r="H6">
            <v>1</v>
          </cell>
          <cell r="I6" t="str">
            <v>Yes</v>
          </cell>
          <cell r="J6" t="str">
            <v/>
          </cell>
          <cell r="K6" t="str">
            <v>Yes</v>
          </cell>
          <cell r="L6" t="str">
            <v/>
          </cell>
          <cell r="M6" t="str">
            <v/>
          </cell>
          <cell r="N6" t="str">
            <v>Spool</v>
          </cell>
          <cell r="O6">
            <v>0</v>
          </cell>
          <cell r="P6">
            <v>0</v>
          </cell>
          <cell r="Q6" t="str">
            <v>SS</v>
          </cell>
          <cell r="R6">
            <v>1</v>
          </cell>
          <cell r="S6">
            <v>1</v>
          </cell>
          <cell r="T6">
            <v>0.74021999999999999</v>
          </cell>
          <cell r="U6">
            <v>0.74021999999999999</v>
          </cell>
        </row>
        <row r="7">
          <cell r="B7" t="str">
            <v>V17551-ERND-0316-01</v>
          </cell>
          <cell r="C7" t="str">
            <v>PROD/26-27/00019</v>
          </cell>
          <cell r="D7" t="str">
            <v/>
          </cell>
          <cell r="E7" t="str">
            <v>TJ/25-26/184-SS</v>
          </cell>
          <cell r="F7" t="str">
            <v>NA</v>
          </cell>
          <cell r="G7">
            <v>0</v>
          </cell>
          <cell r="H7">
            <v>1</v>
          </cell>
          <cell r="I7" t="str">
            <v>Yes</v>
          </cell>
          <cell r="J7" t="str">
            <v/>
          </cell>
          <cell r="K7" t="str">
            <v>Yes</v>
          </cell>
          <cell r="L7" t="str">
            <v/>
          </cell>
          <cell r="M7" t="str">
            <v/>
          </cell>
          <cell r="N7" t="str">
            <v>Spool</v>
          </cell>
          <cell r="O7">
            <v>0</v>
          </cell>
          <cell r="P7">
            <v>0</v>
          </cell>
          <cell r="Q7" t="str">
            <v>SS</v>
          </cell>
          <cell r="R7">
            <v>1</v>
          </cell>
          <cell r="S7">
            <v>1</v>
          </cell>
          <cell r="T7">
            <v>7.9785399999999997</v>
          </cell>
          <cell r="U7">
            <v>7.9785399999999997</v>
          </cell>
        </row>
        <row r="8">
          <cell r="B8" t="str">
            <v>SHA-1030-01</v>
          </cell>
          <cell r="C8" t="str">
            <v>PROD/25-26/13713</v>
          </cell>
          <cell r="D8" t="str">
            <v/>
          </cell>
          <cell r="E8" t="str">
            <v>TJ/25-26/184-CS</v>
          </cell>
          <cell r="F8" t="str">
            <v>P1</v>
          </cell>
          <cell r="G8">
            <v>0</v>
          </cell>
          <cell r="H8">
            <v>1</v>
          </cell>
          <cell r="I8" t="str">
            <v>Yes</v>
          </cell>
          <cell r="J8" t="str">
            <v/>
          </cell>
          <cell r="K8" t="str">
            <v>Yes</v>
          </cell>
          <cell r="L8" t="str">
            <v/>
          </cell>
          <cell r="M8" t="str">
            <v/>
          </cell>
          <cell r="N8" t="str">
            <v>Spool</v>
          </cell>
          <cell r="O8">
            <v>0</v>
          </cell>
          <cell r="P8">
            <v>0</v>
          </cell>
          <cell r="Q8" t="str">
            <v>CS</v>
          </cell>
          <cell r="R8">
            <v>1</v>
          </cell>
          <cell r="S8">
            <v>1</v>
          </cell>
          <cell r="T8">
            <v>7.2738500000000004</v>
          </cell>
          <cell r="U8">
            <v>7.2738500000000004</v>
          </cell>
        </row>
        <row r="9">
          <cell r="B9" t="str">
            <v>V17551-PIND-0010-01</v>
          </cell>
          <cell r="C9" t="str">
            <v>PROD/25-26/07340</v>
          </cell>
          <cell r="D9" t="str">
            <v/>
          </cell>
          <cell r="E9" t="str">
            <v>TJ/25-26/184-CS</v>
          </cell>
          <cell r="F9" t="str">
            <v>P5,P1</v>
          </cell>
          <cell r="G9">
            <v>0</v>
          </cell>
          <cell r="H9">
            <v>1</v>
          </cell>
          <cell r="I9" t="str">
            <v>Yes</v>
          </cell>
          <cell r="J9" t="str">
            <v/>
          </cell>
          <cell r="K9" t="str">
            <v>Yes</v>
          </cell>
          <cell r="L9" t="str">
            <v/>
          </cell>
          <cell r="M9" t="str">
            <v/>
          </cell>
          <cell r="N9" t="str">
            <v>Spool</v>
          </cell>
          <cell r="O9">
            <v>0</v>
          </cell>
          <cell r="P9">
            <v>0</v>
          </cell>
          <cell r="Q9" t="str">
            <v>CS</v>
          </cell>
          <cell r="R9">
            <v>1</v>
          </cell>
          <cell r="S9">
            <v>1</v>
          </cell>
          <cell r="T9">
            <v>1261.3430072000001</v>
          </cell>
          <cell r="U9">
            <v>1261.3430072000001</v>
          </cell>
        </row>
        <row r="10">
          <cell r="B10" t="str">
            <v>V17551-PIND-0011-01</v>
          </cell>
          <cell r="C10" t="str">
            <v>PROD/25-26/07341</v>
          </cell>
          <cell r="D10" t="str">
            <v/>
          </cell>
          <cell r="E10" t="str">
            <v>TJ/25-26/184-CS</v>
          </cell>
          <cell r="F10" t="str">
            <v>P5,P1</v>
          </cell>
          <cell r="G10">
            <v>0</v>
          </cell>
          <cell r="H10">
            <v>1</v>
          </cell>
          <cell r="I10" t="str">
            <v>Yes</v>
          </cell>
          <cell r="J10" t="str">
            <v/>
          </cell>
          <cell r="K10" t="str">
            <v>Yes</v>
          </cell>
          <cell r="L10" t="str">
            <v/>
          </cell>
          <cell r="M10" t="str">
            <v/>
          </cell>
          <cell r="N10" t="str">
            <v>Spool</v>
          </cell>
          <cell r="O10">
            <v>0</v>
          </cell>
          <cell r="P10">
            <v>0</v>
          </cell>
          <cell r="Q10" t="str">
            <v>CS</v>
          </cell>
          <cell r="R10">
            <v>1</v>
          </cell>
          <cell r="S10">
            <v>1</v>
          </cell>
          <cell r="T10">
            <v>975.99838720000002</v>
          </cell>
          <cell r="U10">
            <v>975.99838720000002</v>
          </cell>
        </row>
        <row r="11">
          <cell r="B11" t="str">
            <v>V17551-PIND-0012-01</v>
          </cell>
          <cell r="C11" t="str">
            <v>PROD/25-26/07342</v>
          </cell>
          <cell r="D11" t="str">
            <v/>
          </cell>
          <cell r="E11" t="str">
            <v>TJ/25-26/184-CS</v>
          </cell>
          <cell r="F11" t="str">
            <v>P5,P1</v>
          </cell>
          <cell r="G11">
            <v>0</v>
          </cell>
          <cell r="H11">
            <v>1</v>
          </cell>
          <cell r="I11" t="str">
            <v>Yes</v>
          </cell>
          <cell r="J11" t="str">
            <v/>
          </cell>
          <cell r="K11" t="str">
            <v>Yes</v>
          </cell>
          <cell r="L11" t="str">
            <v/>
          </cell>
          <cell r="M11" t="str">
            <v/>
          </cell>
          <cell r="N11" t="str">
            <v>Spool</v>
          </cell>
          <cell r="O11">
            <v>0</v>
          </cell>
          <cell r="P11">
            <v>0</v>
          </cell>
          <cell r="Q11" t="str">
            <v>CS</v>
          </cell>
          <cell r="R11">
            <v>1</v>
          </cell>
          <cell r="S11">
            <v>1</v>
          </cell>
          <cell r="T11">
            <v>1520.7576200000001</v>
          </cell>
          <cell r="U11">
            <v>1520.7576200000001</v>
          </cell>
        </row>
        <row r="12">
          <cell r="B12" t="str">
            <v>V17551-PIND-0013-01</v>
          </cell>
          <cell r="C12" t="str">
            <v>PROD/25-26/07343</v>
          </cell>
          <cell r="D12" t="str">
            <v/>
          </cell>
          <cell r="E12" t="str">
            <v>TJ/25-26/184-CS</v>
          </cell>
          <cell r="F12" t="str">
            <v>P5,P1</v>
          </cell>
          <cell r="G12">
            <v>0</v>
          </cell>
          <cell r="H12">
            <v>1</v>
          </cell>
          <cell r="I12" t="str">
            <v>Yes</v>
          </cell>
          <cell r="J12" t="str">
            <v/>
          </cell>
          <cell r="K12" t="str">
            <v>Yes</v>
          </cell>
          <cell r="L12" t="str">
            <v/>
          </cell>
          <cell r="M12" t="str">
            <v/>
          </cell>
          <cell r="N12" t="str">
            <v>Spool</v>
          </cell>
          <cell r="O12">
            <v>0</v>
          </cell>
          <cell r="P12">
            <v>0</v>
          </cell>
          <cell r="Q12" t="str">
            <v>CS</v>
          </cell>
          <cell r="R12">
            <v>1</v>
          </cell>
          <cell r="S12">
            <v>1</v>
          </cell>
          <cell r="T12">
            <v>797.63175811200006</v>
          </cell>
          <cell r="U12">
            <v>797.63175811200006</v>
          </cell>
        </row>
        <row r="13">
          <cell r="B13" t="str">
            <v>V17551-PIND-0014-01</v>
          </cell>
          <cell r="C13" t="str">
            <v>PROD/25-26/07344</v>
          </cell>
          <cell r="D13" t="str">
            <v/>
          </cell>
          <cell r="E13" t="str">
            <v>TJ/25-26/184-CS</v>
          </cell>
          <cell r="F13" t="str">
            <v>P5</v>
          </cell>
          <cell r="G13">
            <v>0</v>
          </cell>
          <cell r="H13">
            <v>1</v>
          </cell>
          <cell r="I13" t="str">
            <v>Yes</v>
          </cell>
          <cell r="J13" t="str">
            <v/>
          </cell>
          <cell r="K13" t="str">
            <v>Yes</v>
          </cell>
          <cell r="L13" t="str">
            <v/>
          </cell>
          <cell r="M13" t="str">
            <v/>
          </cell>
          <cell r="N13" t="str">
            <v>Spool</v>
          </cell>
          <cell r="O13">
            <v>0</v>
          </cell>
          <cell r="P13">
            <v>0</v>
          </cell>
          <cell r="Q13" t="str">
            <v>CS</v>
          </cell>
          <cell r="R13">
            <v>1</v>
          </cell>
          <cell r="S13">
            <v>1</v>
          </cell>
          <cell r="T13">
            <v>22.22794</v>
          </cell>
          <cell r="U13">
            <v>22.22794</v>
          </cell>
        </row>
        <row r="14">
          <cell r="B14" t="str">
            <v>V17551-PIND-0015-01</v>
          </cell>
          <cell r="C14" t="str">
            <v>PROD/25-26/06498</v>
          </cell>
          <cell r="D14" t="str">
            <v/>
          </cell>
          <cell r="E14" t="str">
            <v>TJ/25-26/184-CS</v>
          </cell>
          <cell r="F14" t="str">
            <v>P5</v>
          </cell>
          <cell r="G14">
            <v>0</v>
          </cell>
          <cell r="H14">
            <v>1</v>
          </cell>
          <cell r="I14" t="str">
            <v>Yes</v>
          </cell>
          <cell r="J14" t="str">
            <v/>
          </cell>
          <cell r="K14" t="str">
            <v>No</v>
          </cell>
          <cell r="L14" t="str">
            <v/>
          </cell>
          <cell r="M14" t="str">
            <v/>
          </cell>
          <cell r="N14" t="str">
            <v>Spool</v>
          </cell>
          <cell r="O14">
            <v>0</v>
          </cell>
          <cell r="P14">
            <v>0</v>
          </cell>
          <cell r="Q14" t="str">
            <v>CS</v>
          </cell>
          <cell r="R14">
            <v>1</v>
          </cell>
          <cell r="S14">
            <v>1</v>
          </cell>
          <cell r="T14">
            <v>166.63911999999999</v>
          </cell>
          <cell r="U14">
            <v>166.63911999999999</v>
          </cell>
        </row>
        <row r="15">
          <cell r="B15" t="str">
            <v>V17551-PIND-0016-01</v>
          </cell>
          <cell r="C15" t="str">
            <v>PROD/25-26/07345</v>
          </cell>
          <cell r="D15" t="str">
            <v/>
          </cell>
          <cell r="E15" t="str">
            <v>TJ/25-26/184-CS</v>
          </cell>
          <cell r="F15" t="str">
            <v>P5</v>
          </cell>
          <cell r="G15">
            <v>0</v>
          </cell>
          <cell r="H15">
            <v>1</v>
          </cell>
          <cell r="I15" t="str">
            <v>Yes</v>
          </cell>
          <cell r="J15" t="str">
            <v/>
          </cell>
          <cell r="K15" t="str">
            <v>Yes</v>
          </cell>
          <cell r="L15" t="str">
            <v/>
          </cell>
          <cell r="M15" t="str">
            <v/>
          </cell>
          <cell r="N15" t="str">
            <v>Spool</v>
          </cell>
          <cell r="O15">
            <v>0</v>
          </cell>
          <cell r="P15">
            <v>0</v>
          </cell>
          <cell r="Q15" t="str">
            <v>CS</v>
          </cell>
          <cell r="R15">
            <v>1</v>
          </cell>
          <cell r="S15">
            <v>1</v>
          </cell>
          <cell r="T15">
            <v>22.22794</v>
          </cell>
          <cell r="U15">
            <v>22.22794</v>
          </cell>
        </row>
        <row r="16">
          <cell r="B16" t="str">
            <v>V17551-PIND-0017-01</v>
          </cell>
          <cell r="C16" t="str">
            <v>PROD/25-26/06500</v>
          </cell>
          <cell r="D16" t="str">
            <v/>
          </cell>
          <cell r="E16" t="str">
            <v>TJ/25-26/184-CS</v>
          </cell>
          <cell r="F16" t="str">
            <v>P5</v>
          </cell>
          <cell r="G16">
            <v>0</v>
          </cell>
          <cell r="H16">
            <v>1</v>
          </cell>
          <cell r="I16" t="str">
            <v>Yes</v>
          </cell>
          <cell r="J16" t="str">
            <v/>
          </cell>
          <cell r="K16" t="str">
            <v>Yes</v>
          </cell>
          <cell r="L16" t="str">
            <v/>
          </cell>
          <cell r="M16" t="str">
            <v/>
          </cell>
          <cell r="N16" t="str">
            <v>Spool</v>
          </cell>
          <cell r="O16">
            <v>0</v>
          </cell>
          <cell r="P16">
            <v>0</v>
          </cell>
          <cell r="Q16" t="str">
            <v>CS</v>
          </cell>
          <cell r="R16">
            <v>1</v>
          </cell>
          <cell r="S16">
            <v>1</v>
          </cell>
          <cell r="T16">
            <v>166.63911999999999</v>
          </cell>
          <cell r="U16">
            <v>166.63911999999999</v>
          </cell>
        </row>
        <row r="17">
          <cell r="B17" t="str">
            <v>V17551-PIND-0018-01</v>
          </cell>
          <cell r="C17" t="str">
            <v>PROD/25-26/07346</v>
          </cell>
          <cell r="D17" t="str">
            <v/>
          </cell>
          <cell r="E17" t="str">
            <v>TJ/25-26/184-CS</v>
          </cell>
          <cell r="F17" t="str">
            <v>P5</v>
          </cell>
          <cell r="G17">
            <v>0</v>
          </cell>
          <cell r="H17">
            <v>1</v>
          </cell>
          <cell r="I17" t="str">
            <v>Yes</v>
          </cell>
          <cell r="J17" t="str">
            <v/>
          </cell>
          <cell r="K17" t="str">
            <v>Yes</v>
          </cell>
          <cell r="L17" t="str">
            <v/>
          </cell>
          <cell r="M17" t="str">
            <v/>
          </cell>
          <cell r="N17" t="str">
            <v>Spool</v>
          </cell>
          <cell r="O17">
            <v>0</v>
          </cell>
          <cell r="P17">
            <v>0</v>
          </cell>
          <cell r="Q17" t="str">
            <v>CS</v>
          </cell>
          <cell r="R17">
            <v>1</v>
          </cell>
          <cell r="S17">
            <v>1</v>
          </cell>
          <cell r="T17">
            <v>22.22794</v>
          </cell>
          <cell r="U17">
            <v>22.22794</v>
          </cell>
        </row>
        <row r="18">
          <cell r="B18" t="str">
            <v>V17551-PIND-0019-01</v>
          </cell>
          <cell r="C18" t="str">
            <v>PROD/25-26/06502</v>
          </cell>
          <cell r="D18" t="str">
            <v/>
          </cell>
          <cell r="E18" t="str">
            <v>TJ/25-26/184-CS</v>
          </cell>
          <cell r="F18" t="str">
            <v>P5</v>
          </cell>
          <cell r="G18">
            <v>0</v>
          </cell>
          <cell r="H18">
            <v>1</v>
          </cell>
          <cell r="I18" t="str">
            <v>Yes</v>
          </cell>
          <cell r="J18" t="str">
            <v/>
          </cell>
          <cell r="K18" t="str">
            <v>No</v>
          </cell>
          <cell r="L18" t="str">
            <v/>
          </cell>
          <cell r="M18" t="str">
            <v/>
          </cell>
          <cell r="N18" t="str">
            <v>Spool</v>
          </cell>
          <cell r="O18">
            <v>0</v>
          </cell>
          <cell r="P18">
            <v>0</v>
          </cell>
          <cell r="Q18" t="str">
            <v>CS</v>
          </cell>
          <cell r="R18">
            <v>1</v>
          </cell>
          <cell r="S18">
            <v>1</v>
          </cell>
          <cell r="T18">
            <v>170.67447999999999</v>
          </cell>
          <cell r="U18">
            <v>170.67447999999999</v>
          </cell>
        </row>
        <row r="19">
          <cell r="B19" t="str">
            <v>V17551-PIND-0020-01</v>
          </cell>
          <cell r="C19" t="str">
            <v>PROD/25-26/08047</v>
          </cell>
          <cell r="D19" t="str">
            <v/>
          </cell>
          <cell r="E19" t="str">
            <v>TJ/25-26/184-CS</v>
          </cell>
          <cell r="F19" t="str">
            <v>P5</v>
          </cell>
          <cell r="G19">
            <v>0</v>
          </cell>
          <cell r="H19">
            <v>1</v>
          </cell>
          <cell r="I19" t="str">
            <v>Yes</v>
          </cell>
          <cell r="J19" t="str">
            <v/>
          </cell>
          <cell r="K19" t="str">
            <v>Yes</v>
          </cell>
          <cell r="L19" t="str">
            <v/>
          </cell>
          <cell r="M19" t="str">
            <v/>
          </cell>
          <cell r="N19" t="str">
            <v>Spool</v>
          </cell>
          <cell r="O19">
            <v>0</v>
          </cell>
          <cell r="P19">
            <v>0</v>
          </cell>
          <cell r="Q19" t="str">
            <v>CS</v>
          </cell>
          <cell r="R19">
            <v>1</v>
          </cell>
          <cell r="S19">
            <v>1</v>
          </cell>
          <cell r="T19">
            <v>22.22794</v>
          </cell>
          <cell r="U19">
            <v>22.22794</v>
          </cell>
        </row>
        <row r="20">
          <cell r="B20" t="str">
            <v>V17551-PIND-0021-01</v>
          </cell>
          <cell r="C20" t="str">
            <v>PROD/25-26/06504</v>
          </cell>
          <cell r="D20" t="str">
            <v/>
          </cell>
          <cell r="E20" t="str">
            <v>TJ/25-26/184-CS</v>
          </cell>
          <cell r="F20" t="str">
            <v>P5</v>
          </cell>
          <cell r="G20">
            <v>0</v>
          </cell>
          <cell r="H20">
            <v>1</v>
          </cell>
          <cell r="I20" t="str">
            <v>Yes</v>
          </cell>
          <cell r="J20" t="str">
            <v/>
          </cell>
          <cell r="K20" t="str">
            <v>No</v>
          </cell>
          <cell r="L20" t="str">
            <v/>
          </cell>
          <cell r="M20" t="str">
            <v/>
          </cell>
          <cell r="N20" t="str">
            <v>Spool</v>
          </cell>
          <cell r="O20">
            <v>0</v>
          </cell>
          <cell r="P20">
            <v>0</v>
          </cell>
          <cell r="Q20" t="str">
            <v>CS</v>
          </cell>
          <cell r="R20">
            <v>1</v>
          </cell>
          <cell r="S20">
            <v>1</v>
          </cell>
          <cell r="T20">
            <v>170.67447999999999</v>
          </cell>
          <cell r="U20">
            <v>170.67447999999999</v>
          </cell>
        </row>
        <row r="21">
          <cell r="B21" t="str">
            <v>V17551-PIND-0022-01</v>
          </cell>
          <cell r="C21" t="str">
            <v>PROD/25-26/08048</v>
          </cell>
          <cell r="D21" t="str">
            <v/>
          </cell>
          <cell r="E21" t="str">
            <v>TJ/25-26/184-CS</v>
          </cell>
          <cell r="F21" t="str">
            <v>P5</v>
          </cell>
          <cell r="G21">
            <v>0</v>
          </cell>
          <cell r="H21">
            <v>1</v>
          </cell>
          <cell r="I21" t="str">
            <v>Yes</v>
          </cell>
          <cell r="J21" t="str">
            <v/>
          </cell>
          <cell r="K21" t="str">
            <v>Yes</v>
          </cell>
          <cell r="L21" t="str">
            <v/>
          </cell>
          <cell r="M21" t="str">
            <v/>
          </cell>
          <cell r="N21" t="str">
            <v>Spool</v>
          </cell>
          <cell r="O21">
            <v>0</v>
          </cell>
          <cell r="P21">
            <v>0</v>
          </cell>
          <cell r="Q21" t="str">
            <v>CS</v>
          </cell>
          <cell r="R21">
            <v>1</v>
          </cell>
          <cell r="S21">
            <v>1</v>
          </cell>
          <cell r="T21">
            <v>22.22794</v>
          </cell>
          <cell r="U21">
            <v>22.22794</v>
          </cell>
        </row>
        <row r="22">
          <cell r="B22" t="str">
            <v>V17551-PIND-0023-01</v>
          </cell>
          <cell r="C22" t="str">
            <v>PROD/25-26/06505</v>
          </cell>
          <cell r="D22" t="str">
            <v/>
          </cell>
          <cell r="E22" t="str">
            <v>TJ/25-26/184-CS</v>
          </cell>
          <cell r="F22" t="str">
            <v>P5</v>
          </cell>
          <cell r="G22">
            <v>0</v>
          </cell>
          <cell r="H22">
            <v>1</v>
          </cell>
          <cell r="I22" t="str">
            <v>Yes</v>
          </cell>
          <cell r="J22" t="str">
            <v/>
          </cell>
          <cell r="K22" t="str">
            <v>No</v>
          </cell>
          <cell r="L22" t="str">
            <v/>
          </cell>
          <cell r="M22" t="str">
            <v/>
          </cell>
          <cell r="N22" t="str">
            <v>Spool</v>
          </cell>
          <cell r="O22">
            <v>0</v>
          </cell>
          <cell r="P22">
            <v>0</v>
          </cell>
          <cell r="Q22" t="str">
            <v>CS</v>
          </cell>
          <cell r="R22">
            <v>1</v>
          </cell>
          <cell r="S22">
            <v>1</v>
          </cell>
          <cell r="T22">
            <v>170.67447999999999</v>
          </cell>
          <cell r="U22">
            <v>170.67447999999999</v>
          </cell>
        </row>
        <row r="23">
          <cell r="B23" t="str">
            <v>V17551-PIND-0024-01</v>
          </cell>
          <cell r="C23" t="str">
            <v>PROD/25-26/08049</v>
          </cell>
          <cell r="D23" t="str">
            <v/>
          </cell>
          <cell r="E23" t="str">
            <v>TJ/25-26/184-CS</v>
          </cell>
          <cell r="F23" t="str">
            <v>P5</v>
          </cell>
          <cell r="G23">
            <v>0</v>
          </cell>
          <cell r="H23">
            <v>1</v>
          </cell>
          <cell r="I23" t="str">
            <v>Yes</v>
          </cell>
          <cell r="J23" t="str">
            <v/>
          </cell>
          <cell r="K23" t="str">
            <v>Yes</v>
          </cell>
          <cell r="L23" t="str">
            <v/>
          </cell>
          <cell r="M23" t="str">
            <v/>
          </cell>
          <cell r="N23" t="str">
            <v>Spool</v>
          </cell>
          <cell r="O23">
            <v>0</v>
          </cell>
          <cell r="P23">
            <v>0</v>
          </cell>
          <cell r="Q23" t="str">
            <v>CS</v>
          </cell>
          <cell r="R23">
            <v>1</v>
          </cell>
          <cell r="S23">
            <v>1</v>
          </cell>
          <cell r="T23">
            <v>22.22794</v>
          </cell>
          <cell r="U23">
            <v>22.22794</v>
          </cell>
        </row>
        <row r="24">
          <cell r="B24" t="str">
            <v>V17551-PIND-0025-01</v>
          </cell>
          <cell r="C24" t="str">
            <v>PROD/25-26/06506</v>
          </cell>
          <cell r="D24" t="str">
            <v/>
          </cell>
          <cell r="E24" t="str">
            <v>TJ/25-26/184-CS</v>
          </cell>
          <cell r="F24" t="str">
            <v>P5</v>
          </cell>
          <cell r="G24">
            <v>0</v>
          </cell>
          <cell r="H24">
            <v>1</v>
          </cell>
          <cell r="I24" t="str">
            <v>Yes</v>
          </cell>
          <cell r="J24" t="str">
            <v/>
          </cell>
          <cell r="K24" t="str">
            <v>No</v>
          </cell>
          <cell r="L24" t="str">
            <v/>
          </cell>
          <cell r="M24" t="str">
            <v/>
          </cell>
          <cell r="N24" t="str">
            <v>Spool</v>
          </cell>
          <cell r="O24">
            <v>0</v>
          </cell>
          <cell r="P24">
            <v>0</v>
          </cell>
          <cell r="Q24" t="str">
            <v>CS</v>
          </cell>
          <cell r="R24">
            <v>1</v>
          </cell>
          <cell r="S24">
            <v>1</v>
          </cell>
          <cell r="T24">
            <v>170.67447999999999</v>
          </cell>
          <cell r="U24">
            <v>170.67447999999999</v>
          </cell>
        </row>
        <row r="25">
          <cell r="B25" t="str">
            <v>V17551-PIND-0026-01</v>
          </cell>
          <cell r="C25" t="str">
            <v>PROD/25-26/08050</v>
          </cell>
          <cell r="D25" t="str">
            <v/>
          </cell>
          <cell r="E25" t="str">
            <v>TJ/25-26/184-CS</v>
          </cell>
          <cell r="F25" t="str">
            <v>P5</v>
          </cell>
          <cell r="G25">
            <v>0</v>
          </cell>
          <cell r="H25">
            <v>1</v>
          </cell>
          <cell r="I25" t="str">
            <v>Yes</v>
          </cell>
          <cell r="J25" t="str">
            <v/>
          </cell>
          <cell r="K25" t="str">
            <v>Yes</v>
          </cell>
          <cell r="L25" t="str">
            <v/>
          </cell>
          <cell r="M25" t="str">
            <v/>
          </cell>
          <cell r="N25" t="str">
            <v>Spool</v>
          </cell>
          <cell r="O25">
            <v>0</v>
          </cell>
          <cell r="P25">
            <v>0</v>
          </cell>
          <cell r="Q25" t="str">
            <v>CS</v>
          </cell>
          <cell r="R25">
            <v>1</v>
          </cell>
          <cell r="S25">
            <v>1</v>
          </cell>
          <cell r="T25">
            <v>22.22794</v>
          </cell>
          <cell r="U25">
            <v>22.22794</v>
          </cell>
        </row>
        <row r="26">
          <cell r="B26" t="str">
            <v>V17551-PIND-0027-01</v>
          </cell>
          <cell r="C26" t="str">
            <v>PROD/25-26/06507</v>
          </cell>
          <cell r="D26" t="str">
            <v/>
          </cell>
          <cell r="E26" t="str">
            <v>TJ/25-26/184-CS</v>
          </cell>
          <cell r="F26" t="str">
            <v>P5</v>
          </cell>
          <cell r="G26">
            <v>0</v>
          </cell>
          <cell r="H26">
            <v>1</v>
          </cell>
          <cell r="I26" t="str">
            <v>Yes</v>
          </cell>
          <cell r="J26" t="str">
            <v/>
          </cell>
          <cell r="K26" t="str">
            <v>No</v>
          </cell>
          <cell r="L26" t="str">
            <v/>
          </cell>
          <cell r="M26" t="str">
            <v/>
          </cell>
          <cell r="N26" t="str">
            <v>Spool</v>
          </cell>
          <cell r="O26">
            <v>0</v>
          </cell>
          <cell r="P26">
            <v>0</v>
          </cell>
          <cell r="Q26" t="str">
            <v>CS</v>
          </cell>
          <cell r="R26">
            <v>1</v>
          </cell>
          <cell r="S26">
            <v>1</v>
          </cell>
          <cell r="T26">
            <v>170.67447999999999</v>
          </cell>
          <cell r="U26">
            <v>170.67447999999999</v>
          </cell>
        </row>
        <row r="27">
          <cell r="B27" t="str">
            <v>V17551-PIND-0028-01</v>
          </cell>
          <cell r="C27" t="str">
            <v>PROD/25-26/08051</v>
          </cell>
          <cell r="D27" t="str">
            <v/>
          </cell>
          <cell r="E27" t="str">
            <v>TJ/25-26/184-CS</v>
          </cell>
          <cell r="F27" t="str">
            <v>P5</v>
          </cell>
          <cell r="G27">
            <v>0</v>
          </cell>
          <cell r="H27">
            <v>1</v>
          </cell>
          <cell r="I27" t="str">
            <v>Yes</v>
          </cell>
          <cell r="J27" t="str">
            <v/>
          </cell>
          <cell r="K27" t="str">
            <v>Yes</v>
          </cell>
          <cell r="L27" t="str">
            <v/>
          </cell>
          <cell r="M27" t="str">
            <v/>
          </cell>
          <cell r="N27" t="str">
            <v>Spool</v>
          </cell>
          <cell r="O27">
            <v>0</v>
          </cell>
          <cell r="P27">
            <v>0</v>
          </cell>
          <cell r="Q27" t="str">
            <v>CS</v>
          </cell>
          <cell r="R27">
            <v>1</v>
          </cell>
          <cell r="S27">
            <v>1</v>
          </cell>
          <cell r="T27">
            <v>22.22794</v>
          </cell>
          <cell r="U27">
            <v>22.22794</v>
          </cell>
        </row>
        <row r="28">
          <cell r="B28" t="str">
            <v>V17551-PIND-0029-01</v>
          </cell>
          <cell r="C28" t="str">
            <v>PROD/25-26/06509</v>
          </cell>
          <cell r="D28" t="str">
            <v/>
          </cell>
          <cell r="E28" t="str">
            <v>TJ/25-26/184-CS</v>
          </cell>
          <cell r="F28" t="str">
            <v>P5</v>
          </cell>
          <cell r="G28">
            <v>0</v>
          </cell>
          <cell r="H28">
            <v>1</v>
          </cell>
          <cell r="I28" t="str">
            <v>Yes</v>
          </cell>
          <cell r="J28" t="str">
            <v/>
          </cell>
          <cell r="K28" t="str">
            <v>Yes</v>
          </cell>
          <cell r="L28" t="str">
            <v/>
          </cell>
          <cell r="M28" t="str">
            <v/>
          </cell>
          <cell r="N28" t="str">
            <v>Spool</v>
          </cell>
          <cell r="O28">
            <v>0</v>
          </cell>
          <cell r="P28">
            <v>0</v>
          </cell>
          <cell r="Q28" t="str">
            <v>CS</v>
          </cell>
          <cell r="R28">
            <v>1</v>
          </cell>
          <cell r="S28">
            <v>1</v>
          </cell>
          <cell r="T28">
            <v>170.67447999999999</v>
          </cell>
          <cell r="U28">
            <v>170.67447999999999</v>
          </cell>
        </row>
        <row r="29">
          <cell r="B29" t="str">
            <v>V17551-PIND-0030-01</v>
          </cell>
          <cell r="C29" t="str">
            <v>PROD/25-26/08052</v>
          </cell>
          <cell r="D29" t="str">
            <v/>
          </cell>
          <cell r="E29" t="str">
            <v>TJ/25-26/184-CS</v>
          </cell>
          <cell r="F29" t="str">
            <v>P5</v>
          </cell>
          <cell r="G29">
            <v>0</v>
          </cell>
          <cell r="H29">
            <v>1</v>
          </cell>
          <cell r="I29" t="str">
            <v>Yes</v>
          </cell>
          <cell r="J29" t="str">
            <v/>
          </cell>
          <cell r="K29" t="str">
            <v>Yes</v>
          </cell>
          <cell r="L29" t="str">
            <v/>
          </cell>
          <cell r="M29" t="str">
            <v/>
          </cell>
          <cell r="N29" t="str">
            <v>Spool</v>
          </cell>
          <cell r="O29">
            <v>0</v>
          </cell>
          <cell r="P29">
            <v>0</v>
          </cell>
          <cell r="Q29" t="str">
            <v>CS</v>
          </cell>
          <cell r="R29">
            <v>1</v>
          </cell>
          <cell r="S29">
            <v>1</v>
          </cell>
          <cell r="T29">
            <v>22.22794</v>
          </cell>
          <cell r="U29">
            <v>22.22794</v>
          </cell>
        </row>
        <row r="30">
          <cell r="B30" t="str">
            <v>V17551-PIND-0031-01</v>
          </cell>
          <cell r="C30" t="str">
            <v>PROD/25-26/06511</v>
          </cell>
          <cell r="D30" t="str">
            <v/>
          </cell>
          <cell r="E30" t="str">
            <v>TJ/25-26/184-CS</v>
          </cell>
          <cell r="F30" t="str">
            <v>P5</v>
          </cell>
          <cell r="G30">
            <v>0</v>
          </cell>
          <cell r="H30">
            <v>1</v>
          </cell>
          <cell r="I30" t="str">
            <v>Yes</v>
          </cell>
          <cell r="J30" t="str">
            <v/>
          </cell>
          <cell r="K30" t="str">
            <v>No</v>
          </cell>
          <cell r="L30" t="str">
            <v/>
          </cell>
          <cell r="M30" t="str">
            <v/>
          </cell>
          <cell r="N30" t="str">
            <v>Spool</v>
          </cell>
          <cell r="O30">
            <v>0</v>
          </cell>
          <cell r="P30">
            <v>0</v>
          </cell>
          <cell r="Q30" t="str">
            <v>CS</v>
          </cell>
          <cell r="R30">
            <v>1</v>
          </cell>
          <cell r="S30">
            <v>1</v>
          </cell>
          <cell r="T30">
            <v>170.67447999999999</v>
          </cell>
          <cell r="U30">
            <v>170.67447999999999</v>
          </cell>
        </row>
        <row r="31">
          <cell r="B31" t="str">
            <v>V17551-PIND-0032-01</v>
          </cell>
          <cell r="C31" t="str">
            <v>PROD/25-26/08053</v>
          </cell>
          <cell r="D31" t="str">
            <v/>
          </cell>
          <cell r="E31" t="str">
            <v>TJ/25-26/184-CS</v>
          </cell>
          <cell r="F31" t="str">
            <v>P5</v>
          </cell>
          <cell r="G31">
            <v>0</v>
          </cell>
          <cell r="H31">
            <v>1</v>
          </cell>
          <cell r="I31" t="str">
            <v>Yes</v>
          </cell>
          <cell r="J31" t="str">
            <v/>
          </cell>
          <cell r="K31" t="str">
            <v>Yes</v>
          </cell>
          <cell r="L31" t="str">
            <v/>
          </cell>
          <cell r="M31" t="str">
            <v/>
          </cell>
          <cell r="N31" t="str">
            <v>Spool</v>
          </cell>
          <cell r="O31">
            <v>0</v>
          </cell>
          <cell r="P31">
            <v>0</v>
          </cell>
          <cell r="Q31" t="str">
            <v>CS</v>
          </cell>
          <cell r="R31">
            <v>1</v>
          </cell>
          <cell r="S31">
            <v>1</v>
          </cell>
          <cell r="T31">
            <v>22.2562</v>
          </cell>
          <cell r="U31">
            <v>22.2562</v>
          </cell>
        </row>
        <row r="32">
          <cell r="B32" t="str">
            <v>V17551-PIND-0033-01</v>
          </cell>
          <cell r="C32" t="str">
            <v>PROD/25-26/06512</v>
          </cell>
          <cell r="D32" t="str">
            <v/>
          </cell>
          <cell r="E32" t="str">
            <v>TJ/25-26/184-CS</v>
          </cell>
          <cell r="F32" t="str">
            <v>P5</v>
          </cell>
          <cell r="G32">
            <v>0</v>
          </cell>
          <cell r="H32">
            <v>1</v>
          </cell>
          <cell r="I32" t="str">
            <v>Yes</v>
          </cell>
          <cell r="J32" t="str">
            <v/>
          </cell>
          <cell r="K32" t="str">
            <v>No</v>
          </cell>
          <cell r="L32" t="str">
            <v/>
          </cell>
          <cell r="M32" t="str">
            <v/>
          </cell>
          <cell r="N32" t="str">
            <v>Spool</v>
          </cell>
          <cell r="O32">
            <v>0</v>
          </cell>
          <cell r="P32">
            <v>0</v>
          </cell>
          <cell r="Q32" t="str">
            <v>CS</v>
          </cell>
          <cell r="R32">
            <v>1</v>
          </cell>
          <cell r="S32">
            <v>1</v>
          </cell>
          <cell r="T32">
            <v>170.67447999999999</v>
          </cell>
          <cell r="U32">
            <v>170.67447999999999</v>
          </cell>
        </row>
        <row r="33">
          <cell r="B33" t="str">
            <v>V17551-PIND-0034-01</v>
          </cell>
          <cell r="C33" t="str">
            <v>PROD/25-26/08054</v>
          </cell>
          <cell r="D33" t="str">
            <v/>
          </cell>
          <cell r="E33" t="str">
            <v>TJ/25-26/184-CS</v>
          </cell>
          <cell r="F33" t="str">
            <v>P5</v>
          </cell>
          <cell r="G33">
            <v>0</v>
          </cell>
          <cell r="H33">
            <v>1</v>
          </cell>
          <cell r="I33" t="str">
            <v>Yes</v>
          </cell>
          <cell r="J33" t="str">
            <v/>
          </cell>
          <cell r="K33" t="str">
            <v>Yes</v>
          </cell>
          <cell r="L33" t="str">
            <v/>
          </cell>
          <cell r="M33" t="str">
            <v/>
          </cell>
          <cell r="N33" t="str">
            <v>Spool</v>
          </cell>
          <cell r="O33">
            <v>0</v>
          </cell>
          <cell r="P33">
            <v>0</v>
          </cell>
          <cell r="Q33" t="str">
            <v>CS</v>
          </cell>
          <cell r="R33">
            <v>1</v>
          </cell>
          <cell r="S33">
            <v>1</v>
          </cell>
          <cell r="T33">
            <v>22.22794</v>
          </cell>
          <cell r="U33">
            <v>22.22794</v>
          </cell>
        </row>
        <row r="34">
          <cell r="B34" t="str">
            <v>V17551-PIND-0035-01</v>
          </cell>
          <cell r="C34" t="str">
            <v>PROD/25-26/06513</v>
          </cell>
          <cell r="D34" t="str">
            <v/>
          </cell>
          <cell r="E34" t="str">
            <v>TJ/25-26/184-CS</v>
          </cell>
          <cell r="F34" t="str">
            <v>P5</v>
          </cell>
          <cell r="G34">
            <v>0</v>
          </cell>
          <cell r="H34">
            <v>1</v>
          </cell>
          <cell r="I34" t="str">
            <v>Yes</v>
          </cell>
          <cell r="J34" t="str">
            <v/>
          </cell>
          <cell r="K34" t="str">
            <v>Yes</v>
          </cell>
          <cell r="L34" t="str">
            <v/>
          </cell>
          <cell r="M34" t="str">
            <v/>
          </cell>
          <cell r="N34" t="str">
            <v>Spool</v>
          </cell>
          <cell r="O34">
            <v>0</v>
          </cell>
          <cell r="P34">
            <v>0</v>
          </cell>
          <cell r="Q34" t="str">
            <v>CS</v>
          </cell>
          <cell r="R34">
            <v>1</v>
          </cell>
          <cell r="S34">
            <v>1</v>
          </cell>
          <cell r="T34">
            <v>170.67447999999999</v>
          </cell>
          <cell r="U34">
            <v>170.67447999999999</v>
          </cell>
        </row>
        <row r="35">
          <cell r="B35" t="str">
            <v>V17551-PIND-0036-01</v>
          </cell>
          <cell r="C35" t="str">
            <v>PROD/25-26/08055</v>
          </cell>
          <cell r="D35" t="str">
            <v/>
          </cell>
          <cell r="E35" t="str">
            <v>TJ/25-26/184-CS</v>
          </cell>
          <cell r="F35" t="str">
            <v>P5</v>
          </cell>
          <cell r="G35">
            <v>0</v>
          </cell>
          <cell r="H35">
            <v>1</v>
          </cell>
          <cell r="I35" t="str">
            <v>Yes</v>
          </cell>
          <cell r="J35" t="str">
            <v/>
          </cell>
          <cell r="K35" t="str">
            <v>Yes</v>
          </cell>
          <cell r="L35" t="str">
            <v/>
          </cell>
          <cell r="M35" t="str">
            <v/>
          </cell>
          <cell r="N35" t="str">
            <v>Spool</v>
          </cell>
          <cell r="O35">
            <v>0</v>
          </cell>
          <cell r="P35">
            <v>0</v>
          </cell>
          <cell r="Q35" t="str">
            <v>CS</v>
          </cell>
          <cell r="R35">
            <v>1</v>
          </cell>
          <cell r="S35">
            <v>1</v>
          </cell>
          <cell r="T35">
            <v>22.22794</v>
          </cell>
          <cell r="U35">
            <v>22.22794</v>
          </cell>
        </row>
        <row r="36">
          <cell r="B36" t="str">
            <v>V17551-PIND-0037-01</v>
          </cell>
          <cell r="C36" t="str">
            <v>PROD/25-26/06514</v>
          </cell>
          <cell r="D36" t="str">
            <v/>
          </cell>
          <cell r="E36" t="str">
            <v>TJ/25-26/184-CS</v>
          </cell>
          <cell r="F36" t="str">
            <v>P5</v>
          </cell>
          <cell r="G36">
            <v>0</v>
          </cell>
          <cell r="H36">
            <v>1</v>
          </cell>
          <cell r="I36" t="str">
            <v>Yes</v>
          </cell>
          <cell r="J36" t="str">
            <v/>
          </cell>
          <cell r="K36" t="str">
            <v>Yes</v>
          </cell>
          <cell r="L36" t="str">
            <v/>
          </cell>
          <cell r="M36" t="str">
            <v/>
          </cell>
          <cell r="N36" t="str">
            <v>Spool</v>
          </cell>
          <cell r="O36">
            <v>0</v>
          </cell>
          <cell r="P36">
            <v>0</v>
          </cell>
          <cell r="Q36" t="str">
            <v>CS</v>
          </cell>
          <cell r="R36">
            <v>1</v>
          </cell>
          <cell r="S36">
            <v>1</v>
          </cell>
          <cell r="T36">
            <v>170.67447999999999</v>
          </cell>
          <cell r="U36">
            <v>170.67447999999999</v>
          </cell>
        </row>
        <row r="37">
          <cell r="B37" t="str">
            <v>V17551-PIND-0038-01</v>
          </cell>
          <cell r="C37" t="str">
            <v>PROD/25-26/08056</v>
          </cell>
          <cell r="D37" t="str">
            <v/>
          </cell>
          <cell r="E37" t="str">
            <v>TJ/25-26/184-CS</v>
          </cell>
          <cell r="F37" t="str">
            <v>P5</v>
          </cell>
          <cell r="G37">
            <v>0</v>
          </cell>
          <cell r="H37">
            <v>1</v>
          </cell>
          <cell r="I37" t="str">
            <v>Yes</v>
          </cell>
          <cell r="J37" t="str">
            <v/>
          </cell>
          <cell r="K37" t="str">
            <v>Yes</v>
          </cell>
          <cell r="L37" t="str">
            <v/>
          </cell>
          <cell r="M37" t="str">
            <v/>
          </cell>
          <cell r="N37" t="str">
            <v>Spool</v>
          </cell>
          <cell r="O37">
            <v>0</v>
          </cell>
          <cell r="P37">
            <v>0</v>
          </cell>
          <cell r="Q37" t="str">
            <v>CS</v>
          </cell>
          <cell r="R37">
            <v>1</v>
          </cell>
          <cell r="S37">
            <v>1</v>
          </cell>
          <cell r="T37">
            <v>22.22794</v>
          </cell>
          <cell r="U37">
            <v>22.22794</v>
          </cell>
        </row>
        <row r="38">
          <cell r="B38" t="str">
            <v>V17551-PIND-0039-01</v>
          </cell>
          <cell r="C38" t="str">
            <v>PROD/25-26/06515</v>
          </cell>
          <cell r="D38" t="str">
            <v/>
          </cell>
          <cell r="E38" t="str">
            <v>TJ/25-26/184-CS</v>
          </cell>
          <cell r="F38" t="str">
            <v>P5</v>
          </cell>
          <cell r="G38">
            <v>0</v>
          </cell>
          <cell r="H38">
            <v>1</v>
          </cell>
          <cell r="I38" t="str">
            <v>Yes</v>
          </cell>
          <cell r="J38" t="str">
            <v/>
          </cell>
          <cell r="K38" t="str">
            <v>No</v>
          </cell>
          <cell r="L38" t="str">
            <v/>
          </cell>
          <cell r="M38" t="str">
            <v/>
          </cell>
          <cell r="N38" t="str">
            <v>Spool</v>
          </cell>
          <cell r="O38">
            <v>0</v>
          </cell>
          <cell r="P38">
            <v>0</v>
          </cell>
          <cell r="Q38" t="str">
            <v>CS</v>
          </cell>
          <cell r="R38">
            <v>1</v>
          </cell>
          <cell r="S38">
            <v>1</v>
          </cell>
          <cell r="T38">
            <v>170.67447999999999</v>
          </cell>
          <cell r="U38">
            <v>170.67447999999999</v>
          </cell>
        </row>
        <row r="39">
          <cell r="B39" t="str">
            <v>V17551-PIND-0040-01</v>
          </cell>
          <cell r="C39" t="str">
            <v>PROD/25-26/08057</v>
          </cell>
          <cell r="D39" t="str">
            <v/>
          </cell>
          <cell r="E39" t="str">
            <v>TJ/25-26/184-CS</v>
          </cell>
          <cell r="F39" t="str">
            <v>P5</v>
          </cell>
          <cell r="G39">
            <v>0</v>
          </cell>
          <cell r="H39">
            <v>1</v>
          </cell>
          <cell r="I39" t="str">
            <v>Yes</v>
          </cell>
          <cell r="J39" t="str">
            <v/>
          </cell>
          <cell r="K39" t="str">
            <v>Yes</v>
          </cell>
          <cell r="L39" t="str">
            <v/>
          </cell>
          <cell r="M39" t="str">
            <v/>
          </cell>
          <cell r="N39" t="str">
            <v>Spool</v>
          </cell>
          <cell r="O39">
            <v>0</v>
          </cell>
          <cell r="P39">
            <v>0</v>
          </cell>
          <cell r="Q39" t="str">
            <v>CS</v>
          </cell>
          <cell r="R39">
            <v>1</v>
          </cell>
          <cell r="S39">
            <v>1</v>
          </cell>
          <cell r="T39">
            <v>22.22794</v>
          </cell>
          <cell r="U39">
            <v>22.22794</v>
          </cell>
        </row>
        <row r="40">
          <cell r="B40" t="str">
            <v>V17551-PIND-0041-01</v>
          </cell>
          <cell r="C40" t="str">
            <v>PROD/25-26/06516</v>
          </cell>
          <cell r="D40" t="str">
            <v/>
          </cell>
          <cell r="E40" t="str">
            <v>TJ/25-26/184-CS</v>
          </cell>
          <cell r="F40" t="str">
            <v>P5</v>
          </cell>
          <cell r="G40">
            <v>0</v>
          </cell>
          <cell r="H40">
            <v>1</v>
          </cell>
          <cell r="I40" t="str">
            <v>Yes</v>
          </cell>
          <cell r="J40" t="str">
            <v/>
          </cell>
          <cell r="K40" t="str">
            <v>No</v>
          </cell>
          <cell r="L40" t="str">
            <v/>
          </cell>
          <cell r="M40" t="str">
            <v/>
          </cell>
          <cell r="N40" t="str">
            <v>Spool</v>
          </cell>
          <cell r="O40">
            <v>0</v>
          </cell>
          <cell r="P40">
            <v>0</v>
          </cell>
          <cell r="Q40" t="str">
            <v>CS</v>
          </cell>
          <cell r="R40">
            <v>1</v>
          </cell>
          <cell r="S40">
            <v>1</v>
          </cell>
          <cell r="T40">
            <v>170.67447999999999</v>
          </cell>
          <cell r="U40">
            <v>170.67447999999999</v>
          </cell>
        </row>
        <row r="41">
          <cell r="B41" t="str">
            <v>V17551-PIND-0042-01</v>
          </cell>
          <cell r="C41" t="str">
            <v>PROD/25-26/08058</v>
          </cell>
          <cell r="D41" t="str">
            <v/>
          </cell>
          <cell r="E41" t="str">
            <v>TJ/25-26/184-CS</v>
          </cell>
          <cell r="F41" t="str">
            <v>P5</v>
          </cell>
          <cell r="G41">
            <v>0</v>
          </cell>
          <cell r="H41">
            <v>1</v>
          </cell>
          <cell r="I41" t="str">
            <v>Yes</v>
          </cell>
          <cell r="J41" t="str">
            <v/>
          </cell>
          <cell r="K41" t="str">
            <v>Yes</v>
          </cell>
          <cell r="L41" t="str">
            <v/>
          </cell>
          <cell r="M41" t="str">
            <v/>
          </cell>
          <cell r="N41" t="str">
            <v>Spool</v>
          </cell>
          <cell r="O41">
            <v>0</v>
          </cell>
          <cell r="P41">
            <v>0</v>
          </cell>
          <cell r="Q41" t="str">
            <v>CS</v>
          </cell>
          <cell r="R41">
            <v>1</v>
          </cell>
          <cell r="S41">
            <v>1</v>
          </cell>
          <cell r="T41">
            <v>22.22794</v>
          </cell>
          <cell r="U41">
            <v>22.22794</v>
          </cell>
        </row>
        <row r="42">
          <cell r="B42" t="str">
            <v>V17551-PIND-0043-01</v>
          </cell>
          <cell r="C42" t="str">
            <v>PROD/25-26/06517</v>
          </cell>
          <cell r="D42" t="str">
            <v/>
          </cell>
          <cell r="E42" t="str">
            <v>TJ/25-26/184-CS</v>
          </cell>
          <cell r="F42" t="str">
            <v>P5</v>
          </cell>
          <cell r="G42">
            <v>0</v>
          </cell>
          <cell r="H42">
            <v>1</v>
          </cell>
          <cell r="I42" t="str">
            <v>Yes</v>
          </cell>
          <cell r="J42" t="str">
            <v/>
          </cell>
          <cell r="K42" t="str">
            <v>No</v>
          </cell>
          <cell r="L42" t="str">
            <v/>
          </cell>
          <cell r="M42" t="str">
            <v/>
          </cell>
          <cell r="N42" t="str">
            <v>Spool</v>
          </cell>
          <cell r="O42">
            <v>0</v>
          </cell>
          <cell r="P42">
            <v>0</v>
          </cell>
          <cell r="Q42" t="str">
            <v>CS</v>
          </cell>
          <cell r="R42">
            <v>1</v>
          </cell>
          <cell r="S42">
            <v>1</v>
          </cell>
          <cell r="T42">
            <v>170.67447999999999</v>
          </cell>
          <cell r="U42">
            <v>170.67447999999999</v>
          </cell>
        </row>
        <row r="43">
          <cell r="B43" t="str">
            <v>V17551-PIND-0044-01</v>
          </cell>
          <cell r="C43" t="str">
            <v>PROD/25-26/08059</v>
          </cell>
          <cell r="D43" t="str">
            <v/>
          </cell>
          <cell r="E43" t="str">
            <v>TJ/25-26/184-CS</v>
          </cell>
          <cell r="F43" t="str">
            <v>P5</v>
          </cell>
          <cell r="G43">
            <v>0</v>
          </cell>
          <cell r="H43">
            <v>1</v>
          </cell>
          <cell r="I43" t="str">
            <v>Yes</v>
          </cell>
          <cell r="J43" t="str">
            <v/>
          </cell>
          <cell r="K43" t="str">
            <v>Yes</v>
          </cell>
          <cell r="L43" t="str">
            <v/>
          </cell>
          <cell r="M43" t="str">
            <v/>
          </cell>
          <cell r="N43" t="str">
            <v>Spool</v>
          </cell>
          <cell r="O43">
            <v>0</v>
          </cell>
          <cell r="P43">
            <v>0</v>
          </cell>
          <cell r="Q43" t="str">
            <v>CS</v>
          </cell>
          <cell r="R43">
            <v>1</v>
          </cell>
          <cell r="S43">
            <v>1</v>
          </cell>
          <cell r="T43">
            <v>22.22794</v>
          </cell>
          <cell r="U43">
            <v>22.22794</v>
          </cell>
        </row>
        <row r="44">
          <cell r="B44" t="str">
            <v>V17551-PIND-0045-01</v>
          </cell>
          <cell r="C44" t="str">
            <v>PROD/25-26/06518</v>
          </cell>
          <cell r="D44" t="str">
            <v/>
          </cell>
          <cell r="E44" t="str">
            <v>TJ/25-26/184-CS</v>
          </cell>
          <cell r="F44" t="str">
            <v>P5</v>
          </cell>
          <cell r="G44">
            <v>0</v>
          </cell>
          <cell r="H44">
            <v>1</v>
          </cell>
          <cell r="I44" t="str">
            <v>Yes</v>
          </cell>
          <cell r="J44" t="str">
            <v/>
          </cell>
          <cell r="K44" t="str">
            <v>No</v>
          </cell>
          <cell r="L44" t="str">
            <v/>
          </cell>
          <cell r="M44" t="str">
            <v/>
          </cell>
          <cell r="N44" t="str">
            <v>Spool</v>
          </cell>
          <cell r="O44">
            <v>0</v>
          </cell>
          <cell r="P44">
            <v>0</v>
          </cell>
          <cell r="Q44" t="str">
            <v>CS</v>
          </cell>
          <cell r="R44">
            <v>1</v>
          </cell>
          <cell r="S44">
            <v>1</v>
          </cell>
          <cell r="T44">
            <v>170.67447999999999</v>
          </cell>
          <cell r="U44">
            <v>170.67447999999999</v>
          </cell>
        </row>
        <row r="45">
          <cell r="B45" t="str">
            <v>V17551-PIND-0046-01</v>
          </cell>
          <cell r="C45" t="str">
            <v>PROD/25-26/08060</v>
          </cell>
          <cell r="D45" t="str">
            <v/>
          </cell>
          <cell r="E45" t="str">
            <v>TJ/25-26/184-CS</v>
          </cell>
          <cell r="F45" t="str">
            <v>P5</v>
          </cell>
          <cell r="G45">
            <v>0</v>
          </cell>
          <cell r="H45">
            <v>1</v>
          </cell>
          <cell r="I45" t="str">
            <v>Yes</v>
          </cell>
          <cell r="J45" t="str">
            <v/>
          </cell>
          <cell r="K45" t="str">
            <v>Yes</v>
          </cell>
          <cell r="L45" t="str">
            <v/>
          </cell>
          <cell r="M45" t="str">
            <v/>
          </cell>
          <cell r="N45" t="str">
            <v>Spool</v>
          </cell>
          <cell r="O45">
            <v>0</v>
          </cell>
          <cell r="P45">
            <v>0</v>
          </cell>
          <cell r="Q45" t="str">
            <v>CS</v>
          </cell>
          <cell r="R45">
            <v>1</v>
          </cell>
          <cell r="S45">
            <v>1</v>
          </cell>
          <cell r="T45">
            <v>22.22794</v>
          </cell>
          <cell r="U45">
            <v>22.22794</v>
          </cell>
        </row>
        <row r="46">
          <cell r="B46" t="str">
            <v>V17551-PIND-0047-01</v>
          </cell>
          <cell r="C46" t="str">
            <v>PROD/25-26/06519</v>
          </cell>
          <cell r="D46" t="str">
            <v/>
          </cell>
          <cell r="E46" t="str">
            <v>TJ/25-26/184-CS</v>
          </cell>
          <cell r="F46" t="str">
            <v>P5</v>
          </cell>
          <cell r="G46">
            <v>0</v>
          </cell>
          <cell r="H46">
            <v>1</v>
          </cell>
          <cell r="I46" t="str">
            <v>Yes</v>
          </cell>
          <cell r="J46" t="str">
            <v/>
          </cell>
          <cell r="K46" t="str">
            <v>No</v>
          </cell>
          <cell r="L46" t="str">
            <v/>
          </cell>
          <cell r="M46" t="str">
            <v/>
          </cell>
          <cell r="N46" t="str">
            <v>Spool</v>
          </cell>
          <cell r="O46">
            <v>0</v>
          </cell>
          <cell r="P46">
            <v>0</v>
          </cell>
          <cell r="Q46" t="str">
            <v>CS</v>
          </cell>
          <cell r="R46">
            <v>1</v>
          </cell>
          <cell r="S46">
            <v>1</v>
          </cell>
          <cell r="T46">
            <v>170.67447999999999</v>
          </cell>
          <cell r="U46">
            <v>170.67447999999999</v>
          </cell>
        </row>
        <row r="47">
          <cell r="B47" t="str">
            <v>V17551-PIND-0048-01</v>
          </cell>
          <cell r="C47" t="str">
            <v>PROD/25-26/08061</v>
          </cell>
          <cell r="D47" t="str">
            <v/>
          </cell>
          <cell r="E47" t="str">
            <v>TJ/25-26/184-CS</v>
          </cell>
          <cell r="F47" t="str">
            <v>P5</v>
          </cell>
          <cell r="G47">
            <v>0</v>
          </cell>
          <cell r="H47">
            <v>1</v>
          </cell>
          <cell r="I47" t="str">
            <v>Yes</v>
          </cell>
          <cell r="J47" t="str">
            <v/>
          </cell>
          <cell r="K47" t="str">
            <v>Yes</v>
          </cell>
          <cell r="L47" t="str">
            <v/>
          </cell>
          <cell r="M47" t="str">
            <v/>
          </cell>
          <cell r="N47" t="str">
            <v>Spool</v>
          </cell>
          <cell r="O47">
            <v>0</v>
          </cell>
          <cell r="P47">
            <v>0</v>
          </cell>
          <cell r="Q47" t="str">
            <v>CS</v>
          </cell>
          <cell r="R47">
            <v>1</v>
          </cell>
          <cell r="S47">
            <v>1</v>
          </cell>
          <cell r="T47">
            <v>22.22794</v>
          </cell>
          <cell r="U47">
            <v>22.22794</v>
          </cell>
        </row>
        <row r="48">
          <cell r="B48" t="str">
            <v>V17551-PIND-0049-01</v>
          </cell>
          <cell r="C48" t="str">
            <v>PROD/25-26/06520</v>
          </cell>
          <cell r="D48" t="str">
            <v/>
          </cell>
          <cell r="E48" t="str">
            <v>TJ/25-26/184-CS</v>
          </cell>
          <cell r="F48" t="str">
            <v>P5</v>
          </cell>
          <cell r="G48">
            <v>0</v>
          </cell>
          <cell r="H48">
            <v>1</v>
          </cell>
          <cell r="I48" t="str">
            <v>Yes</v>
          </cell>
          <cell r="J48" t="str">
            <v/>
          </cell>
          <cell r="K48" t="str">
            <v>No</v>
          </cell>
          <cell r="L48" t="str">
            <v/>
          </cell>
          <cell r="M48" t="str">
            <v/>
          </cell>
          <cell r="N48" t="str">
            <v>Spool</v>
          </cell>
          <cell r="O48">
            <v>0</v>
          </cell>
          <cell r="P48">
            <v>0</v>
          </cell>
          <cell r="Q48" t="str">
            <v>CS</v>
          </cell>
          <cell r="R48">
            <v>1</v>
          </cell>
          <cell r="S48">
            <v>1</v>
          </cell>
          <cell r="T48">
            <v>170.67447999999999</v>
          </cell>
          <cell r="U48">
            <v>170.67447999999999</v>
          </cell>
        </row>
        <row r="49">
          <cell r="B49" t="str">
            <v>V17551-PIND-0050-01</v>
          </cell>
          <cell r="C49" t="str">
            <v>PROD/25-26/08062</v>
          </cell>
          <cell r="D49" t="str">
            <v/>
          </cell>
          <cell r="E49" t="str">
            <v>TJ/25-26/184-CS</v>
          </cell>
          <cell r="F49" t="str">
            <v>P5</v>
          </cell>
          <cell r="G49">
            <v>0</v>
          </cell>
          <cell r="H49">
            <v>1</v>
          </cell>
          <cell r="I49" t="str">
            <v>Yes</v>
          </cell>
          <cell r="J49" t="str">
            <v/>
          </cell>
          <cell r="K49" t="str">
            <v>Yes</v>
          </cell>
          <cell r="L49" t="str">
            <v/>
          </cell>
          <cell r="M49" t="str">
            <v/>
          </cell>
          <cell r="N49" t="str">
            <v>Spool</v>
          </cell>
          <cell r="O49">
            <v>0</v>
          </cell>
          <cell r="P49">
            <v>0</v>
          </cell>
          <cell r="Q49" t="str">
            <v>CS</v>
          </cell>
          <cell r="R49">
            <v>1</v>
          </cell>
          <cell r="S49">
            <v>1</v>
          </cell>
          <cell r="T49">
            <v>22.2562</v>
          </cell>
          <cell r="U49">
            <v>22.2562</v>
          </cell>
        </row>
        <row r="50">
          <cell r="B50" t="str">
            <v>V17551-PIND-0051-01</v>
          </cell>
          <cell r="C50" t="str">
            <v>PROD/25-26/06521</v>
          </cell>
          <cell r="D50" t="str">
            <v/>
          </cell>
          <cell r="E50" t="str">
            <v>TJ/25-26/184-CS</v>
          </cell>
          <cell r="F50" t="str">
            <v>P5</v>
          </cell>
          <cell r="G50">
            <v>0</v>
          </cell>
          <cell r="H50">
            <v>1</v>
          </cell>
          <cell r="I50" t="str">
            <v>Yes</v>
          </cell>
          <cell r="J50" t="str">
            <v/>
          </cell>
          <cell r="K50" t="str">
            <v>No</v>
          </cell>
          <cell r="L50" t="str">
            <v/>
          </cell>
          <cell r="M50" t="str">
            <v/>
          </cell>
          <cell r="N50" t="str">
            <v>Spool</v>
          </cell>
          <cell r="O50">
            <v>0</v>
          </cell>
          <cell r="P50">
            <v>0</v>
          </cell>
          <cell r="Q50" t="str">
            <v>CS</v>
          </cell>
          <cell r="R50">
            <v>1</v>
          </cell>
          <cell r="S50">
            <v>1</v>
          </cell>
          <cell r="T50">
            <v>170.67447999999999</v>
          </cell>
          <cell r="U50">
            <v>170.67447999999999</v>
          </cell>
        </row>
        <row r="51">
          <cell r="B51" t="str">
            <v>V17551-PIND-0052-01</v>
          </cell>
          <cell r="C51" t="str">
            <v>PROD/25-26/08063</v>
          </cell>
          <cell r="D51" t="str">
            <v/>
          </cell>
          <cell r="E51" t="str">
            <v>TJ/25-26/184-CS</v>
          </cell>
          <cell r="F51" t="str">
            <v>P5</v>
          </cell>
          <cell r="G51">
            <v>0</v>
          </cell>
          <cell r="H51">
            <v>1</v>
          </cell>
          <cell r="I51" t="str">
            <v>Yes</v>
          </cell>
          <cell r="J51" t="str">
            <v/>
          </cell>
          <cell r="K51" t="str">
            <v>Yes</v>
          </cell>
          <cell r="L51" t="str">
            <v/>
          </cell>
          <cell r="M51" t="str">
            <v/>
          </cell>
          <cell r="N51" t="str">
            <v>Spool</v>
          </cell>
          <cell r="O51">
            <v>0</v>
          </cell>
          <cell r="P51">
            <v>0</v>
          </cell>
          <cell r="Q51" t="str">
            <v>CS</v>
          </cell>
          <cell r="R51">
            <v>1</v>
          </cell>
          <cell r="S51">
            <v>1</v>
          </cell>
          <cell r="T51">
            <v>22.22794</v>
          </cell>
          <cell r="U51">
            <v>22.22794</v>
          </cell>
        </row>
        <row r="52">
          <cell r="B52" t="str">
            <v>V17551-PIND-0053-01</v>
          </cell>
          <cell r="C52" t="str">
            <v>PROD/25-26/06522</v>
          </cell>
          <cell r="D52" t="str">
            <v/>
          </cell>
          <cell r="E52" t="str">
            <v>TJ/25-26/184-CS</v>
          </cell>
          <cell r="F52" t="str">
            <v>P5</v>
          </cell>
          <cell r="G52">
            <v>0</v>
          </cell>
          <cell r="H52">
            <v>1</v>
          </cell>
          <cell r="I52" t="str">
            <v>Yes</v>
          </cell>
          <cell r="J52" t="str">
            <v/>
          </cell>
          <cell r="K52" t="str">
            <v>No</v>
          </cell>
          <cell r="L52" t="str">
            <v/>
          </cell>
          <cell r="M52" t="str">
            <v/>
          </cell>
          <cell r="N52" t="str">
            <v>Spool</v>
          </cell>
          <cell r="O52">
            <v>0</v>
          </cell>
          <cell r="P52">
            <v>0</v>
          </cell>
          <cell r="Q52" t="str">
            <v>CS</v>
          </cell>
          <cell r="R52">
            <v>1</v>
          </cell>
          <cell r="S52">
            <v>1</v>
          </cell>
          <cell r="T52">
            <v>170.67447999999999</v>
          </cell>
          <cell r="U52">
            <v>170.67447999999999</v>
          </cell>
        </row>
        <row r="53">
          <cell r="B53" t="str">
            <v>V17551-PIND-0054-01</v>
          </cell>
          <cell r="C53" t="str">
            <v>PROD/25-26/08064</v>
          </cell>
          <cell r="D53" t="str">
            <v/>
          </cell>
          <cell r="E53" t="str">
            <v>TJ/25-26/184-CS</v>
          </cell>
          <cell r="F53" t="str">
            <v>P5</v>
          </cell>
          <cell r="G53">
            <v>0</v>
          </cell>
          <cell r="H53">
            <v>1</v>
          </cell>
          <cell r="I53" t="str">
            <v>Yes</v>
          </cell>
          <cell r="J53" t="str">
            <v/>
          </cell>
          <cell r="K53" t="str">
            <v>Yes</v>
          </cell>
          <cell r="L53" t="str">
            <v/>
          </cell>
          <cell r="M53" t="str">
            <v/>
          </cell>
          <cell r="N53" t="str">
            <v>Spool</v>
          </cell>
          <cell r="O53">
            <v>0</v>
          </cell>
          <cell r="P53">
            <v>0</v>
          </cell>
          <cell r="Q53" t="str">
            <v>CS</v>
          </cell>
          <cell r="R53">
            <v>1</v>
          </cell>
          <cell r="S53">
            <v>1</v>
          </cell>
          <cell r="T53">
            <v>22.22794</v>
          </cell>
          <cell r="U53">
            <v>22.22794</v>
          </cell>
        </row>
        <row r="54">
          <cell r="B54" t="str">
            <v>V17551-PIND-0055-01</v>
          </cell>
          <cell r="C54" t="str">
            <v>PROD/25-26/06523</v>
          </cell>
          <cell r="D54" t="str">
            <v/>
          </cell>
          <cell r="E54" t="str">
            <v>TJ/25-26/184-CS</v>
          </cell>
          <cell r="F54" t="str">
            <v>P5</v>
          </cell>
          <cell r="G54">
            <v>0</v>
          </cell>
          <cell r="H54">
            <v>1</v>
          </cell>
          <cell r="I54" t="str">
            <v>Yes</v>
          </cell>
          <cell r="J54" t="str">
            <v/>
          </cell>
          <cell r="K54" t="str">
            <v>No</v>
          </cell>
          <cell r="L54" t="str">
            <v/>
          </cell>
          <cell r="M54" t="str">
            <v/>
          </cell>
          <cell r="N54" t="str">
            <v>Spool</v>
          </cell>
          <cell r="O54">
            <v>0</v>
          </cell>
          <cell r="P54">
            <v>0</v>
          </cell>
          <cell r="Q54" t="str">
            <v>CS</v>
          </cell>
          <cell r="R54">
            <v>1</v>
          </cell>
          <cell r="S54">
            <v>1</v>
          </cell>
          <cell r="T54">
            <v>170.67447999999999</v>
          </cell>
          <cell r="U54">
            <v>170.67447999999999</v>
          </cell>
        </row>
        <row r="55">
          <cell r="B55" t="str">
            <v>V17551-PIND-0056-01</v>
          </cell>
          <cell r="C55" t="str">
            <v>PROD/25-26/08065</v>
          </cell>
          <cell r="D55" t="str">
            <v/>
          </cell>
          <cell r="E55" t="str">
            <v>TJ/25-26/184-CS</v>
          </cell>
          <cell r="F55" t="str">
            <v>P5</v>
          </cell>
          <cell r="G55">
            <v>0</v>
          </cell>
          <cell r="H55">
            <v>1</v>
          </cell>
          <cell r="I55" t="str">
            <v>Yes</v>
          </cell>
          <cell r="J55" t="str">
            <v/>
          </cell>
          <cell r="K55" t="str">
            <v>Yes</v>
          </cell>
          <cell r="L55" t="str">
            <v/>
          </cell>
          <cell r="M55" t="str">
            <v/>
          </cell>
          <cell r="N55" t="str">
            <v>Spool</v>
          </cell>
          <cell r="O55">
            <v>0</v>
          </cell>
          <cell r="P55">
            <v>0</v>
          </cell>
          <cell r="Q55" t="str">
            <v>CS</v>
          </cell>
          <cell r="R55">
            <v>1</v>
          </cell>
          <cell r="S55">
            <v>1</v>
          </cell>
          <cell r="T55">
            <v>22.2562</v>
          </cell>
          <cell r="U55">
            <v>22.2562</v>
          </cell>
        </row>
        <row r="56">
          <cell r="B56" t="str">
            <v>V17551-PIND-0057-01</v>
          </cell>
          <cell r="C56" t="str">
            <v>PROD/25-26/06609</v>
          </cell>
          <cell r="D56" t="str">
            <v/>
          </cell>
          <cell r="E56" t="str">
            <v>TJ/25-26/184-CS</v>
          </cell>
          <cell r="F56" t="str">
            <v>P5</v>
          </cell>
          <cell r="G56">
            <v>0</v>
          </cell>
          <cell r="H56">
            <v>1</v>
          </cell>
          <cell r="I56" t="str">
            <v>Yes</v>
          </cell>
          <cell r="J56" t="str">
            <v/>
          </cell>
          <cell r="K56" t="str">
            <v>No</v>
          </cell>
          <cell r="L56" t="str">
            <v/>
          </cell>
          <cell r="M56" t="str">
            <v/>
          </cell>
          <cell r="N56" t="str">
            <v>Spool</v>
          </cell>
          <cell r="O56">
            <v>0</v>
          </cell>
          <cell r="P56">
            <v>0</v>
          </cell>
          <cell r="Q56" t="str">
            <v>CS</v>
          </cell>
          <cell r="R56">
            <v>1</v>
          </cell>
          <cell r="S56">
            <v>1</v>
          </cell>
          <cell r="T56">
            <v>170.67447999999999</v>
          </cell>
          <cell r="U56">
            <v>170.67447999999999</v>
          </cell>
        </row>
        <row r="57">
          <cell r="B57" t="str">
            <v>V17551-PIND-0058-01</v>
          </cell>
          <cell r="C57" t="str">
            <v>PROD/25-26/08066</v>
          </cell>
          <cell r="D57" t="str">
            <v/>
          </cell>
          <cell r="E57" t="str">
            <v>TJ/25-26/184-CS</v>
          </cell>
          <cell r="F57" t="str">
            <v>P5</v>
          </cell>
          <cell r="G57">
            <v>0</v>
          </cell>
          <cell r="H57">
            <v>1</v>
          </cell>
          <cell r="I57" t="str">
            <v>Yes</v>
          </cell>
          <cell r="J57" t="str">
            <v/>
          </cell>
          <cell r="K57" t="str">
            <v>Yes</v>
          </cell>
          <cell r="L57" t="str">
            <v/>
          </cell>
          <cell r="M57" t="str">
            <v/>
          </cell>
          <cell r="N57" t="str">
            <v>Spool</v>
          </cell>
          <cell r="O57">
            <v>0</v>
          </cell>
          <cell r="P57">
            <v>0</v>
          </cell>
          <cell r="Q57" t="str">
            <v>CS</v>
          </cell>
          <cell r="R57">
            <v>1</v>
          </cell>
          <cell r="S57">
            <v>1</v>
          </cell>
          <cell r="T57">
            <v>22.2562</v>
          </cell>
          <cell r="U57">
            <v>22.2562</v>
          </cell>
        </row>
        <row r="58">
          <cell r="B58" t="str">
            <v>V17551-PIND-0059-01</v>
          </cell>
          <cell r="C58" t="str">
            <v>PROD/25-26/06610</v>
          </cell>
          <cell r="D58" t="str">
            <v/>
          </cell>
          <cell r="E58" t="str">
            <v>TJ/25-26/184-CS</v>
          </cell>
          <cell r="F58" t="str">
            <v>P5</v>
          </cell>
          <cell r="G58">
            <v>0</v>
          </cell>
          <cell r="H58">
            <v>1</v>
          </cell>
          <cell r="I58" t="str">
            <v>Yes</v>
          </cell>
          <cell r="J58" t="str">
            <v/>
          </cell>
          <cell r="K58" t="str">
            <v>No</v>
          </cell>
          <cell r="L58" t="str">
            <v/>
          </cell>
          <cell r="M58" t="str">
            <v/>
          </cell>
          <cell r="N58" t="str">
            <v>Spool</v>
          </cell>
          <cell r="O58">
            <v>0</v>
          </cell>
          <cell r="P58">
            <v>0</v>
          </cell>
          <cell r="Q58" t="str">
            <v>CS</v>
          </cell>
          <cell r="R58">
            <v>1</v>
          </cell>
          <cell r="S58">
            <v>1</v>
          </cell>
          <cell r="T58">
            <v>170.67447999999999</v>
          </cell>
          <cell r="U58">
            <v>170.67447999999999</v>
          </cell>
        </row>
        <row r="59">
          <cell r="B59" t="str">
            <v>V17551-PIND-0060-01</v>
          </cell>
          <cell r="C59" t="str">
            <v>PROD/25-26/08067</v>
          </cell>
          <cell r="D59" t="str">
            <v/>
          </cell>
          <cell r="E59" t="str">
            <v>TJ/25-26/184-CS</v>
          </cell>
          <cell r="F59" t="str">
            <v>P5</v>
          </cell>
          <cell r="G59">
            <v>0</v>
          </cell>
          <cell r="H59">
            <v>1</v>
          </cell>
          <cell r="I59" t="str">
            <v>Yes</v>
          </cell>
          <cell r="J59" t="str">
            <v/>
          </cell>
          <cell r="K59" t="str">
            <v>Yes</v>
          </cell>
          <cell r="L59" t="str">
            <v/>
          </cell>
          <cell r="M59" t="str">
            <v/>
          </cell>
          <cell r="N59" t="str">
            <v>Spool</v>
          </cell>
          <cell r="O59">
            <v>0</v>
          </cell>
          <cell r="P59">
            <v>0</v>
          </cell>
          <cell r="Q59" t="str">
            <v>CS</v>
          </cell>
          <cell r="R59">
            <v>1</v>
          </cell>
          <cell r="S59">
            <v>1</v>
          </cell>
          <cell r="T59">
            <v>22.2562</v>
          </cell>
          <cell r="U59">
            <v>22.2562</v>
          </cell>
        </row>
        <row r="60">
          <cell r="B60" t="str">
            <v>V17551-PIND-0061-01</v>
          </cell>
          <cell r="C60" t="str">
            <v>PROD/25-26/06612</v>
          </cell>
          <cell r="D60" t="str">
            <v/>
          </cell>
          <cell r="E60" t="str">
            <v>TJ/25-26/184-CS</v>
          </cell>
          <cell r="F60" t="str">
            <v>P5</v>
          </cell>
          <cell r="G60">
            <v>0</v>
          </cell>
          <cell r="H60">
            <v>1</v>
          </cell>
          <cell r="I60" t="str">
            <v>Yes</v>
          </cell>
          <cell r="J60" t="str">
            <v/>
          </cell>
          <cell r="K60" t="str">
            <v>No</v>
          </cell>
          <cell r="L60" t="str">
            <v/>
          </cell>
          <cell r="M60" t="str">
            <v/>
          </cell>
          <cell r="N60" t="str">
            <v>Spool</v>
          </cell>
          <cell r="O60">
            <v>0</v>
          </cell>
          <cell r="P60">
            <v>0</v>
          </cell>
          <cell r="Q60" t="str">
            <v>CS</v>
          </cell>
          <cell r="R60">
            <v>1</v>
          </cell>
          <cell r="S60">
            <v>1</v>
          </cell>
          <cell r="T60">
            <v>170.67447999999999</v>
          </cell>
          <cell r="U60">
            <v>170.67447999999999</v>
          </cell>
        </row>
        <row r="61">
          <cell r="B61" t="str">
            <v>V17551-PIND-0062-01</v>
          </cell>
          <cell r="C61" t="str">
            <v>PROD/25-26/08416</v>
          </cell>
          <cell r="D61" t="str">
            <v/>
          </cell>
          <cell r="E61" t="str">
            <v>TJ/25-26/184-CS</v>
          </cell>
          <cell r="F61" t="str">
            <v>P5</v>
          </cell>
          <cell r="G61">
            <v>0</v>
          </cell>
          <cell r="H61">
            <v>1</v>
          </cell>
          <cell r="I61" t="str">
            <v>Yes</v>
          </cell>
          <cell r="J61" t="str">
            <v/>
          </cell>
          <cell r="K61" t="str">
            <v>Yes</v>
          </cell>
          <cell r="L61" t="str">
            <v/>
          </cell>
          <cell r="M61" t="str">
            <v/>
          </cell>
          <cell r="N61" t="str">
            <v>Spool</v>
          </cell>
          <cell r="O61">
            <v>0</v>
          </cell>
          <cell r="P61">
            <v>0</v>
          </cell>
          <cell r="Q61" t="str">
            <v>CS</v>
          </cell>
          <cell r="R61">
            <v>1</v>
          </cell>
          <cell r="S61">
            <v>1</v>
          </cell>
          <cell r="T61">
            <v>22.2562</v>
          </cell>
          <cell r="U61">
            <v>22.2562</v>
          </cell>
        </row>
        <row r="62">
          <cell r="B62" t="str">
            <v>V17551-PIND-0063-01</v>
          </cell>
          <cell r="C62" t="str">
            <v>PROD/25-26/06613</v>
          </cell>
          <cell r="D62" t="str">
            <v/>
          </cell>
          <cell r="E62" t="str">
            <v>TJ/25-26/184-CS</v>
          </cell>
          <cell r="F62" t="str">
            <v>P5</v>
          </cell>
          <cell r="G62">
            <v>0</v>
          </cell>
          <cell r="H62">
            <v>1</v>
          </cell>
          <cell r="I62" t="str">
            <v>Yes</v>
          </cell>
          <cell r="J62" t="str">
            <v/>
          </cell>
          <cell r="K62" t="str">
            <v>Yes</v>
          </cell>
          <cell r="L62" t="str">
            <v/>
          </cell>
          <cell r="M62" t="str">
            <v/>
          </cell>
          <cell r="N62" t="str">
            <v>Spool</v>
          </cell>
          <cell r="O62">
            <v>0</v>
          </cell>
          <cell r="P62">
            <v>0</v>
          </cell>
          <cell r="Q62" t="str">
            <v>CS</v>
          </cell>
          <cell r="R62">
            <v>1</v>
          </cell>
          <cell r="S62">
            <v>1</v>
          </cell>
          <cell r="T62">
            <v>170.60105999999999</v>
          </cell>
          <cell r="U62">
            <v>170.60105999999999</v>
          </cell>
        </row>
        <row r="63">
          <cell r="B63" t="str">
            <v>V17551-PIND-0064-01</v>
          </cell>
          <cell r="C63" t="str">
            <v>PROD/25-26/08068</v>
          </cell>
          <cell r="D63" t="str">
            <v/>
          </cell>
          <cell r="E63" t="str">
            <v>TJ/25-26/184-CS</v>
          </cell>
          <cell r="F63" t="str">
            <v>P5</v>
          </cell>
          <cell r="G63">
            <v>0</v>
          </cell>
          <cell r="H63">
            <v>1</v>
          </cell>
          <cell r="I63" t="str">
            <v>Yes</v>
          </cell>
          <cell r="J63" t="str">
            <v/>
          </cell>
          <cell r="K63" t="str">
            <v>Yes</v>
          </cell>
          <cell r="L63" t="str">
            <v/>
          </cell>
          <cell r="M63" t="str">
            <v/>
          </cell>
          <cell r="N63" t="str">
            <v>Spool</v>
          </cell>
          <cell r="O63">
            <v>0</v>
          </cell>
          <cell r="P63">
            <v>0</v>
          </cell>
          <cell r="Q63" t="str">
            <v>CS</v>
          </cell>
          <cell r="R63">
            <v>1</v>
          </cell>
          <cell r="S63">
            <v>1</v>
          </cell>
          <cell r="T63">
            <v>22.2562</v>
          </cell>
          <cell r="U63">
            <v>22.2562</v>
          </cell>
        </row>
        <row r="64">
          <cell r="B64" t="str">
            <v>V17551-PIND-0065-01</v>
          </cell>
          <cell r="C64" t="str">
            <v>PROD/25-26/06615</v>
          </cell>
          <cell r="D64" t="str">
            <v/>
          </cell>
          <cell r="E64" t="str">
            <v>TJ/25-26/184-CS</v>
          </cell>
          <cell r="F64" t="str">
            <v>P5</v>
          </cell>
          <cell r="G64">
            <v>0</v>
          </cell>
          <cell r="H64">
            <v>1</v>
          </cell>
          <cell r="I64" t="str">
            <v>Yes</v>
          </cell>
          <cell r="J64" t="str">
            <v/>
          </cell>
          <cell r="K64" t="str">
            <v>Yes</v>
          </cell>
          <cell r="L64" t="str">
            <v/>
          </cell>
          <cell r="M64" t="str">
            <v/>
          </cell>
          <cell r="N64" t="str">
            <v>Spool</v>
          </cell>
          <cell r="O64">
            <v>0</v>
          </cell>
          <cell r="P64">
            <v>0</v>
          </cell>
          <cell r="Q64" t="str">
            <v>CS</v>
          </cell>
          <cell r="R64">
            <v>1</v>
          </cell>
          <cell r="S64">
            <v>1</v>
          </cell>
          <cell r="T64">
            <v>170.60105999999999</v>
          </cell>
          <cell r="U64">
            <v>170.60105999999999</v>
          </cell>
        </row>
        <row r="65">
          <cell r="B65" t="str">
            <v>V17551-PIND-0066-01</v>
          </cell>
          <cell r="C65" t="str">
            <v>PROD/25-26/08069</v>
          </cell>
          <cell r="D65" t="str">
            <v/>
          </cell>
          <cell r="E65" t="str">
            <v>TJ/25-26/184-CS</v>
          </cell>
          <cell r="F65" t="str">
            <v>P5</v>
          </cell>
          <cell r="G65">
            <v>0</v>
          </cell>
          <cell r="H65">
            <v>1</v>
          </cell>
          <cell r="I65" t="str">
            <v>Yes</v>
          </cell>
          <cell r="J65" t="str">
            <v/>
          </cell>
          <cell r="K65" t="str">
            <v>Yes</v>
          </cell>
          <cell r="L65" t="str">
            <v/>
          </cell>
          <cell r="M65" t="str">
            <v/>
          </cell>
          <cell r="N65" t="str">
            <v>Spool</v>
          </cell>
          <cell r="O65">
            <v>0</v>
          </cell>
          <cell r="P65">
            <v>0</v>
          </cell>
          <cell r="Q65" t="str">
            <v>CS</v>
          </cell>
          <cell r="R65">
            <v>1</v>
          </cell>
          <cell r="S65">
            <v>1</v>
          </cell>
          <cell r="T65">
            <v>22.2562</v>
          </cell>
          <cell r="U65">
            <v>22.2562</v>
          </cell>
        </row>
        <row r="66">
          <cell r="B66" t="str">
            <v>V17551-PIND-0067-01</v>
          </cell>
          <cell r="C66" t="str">
            <v>PROD/25-26/06617</v>
          </cell>
          <cell r="D66" t="str">
            <v/>
          </cell>
          <cell r="E66" t="str">
            <v>TJ/25-26/184-CS</v>
          </cell>
          <cell r="F66" t="str">
            <v>P5</v>
          </cell>
          <cell r="G66">
            <v>0</v>
          </cell>
          <cell r="H66">
            <v>1</v>
          </cell>
          <cell r="I66" t="str">
            <v>Yes</v>
          </cell>
          <cell r="J66" t="str">
            <v/>
          </cell>
          <cell r="K66" t="str">
            <v>Yes</v>
          </cell>
          <cell r="L66" t="str">
            <v/>
          </cell>
          <cell r="M66" t="str">
            <v/>
          </cell>
          <cell r="N66" t="str">
            <v>Spool</v>
          </cell>
          <cell r="O66">
            <v>0</v>
          </cell>
          <cell r="P66">
            <v>0</v>
          </cell>
          <cell r="Q66" t="str">
            <v>CS</v>
          </cell>
          <cell r="R66">
            <v>1</v>
          </cell>
          <cell r="S66">
            <v>1</v>
          </cell>
          <cell r="T66">
            <v>170.60105999999999</v>
          </cell>
          <cell r="U66">
            <v>170.60105999999999</v>
          </cell>
        </row>
        <row r="67">
          <cell r="B67" t="str">
            <v>V17551-PIND-0068-01</v>
          </cell>
          <cell r="C67" t="str">
            <v>PROD/25-26/08070</v>
          </cell>
          <cell r="D67" t="str">
            <v/>
          </cell>
          <cell r="E67" t="str">
            <v>TJ/25-26/184-CS</v>
          </cell>
          <cell r="F67" t="str">
            <v>P5</v>
          </cell>
          <cell r="G67">
            <v>0</v>
          </cell>
          <cell r="H67">
            <v>1</v>
          </cell>
          <cell r="I67" t="str">
            <v>Yes</v>
          </cell>
          <cell r="J67" t="str">
            <v/>
          </cell>
          <cell r="K67" t="str">
            <v>Yes</v>
          </cell>
          <cell r="L67" t="str">
            <v/>
          </cell>
          <cell r="M67" t="str">
            <v/>
          </cell>
          <cell r="N67" t="str">
            <v>Spool</v>
          </cell>
          <cell r="O67">
            <v>0</v>
          </cell>
          <cell r="P67">
            <v>0</v>
          </cell>
          <cell r="Q67" t="str">
            <v>CS</v>
          </cell>
          <cell r="R67">
            <v>1</v>
          </cell>
          <cell r="S67">
            <v>1</v>
          </cell>
          <cell r="T67">
            <v>23.358339999999998</v>
          </cell>
          <cell r="U67">
            <v>23.358339999999998</v>
          </cell>
        </row>
        <row r="68">
          <cell r="B68" t="str">
            <v>V17551-PIND-0069-01</v>
          </cell>
          <cell r="C68" t="str">
            <v>PROD/25-26/06619</v>
          </cell>
          <cell r="D68" t="str">
            <v/>
          </cell>
          <cell r="E68" t="str">
            <v>TJ/25-26/184-CS</v>
          </cell>
          <cell r="F68" t="str">
            <v>P5</v>
          </cell>
          <cell r="G68">
            <v>0</v>
          </cell>
          <cell r="H68">
            <v>1</v>
          </cell>
          <cell r="I68" t="str">
            <v>Yes</v>
          </cell>
          <cell r="J68" t="str">
            <v/>
          </cell>
          <cell r="K68" t="str">
            <v>Yes</v>
          </cell>
          <cell r="L68" t="str">
            <v/>
          </cell>
          <cell r="M68" t="str">
            <v/>
          </cell>
          <cell r="N68" t="str">
            <v>Spool</v>
          </cell>
          <cell r="O68">
            <v>0</v>
          </cell>
          <cell r="P68">
            <v>0</v>
          </cell>
          <cell r="Q68" t="str">
            <v>CS</v>
          </cell>
          <cell r="R68">
            <v>1</v>
          </cell>
          <cell r="S68">
            <v>1</v>
          </cell>
          <cell r="T68">
            <v>170.60105999999999</v>
          </cell>
          <cell r="U68">
            <v>170.60105999999999</v>
          </cell>
        </row>
        <row r="69">
          <cell r="B69" t="str">
            <v>V17551-PIND-0070-01</v>
          </cell>
          <cell r="C69" t="str">
            <v>PROD/25-26/08071</v>
          </cell>
          <cell r="D69" t="str">
            <v/>
          </cell>
          <cell r="E69" t="str">
            <v>TJ/25-26/184-CS</v>
          </cell>
          <cell r="F69" t="str">
            <v>P5</v>
          </cell>
          <cell r="G69">
            <v>0</v>
          </cell>
          <cell r="H69">
            <v>1</v>
          </cell>
          <cell r="I69" t="str">
            <v>Yes</v>
          </cell>
          <cell r="J69" t="str">
            <v/>
          </cell>
          <cell r="K69" t="str">
            <v>Yes</v>
          </cell>
          <cell r="L69" t="str">
            <v/>
          </cell>
          <cell r="M69" t="str">
            <v/>
          </cell>
          <cell r="N69" t="str">
            <v>Spool</v>
          </cell>
          <cell r="O69">
            <v>0</v>
          </cell>
          <cell r="P69">
            <v>0</v>
          </cell>
          <cell r="Q69" t="str">
            <v>CS</v>
          </cell>
          <cell r="R69">
            <v>1</v>
          </cell>
          <cell r="S69">
            <v>1</v>
          </cell>
          <cell r="T69">
            <v>23.358339999999998</v>
          </cell>
          <cell r="U69">
            <v>23.358339999999998</v>
          </cell>
        </row>
        <row r="70">
          <cell r="B70" t="str">
            <v>V17551-PIND-0071-01</v>
          </cell>
          <cell r="C70" t="str">
            <v>PROD/25-26/06621</v>
          </cell>
          <cell r="D70" t="str">
            <v/>
          </cell>
          <cell r="E70" t="str">
            <v>TJ/25-26/184-CS</v>
          </cell>
          <cell r="F70" t="str">
            <v>P5</v>
          </cell>
          <cell r="G70">
            <v>0</v>
          </cell>
          <cell r="H70">
            <v>1</v>
          </cell>
          <cell r="I70" t="str">
            <v>Yes</v>
          </cell>
          <cell r="J70" t="str">
            <v/>
          </cell>
          <cell r="K70" t="str">
            <v>No</v>
          </cell>
          <cell r="L70" t="str">
            <v/>
          </cell>
          <cell r="M70" t="str">
            <v/>
          </cell>
          <cell r="N70" t="str">
            <v>Spool</v>
          </cell>
          <cell r="O70">
            <v>0</v>
          </cell>
          <cell r="P70">
            <v>0</v>
          </cell>
          <cell r="Q70" t="str">
            <v>CS</v>
          </cell>
          <cell r="R70">
            <v>1</v>
          </cell>
          <cell r="S70">
            <v>1</v>
          </cell>
          <cell r="T70">
            <v>170.60105999999999</v>
          </cell>
          <cell r="U70">
            <v>170.60105999999999</v>
          </cell>
        </row>
        <row r="71">
          <cell r="B71" t="str">
            <v>V17551-PIND-0072-01</v>
          </cell>
          <cell r="C71" t="str">
            <v>PROD/25-26/08072</v>
          </cell>
          <cell r="D71" t="str">
            <v/>
          </cell>
          <cell r="E71" t="str">
            <v>TJ/25-26/184-CS</v>
          </cell>
          <cell r="F71" t="str">
            <v>P5</v>
          </cell>
          <cell r="G71">
            <v>0</v>
          </cell>
          <cell r="H71">
            <v>1</v>
          </cell>
          <cell r="I71" t="str">
            <v>Yes</v>
          </cell>
          <cell r="J71" t="str">
            <v/>
          </cell>
          <cell r="K71" t="str">
            <v>Yes</v>
          </cell>
          <cell r="L71" t="str">
            <v/>
          </cell>
          <cell r="M71" t="str">
            <v/>
          </cell>
          <cell r="N71" t="str">
            <v>Spool</v>
          </cell>
          <cell r="O71">
            <v>0</v>
          </cell>
          <cell r="P71">
            <v>0</v>
          </cell>
          <cell r="Q71" t="str">
            <v>CS</v>
          </cell>
          <cell r="R71">
            <v>1</v>
          </cell>
          <cell r="S71">
            <v>1</v>
          </cell>
          <cell r="T71">
            <v>23.358339999999998</v>
          </cell>
          <cell r="U71">
            <v>23.358339999999998</v>
          </cell>
        </row>
        <row r="72">
          <cell r="B72" t="str">
            <v>V17551-PIND-0073-01</v>
          </cell>
          <cell r="C72" t="str">
            <v>PROD/25-26/06623</v>
          </cell>
          <cell r="D72" t="str">
            <v/>
          </cell>
          <cell r="E72" t="str">
            <v>TJ/25-26/184-CS</v>
          </cell>
          <cell r="F72" t="str">
            <v>P5</v>
          </cell>
          <cell r="G72">
            <v>0</v>
          </cell>
          <cell r="H72">
            <v>1</v>
          </cell>
          <cell r="I72" t="str">
            <v>Yes</v>
          </cell>
          <cell r="J72" t="str">
            <v/>
          </cell>
          <cell r="K72" t="str">
            <v>No</v>
          </cell>
          <cell r="L72" t="str">
            <v/>
          </cell>
          <cell r="M72" t="str">
            <v/>
          </cell>
          <cell r="N72" t="str">
            <v>Spool</v>
          </cell>
          <cell r="O72">
            <v>0</v>
          </cell>
          <cell r="P72">
            <v>0</v>
          </cell>
          <cell r="Q72" t="str">
            <v>CS</v>
          </cell>
          <cell r="R72">
            <v>1</v>
          </cell>
          <cell r="S72">
            <v>1</v>
          </cell>
          <cell r="T72">
            <v>170.60105999999999</v>
          </cell>
          <cell r="U72">
            <v>170.60105999999999</v>
          </cell>
        </row>
        <row r="73">
          <cell r="B73" t="str">
            <v>V17551-PIND-0074-01</v>
          </cell>
          <cell r="C73" t="str">
            <v>PROD/25-26/08073</v>
          </cell>
          <cell r="D73" t="str">
            <v/>
          </cell>
          <cell r="E73" t="str">
            <v>TJ/25-26/184-CS</v>
          </cell>
          <cell r="F73" t="str">
            <v>P5</v>
          </cell>
          <cell r="G73">
            <v>0</v>
          </cell>
          <cell r="H73">
            <v>1</v>
          </cell>
          <cell r="I73" t="str">
            <v>Yes</v>
          </cell>
          <cell r="J73" t="str">
            <v/>
          </cell>
          <cell r="K73" t="str">
            <v>Yes</v>
          </cell>
          <cell r="L73" t="str">
            <v/>
          </cell>
          <cell r="M73" t="str">
            <v/>
          </cell>
          <cell r="N73" t="str">
            <v>Spool</v>
          </cell>
          <cell r="O73">
            <v>0</v>
          </cell>
          <cell r="P73">
            <v>0</v>
          </cell>
          <cell r="Q73" t="str">
            <v>CS</v>
          </cell>
          <cell r="R73">
            <v>1</v>
          </cell>
          <cell r="S73">
            <v>1</v>
          </cell>
          <cell r="T73">
            <v>23.358339999999998</v>
          </cell>
          <cell r="U73">
            <v>23.358339999999998</v>
          </cell>
        </row>
        <row r="74">
          <cell r="B74" t="str">
            <v>V17551-PIND-0075-01</v>
          </cell>
          <cell r="C74" t="str">
            <v>PROD/25-26/06625</v>
          </cell>
          <cell r="D74" t="str">
            <v/>
          </cell>
          <cell r="E74" t="str">
            <v>TJ/25-26/184-CS</v>
          </cell>
          <cell r="F74" t="str">
            <v>P5</v>
          </cell>
          <cell r="G74">
            <v>0</v>
          </cell>
          <cell r="H74">
            <v>1</v>
          </cell>
          <cell r="I74" t="str">
            <v>Yes</v>
          </cell>
          <cell r="J74" t="str">
            <v/>
          </cell>
          <cell r="K74" t="str">
            <v>Yes</v>
          </cell>
          <cell r="L74" t="str">
            <v/>
          </cell>
          <cell r="M74" t="str">
            <v/>
          </cell>
          <cell r="N74" t="str">
            <v>Spool</v>
          </cell>
          <cell r="O74">
            <v>0</v>
          </cell>
          <cell r="P74">
            <v>0</v>
          </cell>
          <cell r="Q74" t="str">
            <v>CS</v>
          </cell>
          <cell r="R74">
            <v>1</v>
          </cell>
          <cell r="S74">
            <v>1</v>
          </cell>
          <cell r="T74">
            <v>166.66738000000001</v>
          </cell>
          <cell r="U74">
            <v>166.66738000000001</v>
          </cell>
        </row>
        <row r="75">
          <cell r="B75" t="str">
            <v>V17551-PIND-0076-01</v>
          </cell>
          <cell r="C75" t="str">
            <v>PROD/25-26/08074</v>
          </cell>
          <cell r="D75" t="str">
            <v/>
          </cell>
          <cell r="E75" t="str">
            <v>TJ/25-26/184-CS</v>
          </cell>
          <cell r="F75" t="str">
            <v>P5</v>
          </cell>
          <cell r="G75">
            <v>0</v>
          </cell>
          <cell r="H75">
            <v>1</v>
          </cell>
          <cell r="I75" t="str">
            <v>Yes</v>
          </cell>
          <cell r="J75" t="str">
            <v/>
          </cell>
          <cell r="K75" t="str">
            <v>Yes</v>
          </cell>
          <cell r="L75" t="str">
            <v/>
          </cell>
          <cell r="M75" t="str">
            <v/>
          </cell>
          <cell r="N75" t="str">
            <v>Spool</v>
          </cell>
          <cell r="O75">
            <v>0</v>
          </cell>
          <cell r="P75">
            <v>0</v>
          </cell>
          <cell r="Q75" t="str">
            <v>CS</v>
          </cell>
          <cell r="R75">
            <v>1</v>
          </cell>
          <cell r="S75">
            <v>1</v>
          </cell>
          <cell r="T75">
            <v>22.2562</v>
          </cell>
          <cell r="U75">
            <v>22.2562</v>
          </cell>
        </row>
        <row r="76">
          <cell r="B76" t="str">
            <v>V17551-PIND-0077-01</v>
          </cell>
          <cell r="C76" t="str">
            <v>PROD/25-26/06627</v>
          </cell>
          <cell r="D76" t="str">
            <v/>
          </cell>
          <cell r="E76" t="str">
            <v>TJ/25-26/184-CS</v>
          </cell>
          <cell r="F76" t="str">
            <v>P5</v>
          </cell>
          <cell r="G76">
            <v>0</v>
          </cell>
          <cell r="H76">
            <v>1</v>
          </cell>
          <cell r="I76" t="str">
            <v>Yes</v>
          </cell>
          <cell r="J76" t="str">
            <v/>
          </cell>
          <cell r="K76" t="str">
            <v>No</v>
          </cell>
          <cell r="L76" t="str">
            <v/>
          </cell>
          <cell r="M76" t="str">
            <v/>
          </cell>
          <cell r="N76" t="str">
            <v>Spool</v>
          </cell>
          <cell r="O76">
            <v>0</v>
          </cell>
          <cell r="P76">
            <v>0</v>
          </cell>
          <cell r="Q76" t="str">
            <v>CS</v>
          </cell>
          <cell r="R76">
            <v>1</v>
          </cell>
          <cell r="S76">
            <v>1</v>
          </cell>
          <cell r="T76">
            <v>166.73526000000001</v>
          </cell>
          <cell r="U76">
            <v>166.73526000000001</v>
          </cell>
        </row>
        <row r="77">
          <cell r="B77" t="str">
            <v>V17551-PIND-0078-01</v>
          </cell>
          <cell r="C77" t="str">
            <v>PROD/25-26/06628</v>
          </cell>
          <cell r="D77" t="str">
            <v/>
          </cell>
          <cell r="E77" t="str">
            <v>TJ/25-26/184-CS</v>
          </cell>
          <cell r="F77" t="str">
            <v>P5</v>
          </cell>
          <cell r="G77">
            <v>0</v>
          </cell>
          <cell r="H77">
            <v>1</v>
          </cell>
          <cell r="I77" t="str">
            <v>Yes</v>
          </cell>
          <cell r="J77" t="str">
            <v/>
          </cell>
          <cell r="K77" t="str">
            <v>Yes</v>
          </cell>
          <cell r="L77" t="str">
            <v/>
          </cell>
          <cell r="M77" t="str">
            <v/>
          </cell>
          <cell r="N77" t="str">
            <v>Spool</v>
          </cell>
          <cell r="O77">
            <v>0</v>
          </cell>
          <cell r="P77">
            <v>0</v>
          </cell>
          <cell r="Q77" t="str">
            <v>CS</v>
          </cell>
          <cell r="R77">
            <v>1</v>
          </cell>
          <cell r="S77">
            <v>1</v>
          </cell>
          <cell r="T77">
            <v>440.55</v>
          </cell>
          <cell r="U77">
            <v>440.55</v>
          </cell>
        </row>
        <row r="78">
          <cell r="B78" t="str">
            <v>V17551-PIND-0079-01</v>
          </cell>
          <cell r="C78" t="str">
            <v>PROD/25-26/08076</v>
          </cell>
          <cell r="D78" t="str">
            <v/>
          </cell>
          <cell r="E78" t="str">
            <v>TJ/25-26/184-CS</v>
          </cell>
          <cell r="F78" t="str">
            <v>P5,P1</v>
          </cell>
          <cell r="G78">
            <v>0</v>
          </cell>
          <cell r="H78">
            <v>1</v>
          </cell>
          <cell r="I78" t="str">
            <v>Yes</v>
          </cell>
          <cell r="J78" t="str">
            <v/>
          </cell>
          <cell r="K78" t="str">
            <v>Yes</v>
          </cell>
          <cell r="L78" t="str">
            <v/>
          </cell>
          <cell r="M78" t="str">
            <v/>
          </cell>
          <cell r="N78" t="str">
            <v>Spool</v>
          </cell>
          <cell r="O78">
            <v>0</v>
          </cell>
          <cell r="P78">
            <v>0</v>
          </cell>
          <cell r="Q78" t="str">
            <v>CS</v>
          </cell>
          <cell r="R78">
            <v>1</v>
          </cell>
          <cell r="S78">
            <v>1</v>
          </cell>
          <cell r="T78">
            <v>1707.1385764879999</v>
          </cell>
          <cell r="U78">
            <v>1707.1385764879999</v>
          </cell>
        </row>
        <row r="79">
          <cell r="B79" t="str">
            <v>V17551-PIND-0080-01</v>
          </cell>
          <cell r="C79" t="str">
            <v>PROD/25-26/07433</v>
          </cell>
          <cell r="D79" t="str">
            <v/>
          </cell>
          <cell r="E79" t="str">
            <v>TJ/25-26/184-CS</v>
          </cell>
          <cell r="F79" t="str">
            <v>P5</v>
          </cell>
          <cell r="G79">
            <v>0</v>
          </cell>
          <cell r="H79">
            <v>1</v>
          </cell>
          <cell r="I79" t="str">
            <v>Yes</v>
          </cell>
          <cell r="J79" t="str">
            <v/>
          </cell>
          <cell r="K79" t="str">
            <v>Yes</v>
          </cell>
          <cell r="L79" t="str">
            <v/>
          </cell>
          <cell r="M79" t="str">
            <v/>
          </cell>
          <cell r="N79" t="str">
            <v>Spool</v>
          </cell>
          <cell r="O79">
            <v>0</v>
          </cell>
          <cell r="P79">
            <v>0</v>
          </cell>
          <cell r="Q79" t="str">
            <v>CS</v>
          </cell>
          <cell r="R79">
            <v>1</v>
          </cell>
          <cell r="S79">
            <v>1</v>
          </cell>
          <cell r="T79">
            <v>729.69115999999997</v>
          </cell>
          <cell r="U79">
            <v>729.69115999999997</v>
          </cell>
        </row>
        <row r="80">
          <cell r="B80" t="str">
            <v>V17551-PIND-0081-01</v>
          </cell>
          <cell r="C80" t="str">
            <v>PROD/25-26/08655</v>
          </cell>
          <cell r="D80" t="str">
            <v>S-5076</v>
          </cell>
          <cell r="E80" t="str">
            <v>TJ/25-26/184-CS</v>
          </cell>
          <cell r="F80" t="str">
            <v>P5,P1</v>
          </cell>
          <cell r="G80">
            <v>0</v>
          </cell>
          <cell r="H80">
            <v>1</v>
          </cell>
          <cell r="I80" t="str">
            <v>Yes</v>
          </cell>
          <cell r="J80" t="str">
            <v/>
          </cell>
          <cell r="K80" t="str">
            <v>Yes</v>
          </cell>
          <cell r="L80" t="str">
            <v/>
          </cell>
          <cell r="M80" t="str">
            <v/>
          </cell>
          <cell r="N80" t="str">
            <v>Spool</v>
          </cell>
          <cell r="O80">
            <v>0</v>
          </cell>
          <cell r="P80">
            <v>0</v>
          </cell>
          <cell r="Q80" t="str">
            <v>CS</v>
          </cell>
          <cell r="R80">
            <v>1</v>
          </cell>
          <cell r="S80">
            <v>1</v>
          </cell>
          <cell r="T80">
            <v>5257.5844220079998</v>
          </cell>
          <cell r="U80">
            <v>5257.5844220079998</v>
          </cell>
        </row>
        <row r="81">
          <cell r="B81" t="str">
            <v>V17551-PIND-0082-01</v>
          </cell>
          <cell r="C81" t="str">
            <v>PROD/25-26/12794</v>
          </cell>
          <cell r="D81" t="str">
            <v>S-5078</v>
          </cell>
          <cell r="E81" t="str">
            <v>TJ/25-26/184-CS</v>
          </cell>
          <cell r="F81" t="str">
            <v>P5,P1</v>
          </cell>
          <cell r="G81">
            <v>0</v>
          </cell>
          <cell r="H81">
            <v>1</v>
          </cell>
          <cell r="I81" t="str">
            <v>Yes</v>
          </cell>
          <cell r="J81" t="str">
            <v/>
          </cell>
          <cell r="K81" t="str">
            <v>Yes</v>
          </cell>
          <cell r="L81" t="str">
            <v/>
          </cell>
          <cell r="M81" t="str">
            <v/>
          </cell>
          <cell r="N81" t="str">
            <v>Spool</v>
          </cell>
          <cell r="O81">
            <v>0</v>
          </cell>
          <cell r="P81">
            <v>0</v>
          </cell>
          <cell r="Q81" t="str">
            <v>CS</v>
          </cell>
          <cell r="R81">
            <v>1</v>
          </cell>
          <cell r="S81">
            <v>1</v>
          </cell>
          <cell r="T81">
            <v>2826.4801536179998</v>
          </cell>
          <cell r="U81">
            <v>2826.4801536179998</v>
          </cell>
        </row>
        <row r="82">
          <cell r="B82" t="str">
            <v>V17551-PIND-0083-01</v>
          </cell>
          <cell r="C82" t="str">
            <v>PROD/25-26/08417</v>
          </cell>
          <cell r="D82" t="str">
            <v>S-5083</v>
          </cell>
          <cell r="E82" t="str">
            <v>TJ/25-26/184-CS</v>
          </cell>
          <cell r="F82" t="str">
            <v>P5,P1</v>
          </cell>
          <cell r="G82">
            <v>0</v>
          </cell>
          <cell r="H82">
            <v>1</v>
          </cell>
          <cell r="I82" t="str">
            <v>Yes</v>
          </cell>
          <cell r="J82" t="str">
            <v/>
          </cell>
          <cell r="K82" t="str">
            <v>Yes</v>
          </cell>
          <cell r="L82" t="str">
            <v/>
          </cell>
          <cell r="M82" t="str">
            <v/>
          </cell>
          <cell r="N82" t="str">
            <v>Spool</v>
          </cell>
          <cell r="O82">
            <v>0</v>
          </cell>
          <cell r="P82">
            <v>0</v>
          </cell>
          <cell r="Q82" t="str">
            <v>CS</v>
          </cell>
          <cell r="R82">
            <v>1</v>
          </cell>
          <cell r="S82">
            <v>1</v>
          </cell>
          <cell r="T82">
            <v>110.782576592</v>
          </cell>
          <cell r="U82">
            <v>110.782576592</v>
          </cell>
        </row>
        <row r="83">
          <cell r="B83" t="str">
            <v>V17551-PIND-0084-03</v>
          </cell>
          <cell r="C83" t="str">
            <v>PROD/25-26/12796</v>
          </cell>
          <cell r="D83" t="str">
            <v/>
          </cell>
          <cell r="E83" t="str">
            <v>TJ/25-26/184-P22</v>
          </cell>
          <cell r="F83" t="str">
            <v>P5,P1</v>
          </cell>
          <cell r="G83">
            <v>0</v>
          </cell>
          <cell r="H83">
            <v>1</v>
          </cell>
          <cell r="I83" t="str">
            <v>Yes</v>
          </cell>
          <cell r="J83" t="str">
            <v/>
          </cell>
          <cell r="K83" t="str">
            <v>Yes</v>
          </cell>
          <cell r="L83" t="str">
            <v/>
          </cell>
          <cell r="M83" t="str">
            <v/>
          </cell>
          <cell r="N83" t="str">
            <v>Spool</v>
          </cell>
          <cell r="O83">
            <v>0</v>
          </cell>
          <cell r="P83">
            <v>0</v>
          </cell>
          <cell r="Q83" t="str">
            <v>P22</v>
          </cell>
          <cell r="R83">
            <v>1</v>
          </cell>
          <cell r="S83">
            <v>1</v>
          </cell>
          <cell r="T83">
            <v>1098.7209399999999</v>
          </cell>
          <cell r="U83">
            <v>1098.7209399999999</v>
          </cell>
        </row>
        <row r="84">
          <cell r="B84" t="str">
            <v>V17551-PIND-0085-01</v>
          </cell>
          <cell r="C84" t="str">
            <v>PROD/25-26/07436</v>
          </cell>
          <cell r="D84" t="str">
            <v/>
          </cell>
          <cell r="E84" t="str">
            <v>TJ/25-26/184-CS</v>
          </cell>
          <cell r="F84" t="str">
            <v>P5,P1</v>
          </cell>
          <cell r="G84">
            <v>0</v>
          </cell>
          <cell r="H84">
            <v>1</v>
          </cell>
          <cell r="I84" t="str">
            <v>Yes</v>
          </cell>
          <cell r="J84" t="str">
            <v/>
          </cell>
          <cell r="K84" t="str">
            <v>Yes</v>
          </cell>
          <cell r="L84" t="str">
            <v/>
          </cell>
          <cell r="M84" t="str">
            <v/>
          </cell>
          <cell r="N84" t="str">
            <v>Spool</v>
          </cell>
          <cell r="O84">
            <v>0</v>
          </cell>
          <cell r="P84">
            <v>0</v>
          </cell>
          <cell r="Q84" t="str">
            <v>CS</v>
          </cell>
          <cell r="R84">
            <v>1</v>
          </cell>
          <cell r="S84">
            <v>1</v>
          </cell>
          <cell r="T84">
            <v>88.908106591999996</v>
          </cell>
          <cell r="U84">
            <v>88.908106591999996</v>
          </cell>
        </row>
        <row r="85">
          <cell r="B85" t="str">
            <v>V17551-PIND-0086-01</v>
          </cell>
          <cell r="C85" t="str">
            <v>PROD/25-26/08077</v>
          </cell>
          <cell r="D85" t="str">
            <v>S-5095</v>
          </cell>
          <cell r="E85" t="str">
            <v>TJ/25-26/184-CS</v>
          </cell>
          <cell r="F85" t="str">
            <v>P5,P1</v>
          </cell>
          <cell r="G85">
            <v>0</v>
          </cell>
          <cell r="H85">
            <v>1</v>
          </cell>
          <cell r="I85" t="str">
            <v>Yes</v>
          </cell>
          <cell r="J85" t="str">
            <v/>
          </cell>
          <cell r="K85" t="str">
            <v>Yes</v>
          </cell>
          <cell r="L85" t="str">
            <v/>
          </cell>
          <cell r="M85" t="str">
            <v/>
          </cell>
          <cell r="N85" t="str">
            <v>Spool</v>
          </cell>
          <cell r="O85">
            <v>0</v>
          </cell>
          <cell r="P85">
            <v>0</v>
          </cell>
          <cell r="Q85" t="str">
            <v>CS</v>
          </cell>
          <cell r="R85">
            <v>1</v>
          </cell>
          <cell r="S85">
            <v>1</v>
          </cell>
          <cell r="T85">
            <v>103.726325152</v>
          </cell>
          <cell r="U85">
            <v>103.726325152</v>
          </cell>
        </row>
        <row r="86">
          <cell r="B86" t="str">
            <v>V17551-PIND-0087-01</v>
          </cell>
          <cell r="C86" t="str">
            <v>PROD/25-26/07274</v>
          </cell>
          <cell r="D86" t="str">
            <v>S-5098</v>
          </cell>
          <cell r="E86" t="str">
            <v>TJ/25-26/184-CS</v>
          </cell>
          <cell r="F86" t="str">
            <v>P5</v>
          </cell>
          <cell r="G86">
            <v>0</v>
          </cell>
          <cell r="H86">
            <v>1</v>
          </cell>
          <cell r="I86" t="str">
            <v>Yes</v>
          </cell>
          <cell r="J86" t="str">
            <v/>
          </cell>
          <cell r="K86" t="str">
            <v>Yes</v>
          </cell>
          <cell r="L86" t="str">
            <v/>
          </cell>
          <cell r="M86" t="str">
            <v/>
          </cell>
          <cell r="N86" t="str">
            <v>Spool</v>
          </cell>
          <cell r="O86">
            <v>0</v>
          </cell>
          <cell r="P86">
            <v>0</v>
          </cell>
          <cell r="Q86" t="str">
            <v>CS</v>
          </cell>
          <cell r="R86">
            <v>1</v>
          </cell>
          <cell r="S86">
            <v>1</v>
          </cell>
          <cell r="T86">
            <v>190.80914999999999</v>
          </cell>
          <cell r="U86">
            <v>190.80914999999999</v>
          </cell>
        </row>
        <row r="87">
          <cell r="B87" t="str">
            <v>V17551-PIND-0088-01</v>
          </cell>
          <cell r="C87" t="str">
            <v>PROD/25-26/13715</v>
          </cell>
          <cell r="D87" t="str">
            <v>S-5110</v>
          </cell>
          <cell r="E87" t="str">
            <v>TJ/25-26/184-P91</v>
          </cell>
          <cell r="F87" t="str">
            <v>P5,P1</v>
          </cell>
          <cell r="G87">
            <v>0</v>
          </cell>
          <cell r="H87">
            <v>1</v>
          </cell>
          <cell r="I87" t="str">
            <v>Yes</v>
          </cell>
          <cell r="J87" t="str">
            <v/>
          </cell>
          <cell r="K87" t="str">
            <v>Yes</v>
          </cell>
          <cell r="L87" t="str">
            <v/>
          </cell>
          <cell r="M87" t="str">
            <v/>
          </cell>
          <cell r="N87" t="str">
            <v>Spool</v>
          </cell>
          <cell r="O87">
            <v>0</v>
          </cell>
          <cell r="P87">
            <v>0</v>
          </cell>
          <cell r="Q87" t="str">
            <v>P91</v>
          </cell>
          <cell r="R87">
            <v>1</v>
          </cell>
          <cell r="S87">
            <v>1</v>
          </cell>
          <cell r="T87">
            <v>5394.4037489632001</v>
          </cell>
          <cell r="U87">
            <v>5394.4037489632001</v>
          </cell>
        </row>
        <row r="88">
          <cell r="B88" t="str">
            <v>V17551-PIND-0089-01</v>
          </cell>
          <cell r="C88" t="str">
            <v>PROD/25-26/12798</v>
          </cell>
          <cell r="D88" t="str">
            <v>S-5113</v>
          </cell>
          <cell r="E88" t="str">
            <v>TJ/25-26/184-P91</v>
          </cell>
          <cell r="F88" t="str">
            <v>P5,P1</v>
          </cell>
          <cell r="G88">
            <v>0</v>
          </cell>
          <cell r="H88">
            <v>1</v>
          </cell>
          <cell r="I88" t="str">
            <v>Yes</v>
          </cell>
          <cell r="J88" t="str">
            <v/>
          </cell>
          <cell r="K88" t="str">
            <v>Yes</v>
          </cell>
          <cell r="L88" t="str">
            <v/>
          </cell>
          <cell r="M88" t="str">
            <v/>
          </cell>
          <cell r="N88" t="str">
            <v>Spool</v>
          </cell>
          <cell r="O88">
            <v>0</v>
          </cell>
          <cell r="P88">
            <v>0</v>
          </cell>
          <cell r="Q88" t="str">
            <v>P91</v>
          </cell>
          <cell r="R88">
            <v>1</v>
          </cell>
          <cell r="S88">
            <v>1</v>
          </cell>
          <cell r="T88">
            <v>4250.8229624320002</v>
          </cell>
          <cell r="U88">
            <v>4250.8229624320002</v>
          </cell>
        </row>
        <row r="89">
          <cell r="B89" t="str">
            <v>V17551-PIND-0090-01</v>
          </cell>
          <cell r="C89" t="str">
            <v>PROD/25-26/08043</v>
          </cell>
          <cell r="D89" t="str">
            <v/>
          </cell>
          <cell r="E89" t="str">
            <v>TJ/25-26/184-P91</v>
          </cell>
          <cell r="F89" t="str">
            <v>P5,P1</v>
          </cell>
          <cell r="G89">
            <v>0</v>
          </cell>
          <cell r="H89">
            <v>1</v>
          </cell>
          <cell r="I89" t="str">
            <v>Yes</v>
          </cell>
          <cell r="J89" t="str">
            <v/>
          </cell>
          <cell r="K89" t="str">
            <v>Yes</v>
          </cell>
          <cell r="L89" t="str">
            <v/>
          </cell>
          <cell r="M89" t="str">
            <v/>
          </cell>
          <cell r="N89" t="str">
            <v>Spool</v>
          </cell>
          <cell r="O89">
            <v>0</v>
          </cell>
          <cell r="P89">
            <v>0</v>
          </cell>
          <cell r="Q89" t="str">
            <v>P91</v>
          </cell>
          <cell r="R89">
            <v>1</v>
          </cell>
          <cell r="S89">
            <v>1</v>
          </cell>
          <cell r="T89">
            <v>5233.5250428600002</v>
          </cell>
          <cell r="U89">
            <v>5233.5250428600002</v>
          </cell>
        </row>
        <row r="90">
          <cell r="B90" t="str">
            <v>V17551-PIND-0091-01</v>
          </cell>
          <cell r="C90" t="str">
            <v>PROD/25-26/12800</v>
          </cell>
          <cell r="D90" t="str">
            <v/>
          </cell>
          <cell r="E90" t="str">
            <v>TJ/25-26/184-P22</v>
          </cell>
          <cell r="F90" t="str">
            <v>P5,P1</v>
          </cell>
          <cell r="G90">
            <v>0</v>
          </cell>
          <cell r="H90">
            <v>1</v>
          </cell>
          <cell r="I90" t="str">
            <v>Yes</v>
          </cell>
          <cell r="J90" t="str">
            <v/>
          </cell>
          <cell r="K90" t="str">
            <v>Yes</v>
          </cell>
          <cell r="L90" t="str">
            <v/>
          </cell>
          <cell r="M90" t="str">
            <v/>
          </cell>
          <cell r="N90" t="str">
            <v>Spool</v>
          </cell>
          <cell r="O90">
            <v>0</v>
          </cell>
          <cell r="P90">
            <v>0</v>
          </cell>
          <cell r="Q90" t="str">
            <v>P22</v>
          </cell>
          <cell r="R90">
            <v>1</v>
          </cell>
          <cell r="S90">
            <v>1</v>
          </cell>
          <cell r="T90">
            <v>380.18973999999997</v>
          </cell>
          <cell r="U90">
            <v>380.18973999999997</v>
          </cell>
        </row>
        <row r="91">
          <cell r="B91" t="str">
            <v>V17551-PIND-0092-01</v>
          </cell>
          <cell r="C91" t="str">
            <v>PROD/25-26/08109</v>
          </cell>
          <cell r="D91" t="str">
            <v/>
          </cell>
          <cell r="E91" t="str">
            <v>TJ/25-26/184-CS</v>
          </cell>
          <cell r="F91" t="str">
            <v>P5,P1</v>
          </cell>
          <cell r="G91">
            <v>0</v>
          </cell>
          <cell r="H91">
            <v>1</v>
          </cell>
          <cell r="I91" t="str">
            <v>Yes</v>
          </cell>
          <cell r="J91" t="str">
            <v/>
          </cell>
          <cell r="K91" t="str">
            <v>Yes</v>
          </cell>
          <cell r="L91" t="str">
            <v/>
          </cell>
          <cell r="M91" t="str">
            <v/>
          </cell>
          <cell r="N91" t="str">
            <v>Spool</v>
          </cell>
          <cell r="O91">
            <v>0</v>
          </cell>
          <cell r="P91">
            <v>0</v>
          </cell>
          <cell r="Q91" t="str">
            <v>CS</v>
          </cell>
          <cell r="R91">
            <v>1</v>
          </cell>
          <cell r="S91">
            <v>1</v>
          </cell>
          <cell r="T91">
            <v>153.773355216</v>
          </cell>
          <cell r="U91">
            <v>153.773355216</v>
          </cell>
        </row>
        <row r="92">
          <cell r="B92" t="str">
            <v>V17551-PIND-0093-01</v>
          </cell>
          <cell r="C92" t="str">
            <v>PROD/25-26/08110</v>
          </cell>
          <cell r="D92" t="str">
            <v/>
          </cell>
          <cell r="E92" t="str">
            <v>TJ/25-26/184-CS</v>
          </cell>
          <cell r="F92" t="str">
            <v>P5,P1</v>
          </cell>
          <cell r="G92">
            <v>0</v>
          </cell>
          <cell r="H92">
            <v>1</v>
          </cell>
          <cell r="I92" t="str">
            <v>Yes</v>
          </cell>
          <cell r="J92" t="str">
            <v/>
          </cell>
          <cell r="K92" t="str">
            <v>Yes</v>
          </cell>
          <cell r="L92" t="str">
            <v/>
          </cell>
          <cell r="M92" t="str">
            <v/>
          </cell>
          <cell r="N92" t="str">
            <v>Spool</v>
          </cell>
          <cell r="O92">
            <v>0</v>
          </cell>
          <cell r="P92">
            <v>0</v>
          </cell>
          <cell r="Q92" t="str">
            <v>CS</v>
          </cell>
          <cell r="R92">
            <v>1</v>
          </cell>
          <cell r="S92">
            <v>1</v>
          </cell>
          <cell r="T92">
            <v>153.773355216</v>
          </cell>
          <cell r="U92">
            <v>153.773355216</v>
          </cell>
        </row>
        <row r="93">
          <cell r="B93" t="str">
            <v>V17551-PIND-0094-01</v>
          </cell>
          <cell r="C93" t="str">
            <v>PROD/25-26/12801</v>
          </cell>
          <cell r="D93" t="str">
            <v/>
          </cell>
          <cell r="E93" t="str">
            <v>TJ/25-26/184-CS</v>
          </cell>
          <cell r="F93" t="str">
            <v>P5,P1</v>
          </cell>
          <cell r="G93">
            <v>0</v>
          </cell>
          <cell r="H93">
            <v>1</v>
          </cell>
          <cell r="I93" t="str">
            <v>Yes</v>
          </cell>
          <cell r="J93" t="str">
            <v/>
          </cell>
          <cell r="K93" t="str">
            <v>Yes</v>
          </cell>
          <cell r="L93" t="str">
            <v/>
          </cell>
          <cell r="M93" t="str">
            <v/>
          </cell>
          <cell r="N93" t="str">
            <v>Spool</v>
          </cell>
          <cell r="O93">
            <v>0</v>
          </cell>
          <cell r="P93">
            <v>0</v>
          </cell>
          <cell r="Q93" t="str">
            <v>CS</v>
          </cell>
          <cell r="R93">
            <v>1</v>
          </cell>
          <cell r="S93">
            <v>1</v>
          </cell>
          <cell r="T93">
            <v>196.29647318400001</v>
          </cell>
          <cell r="U93">
            <v>196.29647318400001</v>
          </cell>
        </row>
        <row r="94">
          <cell r="B94" t="str">
            <v>V17551-PIND-0095-01</v>
          </cell>
          <cell r="C94" t="str">
            <v>PROD/25-26/07437</v>
          </cell>
          <cell r="D94" t="str">
            <v/>
          </cell>
          <cell r="E94" t="str">
            <v>TJ/25-26/184-CS</v>
          </cell>
          <cell r="F94" t="str">
            <v>P5,P1</v>
          </cell>
          <cell r="G94">
            <v>0</v>
          </cell>
          <cell r="H94">
            <v>1</v>
          </cell>
          <cell r="I94" t="str">
            <v>Yes</v>
          </cell>
          <cell r="J94" t="str">
            <v/>
          </cell>
          <cell r="K94" t="str">
            <v>Yes</v>
          </cell>
          <cell r="L94" t="str">
            <v/>
          </cell>
          <cell r="M94" t="str">
            <v/>
          </cell>
          <cell r="N94" t="str">
            <v>Spool</v>
          </cell>
          <cell r="O94">
            <v>0</v>
          </cell>
          <cell r="P94">
            <v>0</v>
          </cell>
          <cell r="Q94" t="str">
            <v>CS</v>
          </cell>
          <cell r="R94">
            <v>1</v>
          </cell>
          <cell r="S94">
            <v>1</v>
          </cell>
          <cell r="T94">
            <v>171.35563527279999</v>
          </cell>
          <cell r="U94">
            <v>171.35563527279999</v>
          </cell>
        </row>
        <row r="95">
          <cell r="B95" t="str">
            <v>V17551-PIND-0096-01</v>
          </cell>
          <cell r="C95" t="str">
            <v>PROD/25-26/08080</v>
          </cell>
          <cell r="D95" t="str">
            <v>S-5128</v>
          </cell>
          <cell r="E95" t="str">
            <v>TJ/25-26/184-CS</v>
          </cell>
          <cell r="F95" t="str">
            <v>P5,P1</v>
          </cell>
          <cell r="G95">
            <v>0</v>
          </cell>
          <cell r="H95">
            <v>1</v>
          </cell>
          <cell r="I95" t="str">
            <v>Yes</v>
          </cell>
          <cell r="J95" t="str">
            <v/>
          </cell>
          <cell r="K95" t="str">
            <v>Yes</v>
          </cell>
          <cell r="L95" t="str">
            <v/>
          </cell>
          <cell r="M95" t="str">
            <v/>
          </cell>
          <cell r="N95" t="str">
            <v>Spool</v>
          </cell>
          <cell r="O95">
            <v>0</v>
          </cell>
          <cell r="P95">
            <v>0</v>
          </cell>
          <cell r="Q95" t="str">
            <v>CS</v>
          </cell>
          <cell r="R95">
            <v>1</v>
          </cell>
          <cell r="S95">
            <v>1</v>
          </cell>
          <cell r="T95">
            <v>198.47339527279999</v>
          </cell>
          <cell r="U95">
            <v>198.47339527279999</v>
          </cell>
        </row>
        <row r="96">
          <cell r="B96" t="str">
            <v>V17551-PIND-0097-01</v>
          </cell>
          <cell r="C96" t="str">
            <v>PROD/25-26/08081</v>
          </cell>
          <cell r="D96" t="str">
            <v>S-5130</v>
          </cell>
          <cell r="E96" t="str">
            <v>TJ/25-26/184-CS</v>
          </cell>
          <cell r="F96" t="str">
            <v>P5,P1</v>
          </cell>
          <cell r="G96">
            <v>0</v>
          </cell>
          <cell r="H96">
            <v>1</v>
          </cell>
          <cell r="I96" t="str">
            <v>Yes</v>
          </cell>
          <cell r="J96" t="str">
            <v/>
          </cell>
          <cell r="K96" t="str">
            <v>Yes</v>
          </cell>
          <cell r="L96" t="str">
            <v/>
          </cell>
          <cell r="M96" t="str">
            <v/>
          </cell>
          <cell r="N96" t="str">
            <v>Spool</v>
          </cell>
          <cell r="O96">
            <v>0</v>
          </cell>
          <cell r="P96">
            <v>0</v>
          </cell>
          <cell r="Q96" t="str">
            <v>CS</v>
          </cell>
          <cell r="R96">
            <v>1</v>
          </cell>
          <cell r="S96">
            <v>1</v>
          </cell>
          <cell r="T96">
            <v>317.04802659199999</v>
          </cell>
          <cell r="U96">
            <v>317.04802659199999</v>
          </cell>
        </row>
        <row r="97">
          <cell r="B97" t="str">
            <v>V17551-PIND-0098-01</v>
          </cell>
          <cell r="C97" t="str">
            <v>PROD/25-26/08420</v>
          </cell>
          <cell r="D97" t="str">
            <v>S-5131</v>
          </cell>
          <cell r="E97" t="str">
            <v>TJ/25-26/184-P11</v>
          </cell>
          <cell r="F97" t="str">
            <v>P5,P1</v>
          </cell>
          <cell r="G97">
            <v>0</v>
          </cell>
          <cell r="H97">
            <v>1</v>
          </cell>
          <cell r="I97" t="str">
            <v>Yes</v>
          </cell>
          <cell r="J97" t="str">
            <v/>
          </cell>
          <cell r="K97" t="str">
            <v>Yes</v>
          </cell>
          <cell r="L97" t="str">
            <v/>
          </cell>
          <cell r="M97" t="str">
            <v/>
          </cell>
          <cell r="N97" t="str">
            <v>Spool</v>
          </cell>
          <cell r="O97">
            <v>0</v>
          </cell>
          <cell r="P97">
            <v>0</v>
          </cell>
          <cell r="Q97" t="str">
            <v>P11</v>
          </cell>
          <cell r="R97">
            <v>1</v>
          </cell>
          <cell r="S97">
            <v>1</v>
          </cell>
          <cell r="T97">
            <v>22.818960000000001</v>
          </cell>
          <cell r="U97">
            <v>22.818960000000001</v>
          </cell>
        </row>
        <row r="98">
          <cell r="B98" t="str">
            <v>V17551-PIND-0099-01</v>
          </cell>
          <cell r="C98" t="str">
            <v>PROD/25-26/12804</v>
          </cell>
          <cell r="D98" t="str">
            <v>S-5134</v>
          </cell>
          <cell r="E98" t="str">
            <v>TJ/25-26/184-P11</v>
          </cell>
          <cell r="F98" t="str">
            <v>P5,P1</v>
          </cell>
          <cell r="G98">
            <v>0</v>
          </cell>
          <cell r="H98">
            <v>1</v>
          </cell>
          <cell r="I98" t="str">
            <v>Yes</v>
          </cell>
          <cell r="J98" t="str">
            <v/>
          </cell>
          <cell r="K98" t="str">
            <v>Yes</v>
          </cell>
          <cell r="L98" t="str">
            <v/>
          </cell>
          <cell r="M98" t="str">
            <v/>
          </cell>
          <cell r="N98" t="str">
            <v>Spool</v>
          </cell>
          <cell r="O98">
            <v>0</v>
          </cell>
          <cell r="P98">
            <v>0</v>
          </cell>
          <cell r="Q98" t="str">
            <v>CS</v>
          </cell>
          <cell r="R98">
            <v>1</v>
          </cell>
          <cell r="S98">
            <v>1</v>
          </cell>
          <cell r="T98">
            <v>112.232675152</v>
          </cell>
          <cell r="U98">
            <v>112.232675152</v>
          </cell>
        </row>
        <row r="99">
          <cell r="B99" t="str">
            <v>V17551-PIND-0100-01</v>
          </cell>
          <cell r="C99" t="str">
            <v>PROD/25-26/07439</v>
          </cell>
          <cell r="D99" t="str">
            <v>S-5136</v>
          </cell>
          <cell r="E99" t="str">
            <v>TJ/25-26/184-CS</v>
          </cell>
          <cell r="F99" t="str">
            <v>P5,P1</v>
          </cell>
          <cell r="G99">
            <v>0</v>
          </cell>
          <cell r="H99">
            <v>1</v>
          </cell>
          <cell r="I99" t="str">
            <v>Yes</v>
          </cell>
          <cell r="J99" t="str">
            <v/>
          </cell>
          <cell r="K99" t="str">
            <v>Yes</v>
          </cell>
          <cell r="L99" t="str">
            <v/>
          </cell>
          <cell r="M99" t="str">
            <v/>
          </cell>
          <cell r="N99" t="str">
            <v>Spool</v>
          </cell>
          <cell r="O99">
            <v>0</v>
          </cell>
          <cell r="P99">
            <v>0</v>
          </cell>
          <cell r="Q99" t="str">
            <v>CS</v>
          </cell>
          <cell r="R99">
            <v>1</v>
          </cell>
          <cell r="S99">
            <v>1</v>
          </cell>
          <cell r="T99">
            <v>59.301555151999999</v>
          </cell>
          <cell r="U99">
            <v>59.301555151999999</v>
          </cell>
        </row>
        <row r="100">
          <cell r="B100" t="str">
            <v>V17551-PIND-0101-01</v>
          </cell>
          <cell r="C100" t="str">
            <v>PROD/25-26/07440</v>
          </cell>
          <cell r="D100" t="str">
            <v/>
          </cell>
          <cell r="E100" t="str">
            <v>TJ/25-26/184-CS</v>
          </cell>
          <cell r="F100" t="str">
            <v>P5,P1</v>
          </cell>
          <cell r="G100">
            <v>0</v>
          </cell>
          <cell r="H100">
            <v>1</v>
          </cell>
          <cell r="I100" t="str">
            <v>Yes</v>
          </cell>
          <cell r="J100" t="str">
            <v/>
          </cell>
          <cell r="K100" t="str">
            <v>Yes</v>
          </cell>
          <cell r="L100" t="str">
            <v/>
          </cell>
          <cell r="M100" t="str">
            <v/>
          </cell>
          <cell r="N100" t="str">
            <v>Spool</v>
          </cell>
          <cell r="O100">
            <v>0</v>
          </cell>
          <cell r="P100">
            <v>0</v>
          </cell>
          <cell r="Q100" t="str">
            <v>CS</v>
          </cell>
          <cell r="R100">
            <v>1</v>
          </cell>
          <cell r="S100">
            <v>1</v>
          </cell>
          <cell r="T100">
            <v>24.222290000000001</v>
          </cell>
          <cell r="U100">
            <v>24.222290000000001</v>
          </cell>
        </row>
        <row r="101">
          <cell r="B101" t="str">
            <v>V17551-PIND-0102-01</v>
          </cell>
          <cell r="C101" t="str">
            <v>PROD/25-26/12805</v>
          </cell>
          <cell r="D101" t="str">
            <v>S-5139</v>
          </cell>
          <cell r="E101" t="str">
            <v>TJ/25-26/184-CS</v>
          </cell>
          <cell r="F101" t="str">
            <v>P5,P1</v>
          </cell>
          <cell r="G101">
            <v>0</v>
          </cell>
          <cell r="H101">
            <v>1</v>
          </cell>
          <cell r="I101" t="str">
            <v>Yes</v>
          </cell>
          <cell r="J101" t="str">
            <v/>
          </cell>
          <cell r="K101" t="str">
            <v>Yes</v>
          </cell>
          <cell r="L101" t="str">
            <v/>
          </cell>
          <cell r="M101" t="str">
            <v/>
          </cell>
          <cell r="N101" t="str">
            <v>Spool</v>
          </cell>
          <cell r="O101">
            <v>0</v>
          </cell>
          <cell r="P101">
            <v>0</v>
          </cell>
          <cell r="Q101" t="str">
            <v>CS</v>
          </cell>
          <cell r="R101">
            <v>1</v>
          </cell>
          <cell r="S101">
            <v>1</v>
          </cell>
          <cell r="T101">
            <v>115.965715152</v>
          </cell>
          <cell r="U101">
            <v>115.965715152</v>
          </cell>
        </row>
        <row r="102">
          <cell r="B102" t="str">
            <v>V17551-PIND-0103-01</v>
          </cell>
          <cell r="C102" t="str">
            <v>PROD/25-26/08421</v>
          </cell>
          <cell r="D102" t="str">
            <v>S-5142</v>
          </cell>
          <cell r="E102" t="str">
            <v>TJ/25-26/184-CS</v>
          </cell>
          <cell r="F102" t="str">
            <v>P5</v>
          </cell>
          <cell r="G102">
            <v>0</v>
          </cell>
          <cell r="H102">
            <v>1</v>
          </cell>
          <cell r="I102" t="str">
            <v>Yes</v>
          </cell>
          <cell r="J102" t="str">
            <v/>
          </cell>
          <cell r="K102" t="str">
            <v>Yes</v>
          </cell>
          <cell r="L102" t="str">
            <v/>
          </cell>
          <cell r="M102" t="str">
            <v/>
          </cell>
          <cell r="N102" t="str">
            <v>Spool</v>
          </cell>
          <cell r="O102">
            <v>0</v>
          </cell>
          <cell r="P102">
            <v>0</v>
          </cell>
          <cell r="Q102" t="str">
            <v>CS</v>
          </cell>
          <cell r="R102">
            <v>1</v>
          </cell>
          <cell r="S102">
            <v>1</v>
          </cell>
          <cell r="T102">
            <v>120.49679999999999</v>
          </cell>
          <cell r="U102">
            <v>120.49679999999999</v>
          </cell>
        </row>
        <row r="103">
          <cell r="B103" t="str">
            <v>V17551-PIND-0104-01</v>
          </cell>
          <cell r="C103" t="str">
            <v>PROD/25-26/12806</v>
          </cell>
          <cell r="D103" t="str">
            <v>S-5146</v>
          </cell>
          <cell r="E103" t="str">
            <v>TJ/25-26/184-CS</v>
          </cell>
          <cell r="F103" t="str">
            <v>P5,P1</v>
          </cell>
          <cell r="G103">
            <v>0</v>
          </cell>
          <cell r="H103">
            <v>1</v>
          </cell>
          <cell r="I103" t="str">
            <v>Yes</v>
          </cell>
          <cell r="J103" t="str">
            <v/>
          </cell>
          <cell r="K103" t="str">
            <v>Yes</v>
          </cell>
          <cell r="L103" t="str">
            <v/>
          </cell>
          <cell r="M103" t="str">
            <v/>
          </cell>
          <cell r="N103" t="str">
            <v>Spool</v>
          </cell>
          <cell r="O103">
            <v>0</v>
          </cell>
          <cell r="P103">
            <v>0</v>
          </cell>
          <cell r="Q103" t="str">
            <v>CS</v>
          </cell>
          <cell r="R103">
            <v>1</v>
          </cell>
          <cell r="S103">
            <v>1</v>
          </cell>
          <cell r="T103">
            <v>1154.8034399999999</v>
          </cell>
          <cell r="U103">
            <v>1154.8034399999999</v>
          </cell>
        </row>
        <row r="104">
          <cell r="B104" t="str">
            <v>V17551-PIND-0105-01</v>
          </cell>
          <cell r="C104" t="str">
            <v>PROD/25-26/08111</v>
          </cell>
          <cell r="D104" t="str">
            <v/>
          </cell>
          <cell r="E104" t="str">
            <v>TJ/25-26/184-CS</v>
          </cell>
          <cell r="F104" t="str">
            <v>P5</v>
          </cell>
          <cell r="G104">
            <v>0</v>
          </cell>
          <cell r="H104">
            <v>1</v>
          </cell>
          <cell r="I104" t="str">
            <v>Yes</v>
          </cell>
          <cell r="J104" t="str">
            <v/>
          </cell>
          <cell r="K104" t="str">
            <v>Yes</v>
          </cell>
          <cell r="L104" t="str">
            <v/>
          </cell>
          <cell r="M104" t="str">
            <v/>
          </cell>
          <cell r="N104" t="str">
            <v>Spool</v>
          </cell>
          <cell r="O104">
            <v>0</v>
          </cell>
          <cell r="P104">
            <v>0</v>
          </cell>
          <cell r="Q104" t="str">
            <v>CS</v>
          </cell>
          <cell r="R104">
            <v>1</v>
          </cell>
          <cell r="S104">
            <v>1</v>
          </cell>
          <cell r="T104">
            <v>229.43794</v>
          </cell>
          <cell r="U104">
            <v>229.43794</v>
          </cell>
        </row>
        <row r="105">
          <cell r="B105" t="str">
            <v>V17551-PIND-0106-01</v>
          </cell>
          <cell r="C105" t="str">
            <v>PROD/25-26/12807</v>
          </cell>
          <cell r="D105" t="str">
            <v/>
          </cell>
          <cell r="E105" t="str">
            <v>TJ/25-26/184-CS</v>
          </cell>
          <cell r="F105" t="str">
            <v>P5,P1</v>
          </cell>
          <cell r="G105">
            <v>0</v>
          </cell>
          <cell r="H105">
            <v>1</v>
          </cell>
          <cell r="I105" t="str">
            <v>Yes</v>
          </cell>
          <cell r="J105" t="str">
            <v/>
          </cell>
          <cell r="K105" t="str">
            <v>Yes</v>
          </cell>
          <cell r="L105" t="str">
            <v/>
          </cell>
          <cell r="M105" t="str">
            <v/>
          </cell>
          <cell r="N105" t="str">
            <v>Spool</v>
          </cell>
          <cell r="O105">
            <v>0</v>
          </cell>
          <cell r="P105">
            <v>0</v>
          </cell>
          <cell r="Q105" t="str">
            <v>CS</v>
          </cell>
          <cell r="R105">
            <v>1</v>
          </cell>
          <cell r="S105">
            <v>1</v>
          </cell>
          <cell r="T105">
            <v>91.651448607999995</v>
          </cell>
          <cell r="U105">
            <v>91.651448607999995</v>
          </cell>
        </row>
        <row r="106">
          <cell r="B106" t="str">
            <v>V17551-PIND-0107-01</v>
          </cell>
          <cell r="C106" t="str">
            <v>PROD/25-26/08082</v>
          </cell>
          <cell r="D106" t="str">
            <v/>
          </cell>
          <cell r="E106" t="str">
            <v>TJ/25-26/184-CS</v>
          </cell>
          <cell r="F106" t="str">
            <v>P5,P1</v>
          </cell>
          <cell r="G106">
            <v>0</v>
          </cell>
          <cell r="H106">
            <v>1</v>
          </cell>
          <cell r="I106" t="str">
            <v>Yes</v>
          </cell>
          <cell r="J106" t="str">
            <v/>
          </cell>
          <cell r="K106" t="str">
            <v>Yes</v>
          </cell>
          <cell r="L106" t="str">
            <v/>
          </cell>
          <cell r="M106" t="str">
            <v/>
          </cell>
          <cell r="N106" t="str">
            <v>Spool</v>
          </cell>
          <cell r="O106">
            <v>0</v>
          </cell>
          <cell r="P106">
            <v>0</v>
          </cell>
          <cell r="Q106" t="str">
            <v>CS</v>
          </cell>
          <cell r="R106">
            <v>1</v>
          </cell>
          <cell r="S106">
            <v>1</v>
          </cell>
          <cell r="T106">
            <v>148.184624208</v>
          </cell>
          <cell r="U106">
            <v>148.184624208</v>
          </cell>
        </row>
        <row r="107">
          <cell r="B107" t="str">
            <v>V17551-PIND-0108-01</v>
          </cell>
          <cell r="C107" t="str">
            <v>PROD/25-26/08083</v>
          </cell>
          <cell r="D107" t="str">
            <v>S-5147</v>
          </cell>
          <cell r="E107" t="str">
            <v>TJ/25-26/184-P11</v>
          </cell>
          <cell r="F107" t="str">
            <v>P5</v>
          </cell>
          <cell r="G107">
            <v>0</v>
          </cell>
          <cell r="H107">
            <v>1</v>
          </cell>
          <cell r="I107" t="str">
            <v>Yes</v>
          </cell>
          <cell r="J107" t="str">
            <v/>
          </cell>
          <cell r="K107" t="str">
            <v>Yes</v>
          </cell>
          <cell r="L107" t="str">
            <v/>
          </cell>
          <cell r="M107" t="str">
            <v/>
          </cell>
          <cell r="N107" t="str">
            <v>Spool</v>
          </cell>
          <cell r="O107">
            <v>0</v>
          </cell>
          <cell r="P107">
            <v>0</v>
          </cell>
          <cell r="Q107" t="str">
            <v>CS</v>
          </cell>
          <cell r="R107">
            <v>1</v>
          </cell>
          <cell r="S107">
            <v>1</v>
          </cell>
          <cell r="T107">
            <v>160.34672</v>
          </cell>
          <cell r="U107">
            <v>160.34672</v>
          </cell>
        </row>
        <row r="108">
          <cell r="B108" t="str">
            <v>V17551-PIND-0109-01</v>
          </cell>
          <cell r="C108" t="str">
            <v>PROD/25-26/08084</v>
          </cell>
          <cell r="D108" t="str">
            <v>S-5152</v>
          </cell>
          <cell r="E108" t="str">
            <v>TJ/25-26/184-CS</v>
          </cell>
          <cell r="F108" t="str">
            <v>P5</v>
          </cell>
          <cell r="G108">
            <v>0</v>
          </cell>
          <cell r="H108">
            <v>1</v>
          </cell>
          <cell r="I108" t="str">
            <v>Yes</v>
          </cell>
          <cell r="J108" t="str">
            <v/>
          </cell>
          <cell r="K108" t="str">
            <v>Yes</v>
          </cell>
          <cell r="L108" t="str">
            <v/>
          </cell>
          <cell r="M108" t="str">
            <v/>
          </cell>
          <cell r="N108" t="str">
            <v>Spool</v>
          </cell>
          <cell r="O108">
            <v>0</v>
          </cell>
          <cell r="P108">
            <v>0</v>
          </cell>
          <cell r="Q108" t="str">
            <v>CS</v>
          </cell>
          <cell r="R108">
            <v>1</v>
          </cell>
          <cell r="S108">
            <v>1</v>
          </cell>
          <cell r="T108">
            <v>563.86395000000005</v>
          </cell>
          <cell r="U108">
            <v>563.86395000000005</v>
          </cell>
        </row>
        <row r="109">
          <cell r="B109" t="str">
            <v>V17551-PIND-0110-01</v>
          </cell>
          <cell r="C109" t="str">
            <v>PROD/25-26/08112</v>
          </cell>
          <cell r="D109" t="str">
            <v/>
          </cell>
          <cell r="E109" t="str">
            <v>TJ/25-26/184-CS</v>
          </cell>
          <cell r="F109" t="str">
            <v>P5,P1</v>
          </cell>
          <cell r="G109">
            <v>0</v>
          </cell>
          <cell r="H109">
            <v>1</v>
          </cell>
          <cell r="I109" t="str">
            <v>Yes</v>
          </cell>
          <cell r="J109" t="str">
            <v/>
          </cell>
          <cell r="K109" t="str">
            <v>Yes</v>
          </cell>
          <cell r="L109" t="str">
            <v/>
          </cell>
          <cell r="M109" t="str">
            <v/>
          </cell>
          <cell r="N109" t="str">
            <v>Spool</v>
          </cell>
          <cell r="O109">
            <v>0</v>
          </cell>
          <cell r="P109">
            <v>0</v>
          </cell>
          <cell r="Q109" t="str">
            <v>CS</v>
          </cell>
          <cell r="R109">
            <v>1</v>
          </cell>
          <cell r="S109">
            <v>1</v>
          </cell>
          <cell r="T109">
            <v>299.02042</v>
          </cell>
          <cell r="U109">
            <v>299.02042</v>
          </cell>
        </row>
        <row r="110">
          <cell r="B110" t="str">
            <v>V17551-PIND-0111-01</v>
          </cell>
          <cell r="C110" t="str">
            <v>PROD/25-26/08113</v>
          </cell>
          <cell r="D110" t="str">
            <v/>
          </cell>
          <cell r="E110" t="str">
            <v>TJ/25-26/184-CS</v>
          </cell>
          <cell r="F110" t="str">
            <v>P5,P1</v>
          </cell>
          <cell r="G110">
            <v>0</v>
          </cell>
          <cell r="H110">
            <v>1</v>
          </cell>
          <cell r="I110" t="str">
            <v>Yes</v>
          </cell>
          <cell r="J110" t="str">
            <v/>
          </cell>
          <cell r="K110" t="str">
            <v>Yes</v>
          </cell>
          <cell r="L110" t="str">
            <v/>
          </cell>
          <cell r="M110" t="str">
            <v/>
          </cell>
          <cell r="N110" t="str">
            <v>Spool</v>
          </cell>
          <cell r="O110">
            <v>0</v>
          </cell>
          <cell r="P110">
            <v>0</v>
          </cell>
          <cell r="Q110" t="str">
            <v>CS</v>
          </cell>
          <cell r="R110">
            <v>1</v>
          </cell>
          <cell r="S110">
            <v>1</v>
          </cell>
          <cell r="T110">
            <v>521.77950589600005</v>
          </cell>
          <cell r="U110">
            <v>521.77950589600005</v>
          </cell>
        </row>
        <row r="111">
          <cell r="B111" t="str">
            <v>V17551-PIND-0112-01</v>
          </cell>
          <cell r="C111" t="str">
            <v>PROD/25-26/08085</v>
          </cell>
          <cell r="D111" t="str">
            <v>S-5154</v>
          </cell>
          <cell r="E111" t="str">
            <v>TJ/25-26/184-CS</v>
          </cell>
          <cell r="F111" t="str">
            <v>P5</v>
          </cell>
          <cell r="G111">
            <v>0</v>
          </cell>
          <cell r="H111">
            <v>1</v>
          </cell>
          <cell r="I111" t="str">
            <v>Yes</v>
          </cell>
          <cell r="J111" t="str">
            <v/>
          </cell>
          <cell r="K111" t="str">
            <v>Yes</v>
          </cell>
          <cell r="L111" t="str">
            <v/>
          </cell>
          <cell r="M111" t="str">
            <v/>
          </cell>
          <cell r="N111" t="str">
            <v>Spool</v>
          </cell>
          <cell r="O111">
            <v>0</v>
          </cell>
          <cell r="P111">
            <v>0</v>
          </cell>
          <cell r="Q111" t="str">
            <v>CS</v>
          </cell>
          <cell r="R111">
            <v>1</v>
          </cell>
          <cell r="S111">
            <v>1</v>
          </cell>
          <cell r="T111">
            <v>111.39212000000001</v>
          </cell>
          <cell r="U111">
            <v>111.39212000000001</v>
          </cell>
        </row>
        <row r="112">
          <cell r="B112" t="str">
            <v>V17551-PIND-0113-05</v>
          </cell>
          <cell r="C112" t="str">
            <v>PROD/25-26/08086</v>
          </cell>
          <cell r="D112" t="str">
            <v>S-5158</v>
          </cell>
          <cell r="E112" t="str">
            <v>TJ/25-26/184-CS</v>
          </cell>
          <cell r="F112" t="str">
            <v>P5</v>
          </cell>
          <cell r="G112">
            <v>0</v>
          </cell>
          <cell r="H112">
            <v>1</v>
          </cell>
          <cell r="I112" t="str">
            <v>Yes</v>
          </cell>
          <cell r="J112" t="str">
            <v/>
          </cell>
          <cell r="K112" t="str">
            <v>Yes</v>
          </cell>
          <cell r="L112" t="str">
            <v/>
          </cell>
          <cell r="M112" t="str">
            <v/>
          </cell>
          <cell r="N112" t="str">
            <v>Spool</v>
          </cell>
          <cell r="O112">
            <v>0</v>
          </cell>
          <cell r="P112">
            <v>0</v>
          </cell>
          <cell r="Q112" t="str">
            <v>CS</v>
          </cell>
          <cell r="R112">
            <v>1</v>
          </cell>
          <cell r="S112">
            <v>1</v>
          </cell>
          <cell r="T112">
            <v>99.918559999999999</v>
          </cell>
          <cell r="U112">
            <v>99.918559999999999</v>
          </cell>
        </row>
        <row r="113">
          <cell r="B113" t="str">
            <v>V17551-PIND-0114-09</v>
          </cell>
          <cell r="C113" t="str">
            <v>PROD/25-26/08087</v>
          </cell>
          <cell r="D113" t="str">
            <v>S-5162</v>
          </cell>
          <cell r="E113" t="str">
            <v>TJ/25-26/184-CS</v>
          </cell>
          <cell r="F113" t="str">
            <v>P5</v>
          </cell>
          <cell r="G113">
            <v>0</v>
          </cell>
          <cell r="H113">
            <v>1</v>
          </cell>
          <cell r="I113" t="str">
            <v>Yes</v>
          </cell>
          <cell r="J113" t="str">
            <v/>
          </cell>
          <cell r="K113" t="str">
            <v>Yes</v>
          </cell>
          <cell r="L113" t="str">
            <v/>
          </cell>
          <cell r="M113" t="str">
            <v/>
          </cell>
          <cell r="N113" t="str">
            <v>Spool</v>
          </cell>
          <cell r="O113">
            <v>0</v>
          </cell>
          <cell r="P113">
            <v>0</v>
          </cell>
          <cell r="Q113" t="str">
            <v>CS</v>
          </cell>
          <cell r="R113">
            <v>1</v>
          </cell>
          <cell r="S113">
            <v>1</v>
          </cell>
          <cell r="T113">
            <v>88.444999999999993</v>
          </cell>
          <cell r="U113">
            <v>88.444999999999993</v>
          </cell>
        </row>
        <row r="114">
          <cell r="B114" t="str">
            <v>V17551-PIND-0115-13</v>
          </cell>
          <cell r="C114" t="str">
            <v>PROD/25-26/08088</v>
          </cell>
          <cell r="D114" t="str">
            <v>S-5166</v>
          </cell>
          <cell r="E114" t="str">
            <v>TJ/25-26/184-CS</v>
          </cell>
          <cell r="F114" t="str">
            <v>P5</v>
          </cell>
          <cell r="G114">
            <v>0</v>
          </cell>
          <cell r="H114">
            <v>1</v>
          </cell>
          <cell r="I114" t="str">
            <v>Yes</v>
          </cell>
          <cell r="J114" t="str">
            <v/>
          </cell>
          <cell r="K114" t="str">
            <v>No</v>
          </cell>
          <cell r="L114" t="str">
            <v/>
          </cell>
          <cell r="M114" t="str">
            <v/>
          </cell>
          <cell r="N114" t="str">
            <v>Spool</v>
          </cell>
          <cell r="O114">
            <v>0</v>
          </cell>
          <cell r="P114">
            <v>0</v>
          </cell>
          <cell r="Q114" t="str">
            <v>CS</v>
          </cell>
          <cell r="R114">
            <v>1</v>
          </cell>
          <cell r="S114">
            <v>1</v>
          </cell>
          <cell r="T114">
            <v>76.971440000000001</v>
          </cell>
          <cell r="U114">
            <v>76.971440000000001</v>
          </cell>
        </row>
        <row r="115">
          <cell r="B115" t="str">
            <v>V17551-PIND-0116-17</v>
          </cell>
          <cell r="C115" t="str">
            <v>PROD/25-26/08089</v>
          </cell>
          <cell r="D115" t="str">
            <v>S-5170</v>
          </cell>
          <cell r="E115" t="str">
            <v>TJ/25-26/184-CS</v>
          </cell>
          <cell r="F115" t="str">
            <v>P5</v>
          </cell>
          <cell r="G115">
            <v>0</v>
          </cell>
          <cell r="H115">
            <v>1</v>
          </cell>
          <cell r="I115" t="str">
            <v>Yes</v>
          </cell>
          <cell r="J115" t="str">
            <v/>
          </cell>
          <cell r="K115" t="str">
            <v>Yes</v>
          </cell>
          <cell r="L115" t="str">
            <v/>
          </cell>
          <cell r="M115" t="str">
            <v/>
          </cell>
          <cell r="N115" t="str">
            <v>Spool</v>
          </cell>
          <cell r="O115">
            <v>0</v>
          </cell>
          <cell r="P115">
            <v>0</v>
          </cell>
          <cell r="Q115" t="str">
            <v>CS</v>
          </cell>
          <cell r="R115">
            <v>1</v>
          </cell>
          <cell r="S115">
            <v>1</v>
          </cell>
          <cell r="T115">
            <v>65.469620000000006</v>
          </cell>
          <cell r="U115">
            <v>65.469620000000006</v>
          </cell>
        </row>
        <row r="116">
          <cell r="B116" t="str">
            <v>V17551-PIND-0117-21</v>
          </cell>
          <cell r="C116" t="str">
            <v>PROD/25-26/08090</v>
          </cell>
          <cell r="D116" t="str">
            <v>S-5174</v>
          </cell>
          <cell r="E116" t="str">
            <v>TJ/25-26/184-CS</v>
          </cell>
          <cell r="F116" t="str">
            <v>P5</v>
          </cell>
          <cell r="G116">
            <v>0</v>
          </cell>
          <cell r="H116">
            <v>1</v>
          </cell>
          <cell r="I116" t="str">
            <v>Yes</v>
          </cell>
          <cell r="J116" t="str">
            <v/>
          </cell>
          <cell r="K116" t="str">
            <v>No</v>
          </cell>
          <cell r="L116" t="str">
            <v/>
          </cell>
          <cell r="M116" t="str">
            <v/>
          </cell>
          <cell r="N116" t="str">
            <v>Spool</v>
          </cell>
          <cell r="O116">
            <v>0</v>
          </cell>
          <cell r="P116">
            <v>0</v>
          </cell>
          <cell r="Q116" t="str">
            <v>CS</v>
          </cell>
          <cell r="R116">
            <v>1</v>
          </cell>
          <cell r="S116">
            <v>1</v>
          </cell>
          <cell r="T116">
            <v>53.967799999999997</v>
          </cell>
          <cell r="U116">
            <v>53.967799999999997</v>
          </cell>
        </row>
        <row r="117">
          <cell r="B117" t="str">
            <v>V17551-PIND-0118-01</v>
          </cell>
          <cell r="C117" t="str">
            <v>PROD/25-26/12808</v>
          </cell>
          <cell r="D117" t="str">
            <v>S-5178</v>
          </cell>
          <cell r="E117" t="str">
            <v>TJ/25-26/184-CS</v>
          </cell>
          <cell r="F117" t="str">
            <v>P5,P1</v>
          </cell>
          <cell r="G117">
            <v>0</v>
          </cell>
          <cell r="H117">
            <v>1</v>
          </cell>
          <cell r="I117" t="str">
            <v>Yes</v>
          </cell>
          <cell r="J117" t="str">
            <v/>
          </cell>
          <cell r="K117" t="str">
            <v>Yes</v>
          </cell>
          <cell r="L117" t="str">
            <v/>
          </cell>
          <cell r="M117" t="str">
            <v/>
          </cell>
          <cell r="N117" t="str">
            <v>Spool</v>
          </cell>
          <cell r="O117">
            <v>0</v>
          </cell>
          <cell r="P117">
            <v>0</v>
          </cell>
          <cell r="Q117" t="str">
            <v>CS</v>
          </cell>
          <cell r="R117">
            <v>1</v>
          </cell>
          <cell r="S117">
            <v>1</v>
          </cell>
          <cell r="T117">
            <v>1336.3220217451999</v>
          </cell>
          <cell r="U117">
            <v>1336.3220217451999</v>
          </cell>
        </row>
        <row r="118">
          <cell r="B118" t="str">
            <v>V17551-PIND-0119-01</v>
          </cell>
          <cell r="C118" t="str">
            <v>PROD/25-26/08424</v>
          </cell>
          <cell r="D118" t="str">
            <v/>
          </cell>
          <cell r="E118" t="str">
            <v>TJ/25-26/184-CS</v>
          </cell>
          <cell r="F118" t="str">
            <v>P5,P1</v>
          </cell>
          <cell r="G118">
            <v>0</v>
          </cell>
          <cell r="H118">
            <v>1</v>
          </cell>
          <cell r="I118" t="str">
            <v>Yes</v>
          </cell>
          <cell r="J118" t="str">
            <v/>
          </cell>
          <cell r="K118" t="str">
            <v>Yes</v>
          </cell>
          <cell r="L118" t="str">
            <v/>
          </cell>
          <cell r="M118" t="str">
            <v/>
          </cell>
          <cell r="N118" t="str">
            <v>Spool</v>
          </cell>
          <cell r="O118">
            <v>0</v>
          </cell>
          <cell r="P118">
            <v>0</v>
          </cell>
          <cell r="Q118" t="str">
            <v>CS</v>
          </cell>
          <cell r="R118">
            <v>1</v>
          </cell>
          <cell r="S118">
            <v>1</v>
          </cell>
          <cell r="T118">
            <v>883.13524215999996</v>
          </cell>
          <cell r="U118">
            <v>883.13524215999996</v>
          </cell>
        </row>
        <row r="119">
          <cell r="B119" t="str">
            <v>V17551-PIND-0120-01</v>
          </cell>
          <cell r="C119" t="str">
            <v>PROD/25-26/08091</v>
          </cell>
          <cell r="D119" t="str">
            <v/>
          </cell>
          <cell r="E119" t="str">
            <v>TJ/25-26/184-CS</v>
          </cell>
          <cell r="F119" t="str">
            <v>P5,P1</v>
          </cell>
          <cell r="G119">
            <v>0</v>
          </cell>
          <cell r="H119">
            <v>1</v>
          </cell>
          <cell r="I119" t="str">
            <v>Yes</v>
          </cell>
          <cell r="J119" t="str">
            <v/>
          </cell>
          <cell r="K119" t="str">
            <v>Yes</v>
          </cell>
          <cell r="L119" t="str">
            <v/>
          </cell>
          <cell r="M119" t="str">
            <v/>
          </cell>
          <cell r="N119" t="str">
            <v>Spool</v>
          </cell>
          <cell r="O119">
            <v>0</v>
          </cell>
          <cell r="P119">
            <v>0</v>
          </cell>
          <cell r="Q119" t="str">
            <v>CS</v>
          </cell>
          <cell r="R119">
            <v>1</v>
          </cell>
          <cell r="S119">
            <v>1</v>
          </cell>
          <cell r="T119">
            <v>389.57451060800003</v>
          </cell>
          <cell r="U119">
            <v>389.57451060800003</v>
          </cell>
        </row>
        <row r="120">
          <cell r="B120" t="str">
            <v>V17551-PIND-0121-01</v>
          </cell>
          <cell r="C120" t="str">
            <v>PROD/25-26/08661</v>
          </cell>
          <cell r="D120" t="str">
            <v/>
          </cell>
          <cell r="E120" t="str">
            <v>TJ/25-26/184-CS</v>
          </cell>
          <cell r="F120" t="str">
            <v>P5,P1</v>
          </cell>
          <cell r="G120">
            <v>0</v>
          </cell>
          <cell r="H120">
            <v>1</v>
          </cell>
          <cell r="I120" t="str">
            <v>Yes</v>
          </cell>
          <cell r="J120" t="str">
            <v/>
          </cell>
          <cell r="K120" t="str">
            <v>Yes</v>
          </cell>
          <cell r="L120" t="str">
            <v/>
          </cell>
          <cell r="M120" t="str">
            <v/>
          </cell>
          <cell r="N120" t="str">
            <v>Spool</v>
          </cell>
          <cell r="O120">
            <v>0</v>
          </cell>
          <cell r="P120">
            <v>0</v>
          </cell>
          <cell r="Q120" t="str">
            <v>CS</v>
          </cell>
          <cell r="R120">
            <v>1</v>
          </cell>
          <cell r="S120">
            <v>1</v>
          </cell>
          <cell r="T120">
            <v>1228.616812768</v>
          </cell>
          <cell r="U120">
            <v>1228.616812768</v>
          </cell>
        </row>
        <row r="121">
          <cell r="B121" t="str">
            <v>V17551-PIND-0122-01</v>
          </cell>
          <cell r="C121" t="str">
            <v>PROD/25-26/08093</v>
          </cell>
          <cell r="D121" t="str">
            <v/>
          </cell>
          <cell r="E121" t="str">
            <v>TJ/25-26/184-CS</v>
          </cell>
          <cell r="F121" t="str">
            <v>P5</v>
          </cell>
          <cell r="G121">
            <v>0</v>
          </cell>
          <cell r="H121">
            <v>1</v>
          </cell>
          <cell r="I121" t="str">
            <v>No</v>
          </cell>
          <cell r="J121" t="str">
            <v/>
          </cell>
          <cell r="K121" t="str">
            <v>Yes</v>
          </cell>
          <cell r="L121" t="str">
            <v/>
          </cell>
          <cell r="M121" t="str">
            <v/>
          </cell>
          <cell r="N121" t="str">
            <v>Spool</v>
          </cell>
          <cell r="O121">
            <v>0</v>
          </cell>
          <cell r="P121">
            <v>0</v>
          </cell>
          <cell r="Q121" t="str">
            <v>CS</v>
          </cell>
          <cell r="R121">
            <v>1</v>
          </cell>
          <cell r="S121">
            <v>1</v>
          </cell>
          <cell r="T121">
            <v>108.95910000000001</v>
          </cell>
          <cell r="U121">
            <v>108.95910000000001</v>
          </cell>
        </row>
        <row r="122">
          <cell r="B122" t="str">
            <v>V17551-PIND-0123-01</v>
          </cell>
          <cell r="C122" t="str">
            <v>PROD/25-26/08094</v>
          </cell>
          <cell r="D122" t="str">
            <v/>
          </cell>
          <cell r="E122" t="str">
            <v>TJ/25-26/184-CS</v>
          </cell>
          <cell r="F122" t="str">
            <v>P5</v>
          </cell>
          <cell r="G122">
            <v>0</v>
          </cell>
          <cell r="H122">
            <v>1</v>
          </cell>
          <cell r="I122" t="str">
            <v>Yes</v>
          </cell>
          <cell r="J122" t="str">
            <v/>
          </cell>
          <cell r="K122" t="str">
            <v>Yes</v>
          </cell>
          <cell r="L122" t="str">
            <v/>
          </cell>
          <cell r="M122" t="str">
            <v/>
          </cell>
          <cell r="N122" t="str">
            <v>Spool</v>
          </cell>
          <cell r="O122">
            <v>0</v>
          </cell>
          <cell r="P122">
            <v>0</v>
          </cell>
          <cell r="Q122" t="str">
            <v>CS</v>
          </cell>
          <cell r="R122">
            <v>1</v>
          </cell>
          <cell r="S122">
            <v>1</v>
          </cell>
          <cell r="T122">
            <v>875.00274000000002</v>
          </cell>
          <cell r="U122">
            <v>875.00274000000002</v>
          </cell>
        </row>
        <row r="123">
          <cell r="B123" t="str">
            <v>V17551-PIND-0124 -01</v>
          </cell>
          <cell r="C123" t="str">
            <v>PROD/25-26/08425</v>
          </cell>
          <cell r="D123" t="str">
            <v/>
          </cell>
          <cell r="E123" t="str">
            <v>TJ/25-26/184-CS</v>
          </cell>
          <cell r="F123" t="str">
            <v>P5,P1</v>
          </cell>
          <cell r="G123">
            <v>0</v>
          </cell>
          <cell r="H123">
            <v>1</v>
          </cell>
          <cell r="I123" t="str">
            <v>Yes</v>
          </cell>
          <cell r="J123" t="str">
            <v/>
          </cell>
          <cell r="K123" t="str">
            <v>Yes</v>
          </cell>
          <cell r="L123" t="str">
            <v/>
          </cell>
          <cell r="M123" t="str">
            <v/>
          </cell>
          <cell r="N123" t="str">
            <v>Spool</v>
          </cell>
          <cell r="O123">
            <v>0</v>
          </cell>
          <cell r="P123">
            <v>0</v>
          </cell>
          <cell r="Q123" t="str">
            <v>CS</v>
          </cell>
          <cell r="R123">
            <v>1</v>
          </cell>
          <cell r="S123">
            <v>1</v>
          </cell>
          <cell r="T123">
            <v>279.091880608</v>
          </cell>
          <cell r="U123">
            <v>279.091880608</v>
          </cell>
        </row>
        <row r="124">
          <cell r="B124" t="str">
            <v>V17551-PIND-0125-01</v>
          </cell>
          <cell r="C124" t="str">
            <v>PROD/25-26/08662</v>
          </cell>
          <cell r="D124" t="str">
            <v>S-5181</v>
          </cell>
          <cell r="E124" t="str">
            <v>TJ/25-26/184-CS</v>
          </cell>
          <cell r="F124" t="str">
            <v>P5</v>
          </cell>
          <cell r="G124">
            <v>0</v>
          </cell>
          <cell r="H124">
            <v>1</v>
          </cell>
          <cell r="I124" t="str">
            <v>Yes</v>
          </cell>
          <cell r="J124" t="str">
            <v/>
          </cell>
          <cell r="K124" t="str">
            <v>Yes</v>
          </cell>
          <cell r="L124" t="str">
            <v/>
          </cell>
          <cell r="M124" t="str">
            <v/>
          </cell>
          <cell r="N124" t="str">
            <v>Spool</v>
          </cell>
          <cell r="O124">
            <v>0</v>
          </cell>
          <cell r="P124">
            <v>0</v>
          </cell>
          <cell r="Q124" t="str">
            <v>CS</v>
          </cell>
          <cell r="R124">
            <v>1</v>
          </cell>
          <cell r="S124">
            <v>1</v>
          </cell>
          <cell r="T124">
            <v>2207.7473960799998</v>
          </cell>
          <cell r="U124">
            <v>2207.7473960799998</v>
          </cell>
        </row>
        <row r="125">
          <cell r="B125" t="str">
            <v>V17551-PIND-0126-01</v>
          </cell>
          <cell r="C125" t="str">
            <v>PROD/25-26/07452</v>
          </cell>
          <cell r="D125" t="str">
            <v>S-5184</v>
          </cell>
          <cell r="E125" t="str">
            <v>TJ/25-26/184-CS</v>
          </cell>
          <cell r="F125" t="str">
            <v>P1,P1</v>
          </cell>
          <cell r="G125">
            <v>0</v>
          </cell>
          <cell r="H125">
            <v>1</v>
          </cell>
          <cell r="I125" t="str">
            <v>Yes</v>
          </cell>
          <cell r="J125" t="str">
            <v/>
          </cell>
          <cell r="K125" t="str">
            <v>Yes</v>
          </cell>
          <cell r="L125" t="str">
            <v/>
          </cell>
          <cell r="M125" t="str">
            <v/>
          </cell>
          <cell r="N125" t="str">
            <v>Spool</v>
          </cell>
          <cell r="O125">
            <v>0</v>
          </cell>
          <cell r="P125">
            <v>0</v>
          </cell>
          <cell r="Q125" t="str">
            <v>CS</v>
          </cell>
          <cell r="R125">
            <v>1</v>
          </cell>
          <cell r="S125">
            <v>1</v>
          </cell>
          <cell r="T125">
            <v>595.08170060800001</v>
          </cell>
          <cell r="U125">
            <v>595.08170060800001</v>
          </cell>
        </row>
        <row r="126">
          <cell r="B126" t="str">
            <v>V17551-PIND-0127-01</v>
          </cell>
          <cell r="C126" t="str">
            <v>PROD/25-26/08096</v>
          </cell>
          <cell r="D126" t="str">
            <v/>
          </cell>
          <cell r="E126" t="str">
            <v>TJ/25-26/184-CS</v>
          </cell>
          <cell r="F126" t="str">
            <v>P5</v>
          </cell>
          <cell r="G126">
            <v>0</v>
          </cell>
          <cell r="H126">
            <v>1</v>
          </cell>
          <cell r="I126" t="str">
            <v>Yes</v>
          </cell>
          <cell r="J126" t="str">
            <v/>
          </cell>
          <cell r="K126" t="str">
            <v>Yes</v>
          </cell>
          <cell r="L126" t="str">
            <v/>
          </cell>
          <cell r="M126" t="str">
            <v/>
          </cell>
          <cell r="N126" t="str">
            <v>Spool</v>
          </cell>
          <cell r="O126">
            <v>0</v>
          </cell>
          <cell r="P126">
            <v>0</v>
          </cell>
          <cell r="Q126" t="str">
            <v>CS</v>
          </cell>
          <cell r="R126">
            <v>1</v>
          </cell>
          <cell r="S126">
            <v>1</v>
          </cell>
          <cell r="T126">
            <v>241.07176215999999</v>
          </cell>
          <cell r="U126">
            <v>241.07176215999999</v>
          </cell>
        </row>
        <row r="127">
          <cell r="B127" t="str">
            <v>V17551-PIND-0128-01</v>
          </cell>
          <cell r="C127" t="str">
            <v>PROD/25-26/08427</v>
          </cell>
          <cell r="D127" t="str">
            <v/>
          </cell>
          <cell r="E127" t="str">
            <v>TJ/25-26/184-CS</v>
          </cell>
          <cell r="F127" t="str">
            <v>P1</v>
          </cell>
          <cell r="G127">
            <v>0</v>
          </cell>
          <cell r="H127">
            <v>1</v>
          </cell>
          <cell r="I127" t="str">
            <v>Yes</v>
          </cell>
          <cell r="J127" t="str">
            <v/>
          </cell>
          <cell r="K127" t="str">
            <v>Yes</v>
          </cell>
          <cell r="L127" t="str">
            <v/>
          </cell>
          <cell r="M127" t="str">
            <v/>
          </cell>
          <cell r="N127" t="str">
            <v>Spool</v>
          </cell>
          <cell r="O127">
            <v>0</v>
          </cell>
          <cell r="P127">
            <v>0</v>
          </cell>
          <cell r="Q127" t="str">
            <v>CS</v>
          </cell>
          <cell r="R127">
            <v>1</v>
          </cell>
          <cell r="S127">
            <v>1</v>
          </cell>
          <cell r="T127">
            <v>387.53505000000001</v>
          </cell>
          <cell r="U127">
            <v>387.53505000000001</v>
          </cell>
        </row>
        <row r="128">
          <cell r="B128" t="str">
            <v>V17551-PIND-0129-01</v>
          </cell>
          <cell r="C128" t="str">
            <v>PROD/25-26/08428</v>
          </cell>
          <cell r="D128" t="str">
            <v>S-5195</v>
          </cell>
          <cell r="E128" t="str">
            <v>TJ/25-26/184-CS</v>
          </cell>
          <cell r="F128" t="str">
            <v>P5,P1</v>
          </cell>
          <cell r="G128">
            <v>0</v>
          </cell>
          <cell r="H128">
            <v>1</v>
          </cell>
          <cell r="I128" t="str">
            <v>Yes</v>
          </cell>
          <cell r="J128" t="str">
            <v/>
          </cell>
          <cell r="K128" t="str">
            <v>Yes</v>
          </cell>
          <cell r="L128" t="str">
            <v/>
          </cell>
          <cell r="M128" t="str">
            <v/>
          </cell>
          <cell r="N128" t="str">
            <v>Spool</v>
          </cell>
          <cell r="O128">
            <v>0</v>
          </cell>
          <cell r="P128">
            <v>0</v>
          </cell>
          <cell r="Q128" t="str">
            <v>CS</v>
          </cell>
          <cell r="R128">
            <v>1</v>
          </cell>
          <cell r="S128">
            <v>1</v>
          </cell>
          <cell r="T128">
            <v>1387.894227992</v>
          </cell>
          <cell r="U128">
            <v>1387.894227992</v>
          </cell>
        </row>
        <row r="129">
          <cell r="B129" t="str">
            <v>V17551-PIND-0130-01</v>
          </cell>
          <cell r="C129" t="str">
            <v>PROD/25-26/07455</v>
          </cell>
          <cell r="D129" t="str">
            <v/>
          </cell>
          <cell r="E129" t="str">
            <v>TJ/25-26/184-CS</v>
          </cell>
          <cell r="F129" t="str">
            <v>P5,P1</v>
          </cell>
          <cell r="G129">
            <v>0</v>
          </cell>
          <cell r="H129">
            <v>1</v>
          </cell>
          <cell r="I129" t="str">
            <v>Yes</v>
          </cell>
          <cell r="J129" t="str">
            <v/>
          </cell>
          <cell r="K129" t="str">
            <v>Yes</v>
          </cell>
          <cell r="L129" t="str">
            <v/>
          </cell>
          <cell r="M129" t="str">
            <v/>
          </cell>
          <cell r="N129" t="str">
            <v>Spool</v>
          </cell>
          <cell r="O129">
            <v>0</v>
          </cell>
          <cell r="P129">
            <v>0</v>
          </cell>
          <cell r="Q129" t="str">
            <v>CS</v>
          </cell>
          <cell r="R129">
            <v>1</v>
          </cell>
          <cell r="S129">
            <v>1</v>
          </cell>
          <cell r="T129">
            <v>736.90495060800004</v>
          </cell>
          <cell r="U129">
            <v>736.90495060800004</v>
          </cell>
        </row>
        <row r="130">
          <cell r="B130" t="str">
            <v>V17551-PIND-0131-01</v>
          </cell>
          <cell r="C130" t="str">
            <v>PROD/25-26/08665</v>
          </cell>
          <cell r="D130" t="str">
            <v>S-5200</v>
          </cell>
          <cell r="E130" t="str">
            <v>TJ/25-26/184-CS</v>
          </cell>
          <cell r="F130" t="str">
            <v>P5,P1</v>
          </cell>
          <cell r="G130">
            <v>0</v>
          </cell>
          <cell r="H130">
            <v>1</v>
          </cell>
          <cell r="I130" t="str">
            <v>Yes</v>
          </cell>
          <cell r="J130" t="str">
            <v/>
          </cell>
          <cell r="K130" t="str">
            <v>Yes</v>
          </cell>
          <cell r="L130" t="str">
            <v/>
          </cell>
          <cell r="M130" t="str">
            <v/>
          </cell>
          <cell r="N130" t="str">
            <v>Spool</v>
          </cell>
          <cell r="O130">
            <v>0</v>
          </cell>
          <cell r="P130">
            <v>0</v>
          </cell>
          <cell r="Q130" t="str">
            <v>CS</v>
          </cell>
          <cell r="R130">
            <v>1</v>
          </cell>
          <cell r="S130">
            <v>1</v>
          </cell>
          <cell r="T130">
            <v>1363.262391216</v>
          </cell>
          <cell r="U130">
            <v>1363.262391216</v>
          </cell>
        </row>
        <row r="131">
          <cell r="B131" t="str">
            <v>V17551-PIND-0132-01</v>
          </cell>
          <cell r="C131" t="str">
            <v>PROD/25-26/13262</v>
          </cell>
          <cell r="D131" t="str">
            <v>S-5203</v>
          </cell>
          <cell r="E131" t="str">
            <v>TJ/25-26/184-CS</v>
          </cell>
          <cell r="F131" t="str">
            <v>P5,P1</v>
          </cell>
          <cell r="G131">
            <v>0</v>
          </cell>
          <cell r="H131">
            <v>1</v>
          </cell>
          <cell r="I131" t="str">
            <v>Yes</v>
          </cell>
          <cell r="J131" t="str">
            <v/>
          </cell>
          <cell r="K131" t="str">
            <v>Yes</v>
          </cell>
          <cell r="L131" t="str">
            <v/>
          </cell>
          <cell r="M131" t="str">
            <v/>
          </cell>
          <cell r="N131" t="str">
            <v>Spool</v>
          </cell>
          <cell r="O131">
            <v>0</v>
          </cell>
          <cell r="P131">
            <v>0</v>
          </cell>
          <cell r="Q131" t="str">
            <v>CS</v>
          </cell>
          <cell r="R131">
            <v>1</v>
          </cell>
          <cell r="S131">
            <v>1</v>
          </cell>
          <cell r="T131">
            <v>241.10497659200001</v>
          </cell>
          <cell r="U131">
            <v>241.10497659200001</v>
          </cell>
        </row>
        <row r="132">
          <cell r="B132" t="str">
            <v>V17551-PIND-0133-01</v>
          </cell>
          <cell r="C132" t="str">
            <v>PROD/25-26/08430</v>
          </cell>
          <cell r="D132" t="str">
            <v/>
          </cell>
          <cell r="E132" t="str">
            <v>TJ/25-26/184-CS</v>
          </cell>
          <cell r="F132" t="str">
            <v>P5</v>
          </cell>
          <cell r="G132">
            <v>0</v>
          </cell>
          <cell r="H132">
            <v>1</v>
          </cell>
          <cell r="I132" t="str">
            <v>Yes</v>
          </cell>
          <cell r="J132" t="str">
            <v/>
          </cell>
          <cell r="K132" t="str">
            <v>Yes</v>
          </cell>
          <cell r="L132" t="str">
            <v/>
          </cell>
          <cell r="M132" t="str">
            <v/>
          </cell>
          <cell r="N132" t="str">
            <v>Spool</v>
          </cell>
          <cell r="O132">
            <v>0</v>
          </cell>
          <cell r="P132">
            <v>0</v>
          </cell>
          <cell r="Q132" t="str">
            <v>CS</v>
          </cell>
          <cell r="R132">
            <v>1</v>
          </cell>
          <cell r="S132">
            <v>1</v>
          </cell>
          <cell r="T132">
            <v>21.730170000000001</v>
          </cell>
          <cell r="U132">
            <v>21.730170000000001</v>
          </cell>
        </row>
        <row r="133">
          <cell r="B133" t="str">
            <v>V17551-PIND-0134-01</v>
          </cell>
          <cell r="C133" t="str">
            <v>PROD/25-26/12810</v>
          </cell>
          <cell r="D133" t="str">
            <v/>
          </cell>
          <cell r="E133" t="str">
            <v>TJ/25-26/184-CS</v>
          </cell>
          <cell r="F133" t="str">
            <v>P5,P1</v>
          </cell>
          <cell r="G133">
            <v>0</v>
          </cell>
          <cell r="H133">
            <v>1</v>
          </cell>
          <cell r="I133" t="str">
            <v>Yes</v>
          </cell>
          <cell r="J133" t="str">
            <v/>
          </cell>
          <cell r="K133" t="str">
            <v>Yes</v>
          </cell>
          <cell r="L133" t="str">
            <v/>
          </cell>
          <cell r="M133" t="str">
            <v/>
          </cell>
          <cell r="N133" t="str">
            <v>Spool</v>
          </cell>
          <cell r="O133">
            <v>0</v>
          </cell>
          <cell r="P133">
            <v>0</v>
          </cell>
          <cell r="Q133" t="str">
            <v>CS</v>
          </cell>
          <cell r="R133">
            <v>1</v>
          </cell>
          <cell r="S133">
            <v>1</v>
          </cell>
          <cell r="T133">
            <v>88.490600303999997</v>
          </cell>
          <cell r="U133">
            <v>88.490600303999997</v>
          </cell>
        </row>
        <row r="134">
          <cell r="B134" t="str">
            <v>V17551-PIND-0135-01</v>
          </cell>
          <cell r="C134" t="str">
            <v>PROD/25-26/12811</v>
          </cell>
          <cell r="D134" t="str">
            <v>S-5204</v>
          </cell>
          <cell r="E134" t="str">
            <v>TJ/25-26/184-CS</v>
          </cell>
          <cell r="F134" t="str">
            <v>P5,P1</v>
          </cell>
          <cell r="G134">
            <v>0</v>
          </cell>
          <cell r="H134">
            <v>1</v>
          </cell>
          <cell r="I134" t="str">
            <v>Yes</v>
          </cell>
          <cell r="J134" t="str">
            <v/>
          </cell>
          <cell r="K134" t="str">
            <v>Yes</v>
          </cell>
          <cell r="L134" t="str">
            <v/>
          </cell>
          <cell r="M134" t="str">
            <v/>
          </cell>
          <cell r="N134" t="str">
            <v>Spool</v>
          </cell>
          <cell r="O134">
            <v>0</v>
          </cell>
          <cell r="P134">
            <v>0</v>
          </cell>
          <cell r="Q134" t="str">
            <v>CS</v>
          </cell>
          <cell r="R134">
            <v>1</v>
          </cell>
          <cell r="S134">
            <v>1</v>
          </cell>
          <cell r="T134">
            <v>141.109685152</v>
          </cell>
          <cell r="U134">
            <v>141.109685152</v>
          </cell>
        </row>
        <row r="135">
          <cell r="B135" t="str">
            <v>V17551-PIND-0136-01</v>
          </cell>
          <cell r="C135" t="str">
            <v>PROD/25-26/13028</v>
          </cell>
          <cell r="D135" t="str">
            <v/>
          </cell>
          <cell r="E135" t="str">
            <v>TJ/25-26/184-P22</v>
          </cell>
          <cell r="F135" t="str">
            <v>P5,P1</v>
          </cell>
          <cell r="G135">
            <v>0</v>
          </cell>
          <cell r="H135">
            <v>1</v>
          </cell>
          <cell r="I135" t="str">
            <v>Yes</v>
          </cell>
          <cell r="J135" t="str">
            <v/>
          </cell>
          <cell r="K135" t="str">
            <v>Yes</v>
          </cell>
          <cell r="L135" t="str">
            <v/>
          </cell>
          <cell r="M135" t="str">
            <v/>
          </cell>
          <cell r="N135" t="str">
            <v>Spool</v>
          </cell>
          <cell r="O135">
            <v>0</v>
          </cell>
          <cell r="P135">
            <v>0</v>
          </cell>
          <cell r="Q135" t="str">
            <v>P22</v>
          </cell>
          <cell r="R135">
            <v>1</v>
          </cell>
          <cell r="S135">
            <v>1</v>
          </cell>
          <cell r="T135">
            <v>2901.0562586800002</v>
          </cell>
          <cell r="U135">
            <v>2901.0562586800002</v>
          </cell>
        </row>
        <row r="136">
          <cell r="B136" t="str">
            <v>V17551-PIND-0137-01</v>
          </cell>
          <cell r="C136" t="str">
            <v>PROD/25-26/12812</v>
          </cell>
          <cell r="D136" t="str">
            <v/>
          </cell>
          <cell r="E136" t="str">
            <v>TJ/25-26/184-P11</v>
          </cell>
          <cell r="F136" t="str">
            <v>P5,P1</v>
          </cell>
          <cell r="G136">
            <v>0</v>
          </cell>
          <cell r="H136">
            <v>1</v>
          </cell>
          <cell r="I136" t="str">
            <v>Yes</v>
          </cell>
          <cell r="J136" t="str">
            <v/>
          </cell>
          <cell r="K136" t="str">
            <v>Yes</v>
          </cell>
          <cell r="L136" t="str">
            <v/>
          </cell>
          <cell r="M136" t="str">
            <v/>
          </cell>
          <cell r="N136" t="str">
            <v>Spool</v>
          </cell>
          <cell r="O136">
            <v>0</v>
          </cell>
          <cell r="P136">
            <v>0</v>
          </cell>
          <cell r="Q136" t="str">
            <v>P11</v>
          </cell>
          <cell r="R136">
            <v>1</v>
          </cell>
          <cell r="S136">
            <v>1</v>
          </cell>
          <cell r="T136">
            <v>947.53204800000003</v>
          </cell>
          <cell r="U136">
            <v>947.53204800000003</v>
          </cell>
        </row>
        <row r="137">
          <cell r="B137" t="str">
            <v>V17551-PIND-0138-01</v>
          </cell>
          <cell r="C137" t="str">
            <v>PROD/25-26/12813</v>
          </cell>
          <cell r="D137" t="str">
            <v/>
          </cell>
          <cell r="E137" t="str">
            <v>TJ/25-26/184-P11</v>
          </cell>
          <cell r="F137" t="str">
            <v>P5,P1</v>
          </cell>
          <cell r="G137">
            <v>0</v>
          </cell>
          <cell r="H137">
            <v>1</v>
          </cell>
          <cell r="I137" t="str">
            <v>Yes</v>
          </cell>
          <cell r="J137" t="str">
            <v/>
          </cell>
          <cell r="K137" t="str">
            <v>Yes</v>
          </cell>
          <cell r="L137" t="str">
            <v/>
          </cell>
          <cell r="M137" t="str">
            <v/>
          </cell>
          <cell r="N137" t="str">
            <v>Spool</v>
          </cell>
          <cell r="O137">
            <v>0</v>
          </cell>
          <cell r="P137">
            <v>0</v>
          </cell>
          <cell r="Q137" t="str">
            <v>P11</v>
          </cell>
          <cell r="R137">
            <v>1</v>
          </cell>
          <cell r="S137">
            <v>1</v>
          </cell>
          <cell r="T137">
            <v>948.91023831999996</v>
          </cell>
          <cell r="U137">
            <v>948.91023831999996</v>
          </cell>
        </row>
        <row r="138">
          <cell r="B138" t="str">
            <v>V17551-PIND-0139-01</v>
          </cell>
          <cell r="C138" t="str">
            <v>PROD/25-26/07458</v>
          </cell>
          <cell r="D138" t="str">
            <v>S-5207</v>
          </cell>
          <cell r="E138" t="str">
            <v>TJ/25-26/184-P22</v>
          </cell>
          <cell r="F138" t="str">
            <v>P5</v>
          </cell>
          <cell r="G138">
            <v>0</v>
          </cell>
          <cell r="H138">
            <v>1</v>
          </cell>
          <cell r="I138" t="str">
            <v>Yes</v>
          </cell>
          <cell r="J138" t="str">
            <v/>
          </cell>
          <cell r="K138" t="str">
            <v>Yes</v>
          </cell>
          <cell r="L138" t="str">
            <v/>
          </cell>
          <cell r="M138" t="str">
            <v/>
          </cell>
          <cell r="N138" t="str">
            <v>Spool</v>
          </cell>
          <cell r="O138">
            <v>0</v>
          </cell>
          <cell r="P138">
            <v>0</v>
          </cell>
          <cell r="Q138" t="str">
            <v>P22</v>
          </cell>
          <cell r="R138">
            <v>1</v>
          </cell>
          <cell r="S138">
            <v>1</v>
          </cell>
          <cell r="T138">
            <v>2149.79</v>
          </cell>
          <cell r="U138">
            <v>2149.79</v>
          </cell>
        </row>
        <row r="139">
          <cell r="B139" t="str">
            <v>V17551-PIND-0140-01</v>
          </cell>
          <cell r="C139" t="str">
            <v>PROD/25-26/06823</v>
          </cell>
          <cell r="D139" t="str">
            <v/>
          </cell>
          <cell r="E139" t="str">
            <v>TJ/25-26/184-P22</v>
          </cell>
          <cell r="F139" t="str">
            <v>P5</v>
          </cell>
          <cell r="G139">
            <v>0</v>
          </cell>
          <cell r="H139">
            <v>1</v>
          </cell>
          <cell r="I139" t="str">
            <v>Yes</v>
          </cell>
          <cell r="J139" t="str">
            <v/>
          </cell>
          <cell r="K139" t="str">
            <v>Yes</v>
          </cell>
          <cell r="L139" t="str">
            <v/>
          </cell>
          <cell r="M139" t="str">
            <v/>
          </cell>
          <cell r="N139" t="str">
            <v>Spool</v>
          </cell>
          <cell r="O139">
            <v>0</v>
          </cell>
          <cell r="P139">
            <v>0</v>
          </cell>
          <cell r="Q139" t="str">
            <v>P22</v>
          </cell>
          <cell r="R139">
            <v>1</v>
          </cell>
          <cell r="S139">
            <v>1</v>
          </cell>
          <cell r="T139">
            <v>3290.14</v>
          </cell>
          <cell r="U139">
            <v>3290.14</v>
          </cell>
        </row>
        <row r="140">
          <cell r="B140" t="str">
            <v>V17551-PIND-0141-01</v>
          </cell>
          <cell r="C140" t="str">
            <v>PROD/25-26/13027</v>
          </cell>
          <cell r="D140" t="str">
            <v/>
          </cell>
          <cell r="E140" t="str">
            <v>TJ/25-26/184-P22</v>
          </cell>
          <cell r="F140" t="str">
            <v>P5,P1</v>
          </cell>
          <cell r="G140">
            <v>0</v>
          </cell>
          <cell r="H140">
            <v>1</v>
          </cell>
          <cell r="I140" t="str">
            <v>Yes</v>
          </cell>
          <cell r="J140" t="str">
            <v/>
          </cell>
          <cell r="K140" t="str">
            <v>Yes</v>
          </cell>
          <cell r="L140" t="str">
            <v/>
          </cell>
          <cell r="M140" t="str">
            <v/>
          </cell>
          <cell r="N140" t="str">
            <v>Spool</v>
          </cell>
          <cell r="O140">
            <v>0</v>
          </cell>
          <cell r="P140">
            <v>0</v>
          </cell>
          <cell r="Q140" t="str">
            <v>P91</v>
          </cell>
          <cell r="R140">
            <v>1</v>
          </cell>
          <cell r="S140">
            <v>1</v>
          </cell>
          <cell r="T140">
            <v>5237.4695439039997</v>
          </cell>
          <cell r="U140">
            <v>5237.4695439039997</v>
          </cell>
        </row>
        <row r="141">
          <cell r="B141" t="str">
            <v>V17551-PIND-0142-01</v>
          </cell>
          <cell r="C141" t="str">
            <v>PROD/25-26/12817</v>
          </cell>
          <cell r="D141" t="str">
            <v/>
          </cell>
          <cell r="E141" t="str">
            <v>TJ/25-26/184-P22</v>
          </cell>
          <cell r="F141" t="str">
            <v>P5,P1</v>
          </cell>
          <cell r="G141">
            <v>0</v>
          </cell>
          <cell r="H141">
            <v>1</v>
          </cell>
          <cell r="I141" t="str">
            <v>Yes</v>
          </cell>
          <cell r="J141" t="str">
            <v/>
          </cell>
          <cell r="K141" t="str">
            <v>Yes</v>
          </cell>
          <cell r="L141" t="str">
            <v/>
          </cell>
          <cell r="M141" t="str">
            <v/>
          </cell>
          <cell r="N141" t="str">
            <v>Spool</v>
          </cell>
          <cell r="O141">
            <v>0</v>
          </cell>
          <cell r="P141">
            <v>0</v>
          </cell>
          <cell r="Q141" t="str">
            <v>P22</v>
          </cell>
          <cell r="R141">
            <v>1</v>
          </cell>
          <cell r="S141">
            <v>1</v>
          </cell>
          <cell r="T141">
            <v>728.08150022400002</v>
          </cell>
          <cell r="U141">
            <v>728.08150022400002</v>
          </cell>
        </row>
        <row r="142">
          <cell r="B142" t="str">
            <v>V17551-PIND-0143-01</v>
          </cell>
          <cell r="C142" t="str">
            <v>PROD/25-26/12818</v>
          </cell>
          <cell r="D142" t="str">
            <v/>
          </cell>
          <cell r="E142" t="str">
            <v>TJ/25-26/184-CS</v>
          </cell>
          <cell r="F142" t="str">
            <v>P1,P1</v>
          </cell>
          <cell r="G142">
            <v>0</v>
          </cell>
          <cell r="H142">
            <v>1</v>
          </cell>
          <cell r="I142" t="str">
            <v>Yes</v>
          </cell>
          <cell r="J142" t="str">
            <v/>
          </cell>
          <cell r="K142" t="str">
            <v>No</v>
          </cell>
          <cell r="L142" t="str">
            <v/>
          </cell>
          <cell r="M142" t="str">
            <v/>
          </cell>
          <cell r="N142" t="str">
            <v>Spool</v>
          </cell>
          <cell r="O142">
            <v>0</v>
          </cell>
          <cell r="P142">
            <v>0</v>
          </cell>
          <cell r="Q142" t="str">
            <v>CS</v>
          </cell>
          <cell r="R142">
            <v>1</v>
          </cell>
          <cell r="S142">
            <v>1</v>
          </cell>
          <cell r="T142">
            <v>409.10933811199999</v>
          </cell>
          <cell r="U142">
            <v>409.10933811199999</v>
          </cell>
        </row>
        <row r="143">
          <cell r="B143" t="str">
            <v>V17551-PIND-0144-01</v>
          </cell>
          <cell r="C143" t="str">
            <v>PROD/25-26/06647</v>
          </cell>
          <cell r="D143" t="str">
            <v/>
          </cell>
          <cell r="E143" t="str">
            <v>TJ/25-26/184-CS</v>
          </cell>
          <cell r="F143" t="str">
            <v>P1</v>
          </cell>
          <cell r="G143">
            <v>0</v>
          </cell>
          <cell r="H143">
            <v>1</v>
          </cell>
          <cell r="I143" t="str">
            <v>Yes</v>
          </cell>
          <cell r="J143" t="str">
            <v/>
          </cell>
          <cell r="K143" t="str">
            <v>Yes</v>
          </cell>
          <cell r="L143" t="str">
            <v/>
          </cell>
          <cell r="M143" t="str">
            <v/>
          </cell>
          <cell r="N143" t="str">
            <v>Spool</v>
          </cell>
          <cell r="O143">
            <v>0</v>
          </cell>
          <cell r="P143">
            <v>0</v>
          </cell>
          <cell r="Q143" t="str">
            <v>CS</v>
          </cell>
          <cell r="R143">
            <v>1</v>
          </cell>
          <cell r="S143">
            <v>1</v>
          </cell>
          <cell r="T143">
            <v>56.857039999999998</v>
          </cell>
          <cell r="U143">
            <v>56.857039999999998</v>
          </cell>
        </row>
        <row r="144">
          <cell r="B144" t="str">
            <v>V17551-PIND-0145-01</v>
          </cell>
          <cell r="C144" t="str">
            <v>PROD/25-26/12819</v>
          </cell>
          <cell r="D144" t="str">
            <v/>
          </cell>
          <cell r="E144" t="str">
            <v>TJ/25-26/184-CS</v>
          </cell>
          <cell r="F144" t="str">
            <v>P1,P1</v>
          </cell>
          <cell r="G144">
            <v>0</v>
          </cell>
          <cell r="H144">
            <v>1</v>
          </cell>
          <cell r="I144" t="str">
            <v>Yes</v>
          </cell>
          <cell r="J144" t="str">
            <v/>
          </cell>
          <cell r="K144" t="str">
            <v>Yes</v>
          </cell>
          <cell r="L144" t="str">
            <v/>
          </cell>
          <cell r="M144" t="str">
            <v/>
          </cell>
          <cell r="N144" t="str">
            <v>Spool</v>
          </cell>
          <cell r="O144">
            <v>0</v>
          </cell>
          <cell r="P144">
            <v>0</v>
          </cell>
          <cell r="Q144" t="str">
            <v>CS</v>
          </cell>
          <cell r="R144">
            <v>1</v>
          </cell>
          <cell r="S144">
            <v>1</v>
          </cell>
          <cell r="T144">
            <v>144.45895999999999</v>
          </cell>
          <cell r="U144">
            <v>144.45895999999999</v>
          </cell>
        </row>
        <row r="145">
          <cell r="B145" t="str">
            <v>V17551-PIND-0146-01</v>
          </cell>
          <cell r="C145" t="str">
            <v>PROD/25-26/08433</v>
          </cell>
          <cell r="D145" t="str">
            <v/>
          </cell>
          <cell r="E145" t="str">
            <v>TJ/25-26/184-CS</v>
          </cell>
          <cell r="F145" t="str">
            <v>P1</v>
          </cell>
          <cell r="G145">
            <v>0</v>
          </cell>
          <cell r="H145">
            <v>1</v>
          </cell>
          <cell r="I145" t="str">
            <v>Yes</v>
          </cell>
          <cell r="J145" t="str">
            <v/>
          </cell>
          <cell r="K145" t="str">
            <v>No</v>
          </cell>
          <cell r="L145" t="str">
            <v/>
          </cell>
          <cell r="M145" t="str">
            <v/>
          </cell>
          <cell r="N145" t="str">
            <v>Spool</v>
          </cell>
          <cell r="O145">
            <v>0</v>
          </cell>
          <cell r="P145">
            <v>0</v>
          </cell>
          <cell r="Q145" t="str">
            <v>CS</v>
          </cell>
          <cell r="R145">
            <v>1</v>
          </cell>
          <cell r="S145">
            <v>1</v>
          </cell>
          <cell r="T145">
            <v>170.25229999999999</v>
          </cell>
          <cell r="U145">
            <v>170.25229999999999</v>
          </cell>
        </row>
        <row r="146">
          <cell r="B146" t="str">
            <v>V17551-PIND-0147-08</v>
          </cell>
          <cell r="C146" t="str">
            <v>PROD/25-26/07460</v>
          </cell>
          <cell r="D146" t="str">
            <v>S-5221</v>
          </cell>
          <cell r="E146" t="str">
            <v>TJ/25-26/184-CS</v>
          </cell>
          <cell r="F146" t="str">
            <v>P5</v>
          </cell>
          <cell r="G146">
            <v>0</v>
          </cell>
          <cell r="H146">
            <v>1</v>
          </cell>
          <cell r="I146" t="str">
            <v>Yes</v>
          </cell>
          <cell r="J146" t="str">
            <v/>
          </cell>
          <cell r="K146" t="str">
            <v>Yes</v>
          </cell>
          <cell r="L146" t="str">
            <v/>
          </cell>
          <cell r="M146" t="str">
            <v/>
          </cell>
          <cell r="N146" t="str">
            <v>Spool</v>
          </cell>
          <cell r="O146">
            <v>0</v>
          </cell>
          <cell r="P146">
            <v>0</v>
          </cell>
          <cell r="Q146" t="str">
            <v>CS</v>
          </cell>
          <cell r="R146">
            <v>1</v>
          </cell>
          <cell r="S146">
            <v>1</v>
          </cell>
          <cell r="T146">
            <v>23.0565</v>
          </cell>
          <cell r="U146">
            <v>23.0565</v>
          </cell>
        </row>
        <row r="147">
          <cell r="B147" t="str">
            <v>V17551-PIND-0148-01</v>
          </cell>
          <cell r="C147" t="str">
            <v>PROD/25-26/08435</v>
          </cell>
          <cell r="D147" t="str">
            <v/>
          </cell>
          <cell r="E147" t="str">
            <v>TJ/25-26/184-CS</v>
          </cell>
          <cell r="F147" t="str">
            <v>P5,P1</v>
          </cell>
          <cell r="G147">
            <v>0</v>
          </cell>
          <cell r="H147">
            <v>1</v>
          </cell>
          <cell r="I147" t="str">
            <v>Yes</v>
          </cell>
          <cell r="J147" t="str">
            <v/>
          </cell>
          <cell r="K147" t="str">
            <v>Yes</v>
          </cell>
          <cell r="L147" t="str">
            <v/>
          </cell>
          <cell r="M147" t="str">
            <v/>
          </cell>
          <cell r="N147" t="str">
            <v>Spool</v>
          </cell>
          <cell r="O147">
            <v>0</v>
          </cell>
          <cell r="P147">
            <v>0</v>
          </cell>
          <cell r="Q147" t="str">
            <v>CS</v>
          </cell>
          <cell r="R147">
            <v>1</v>
          </cell>
          <cell r="S147">
            <v>1</v>
          </cell>
          <cell r="T147">
            <v>87.189136591999997</v>
          </cell>
          <cell r="U147">
            <v>87.189136591999997</v>
          </cell>
        </row>
        <row r="148">
          <cell r="B148" t="str">
            <v>V17551-PIND-0149-01</v>
          </cell>
          <cell r="C148" t="str">
            <v>PROD/25-26/08436</v>
          </cell>
          <cell r="D148" t="str">
            <v/>
          </cell>
          <cell r="E148" t="str">
            <v>TJ/25-26/184-CS</v>
          </cell>
          <cell r="F148" t="str">
            <v>P5,P1</v>
          </cell>
          <cell r="G148">
            <v>0</v>
          </cell>
          <cell r="H148">
            <v>1</v>
          </cell>
          <cell r="I148" t="str">
            <v>Yes</v>
          </cell>
          <cell r="J148" t="str">
            <v/>
          </cell>
          <cell r="K148" t="str">
            <v>Yes</v>
          </cell>
          <cell r="L148" t="str">
            <v/>
          </cell>
          <cell r="M148" t="str">
            <v/>
          </cell>
          <cell r="N148" t="str">
            <v>Spool</v>
          </cell>
          <cell r="O148">
            <v>0</v>
          </cell>
          <cell r="P148">
            <v>0</v>
          </cell>
          <cell r="Q148" t="str">
            <v>CS</v>
          </cell>
          <cell r="R148">
            <v>1</v>
          </cell>
          <cell r="S148">
            <v>1</v>
          </cell>
          <cell r="T148">
            <v>86.131666592000002</v>
          </cell>
          <cell r="U148">
            <v>86.131666592000002</v>
          </cell>
        </row>
        <row r="149">
          <cell r="B149" t="str">
            <v>V17551-PIND-0150-01</v>
          </cell>
          <cell r="C149" t="str">
            <v>PROD/25-26/13716</v>
          </cell>
          <cell r="D149" t="str">
            <v/>
          </cell>
          <cell r="E149" t="str">
            <v>TJ/25-26/184-CS</v>
          </cell>
          <cell r="F149" t="str">
            <v>P5,P1</v>
          </cell>
          <cell r="G149">
            <v>0</v>
          </cell>
          <cell r="H149">
            <v>1</v>
          </cell>
          <cell r="I149" t="str">
            <v>Yes</v>
          </cell>
          <cell r="J149" t="str">
            <v/>
          </cell>
          <cell r="K149" t="str">
            <v>Yes</v>
          </cell>
          <cell r="L149" t="str">
            <v/>
          </cell>
          <cell r="M149" t="str">
            <v/>
          </cell>
          <cell r="N149" t="str">
            <v>Spool</v>
          </cell>
          <cell r="O149">
            <v>0</v>
          </cell>
          <cell r="P149">
            <v>0</v>
          </cell>
          <cell r="Q149" t="str">
            <v>CS</v>
          </cell>
          <cell r="R149">
            <v>1</v>
          </cell>
          <cell r="S149">
            <v>1</v>
          </cell>
          <cell r="T149">
            <v>147.325643184</v>
          </cell>
          <cell r="U149">
            <v>147.325643184</v>
          </cell>
        </row>
        <row r="150">
          <cell r="B150" t="str">
            <v>V17551-PIND-0151-01</v>
          </cell>
          <cell r="C150" t="str">
            <v>PROD/25-26/13266</v>
          </cell>
          <cell r="D150" t="str">
            <v/>
          </cell>
          <cell r="E150" t="str">
            <v>TJ/25-26/184-CS</v>
          </cell>
          <cell r="F150" t="str">
            <v>P5,P1</v>
          </cell>
          <cell r="G150">
            <v>0</v>
          </cell>
          <cell r="H150">
            <v>1</v>
          </cell>
          <cell r="I150" t="str">
            <v>Yes</v>
          </cell>
          <cell r="J150" t="str">
            <v/>
          </cell>
          <cell r="K150" t="str">
            <v>Yes</v>
          </cell>
          <cell r="L150" t="str">
            <v/>
          </cell>
          <cell r="M150" t="str">
            <v/>
          </cell>
          <cell r="N150" t="str">
            <v>Spool</v>
          </cell>
          <cell r="O150">
            <v>0</v>
          </cell>
          <cell r="P150">
            <v>0</v>
          </cell>
          <cell r="Q150" t="str">
            <v>CS</v>
          </cell>
          <cell r="R150">
            <v>1</v>
          </cell>
          <cell r="S150">
            <v>1</v>
          </cell>
          <cell r="T150">
            <v>382.40540659200002</v>
          </cell>
          <cell r="U150">
            <v>382.40540659200002</v>
          </cell>
        </row>
        <row r="151">
          <cell r="B151" t="str">
            <v>V17551-PIND-0152-01</v>
          </cell>
          <cell r="C151" t="str">
            <v>PROD/25-26/06648</v>
          </cell>
          <cell r="D151" t="str">
            <v/>
          </cell>
          <cell r="E151" t="str">
            <v>TJ/25-26/184-CS</v>
          </cell>
          <cell r="F151" t="str">
            <v>P5</v>
          </cell>
          <cell r="G151">
            <v>0</v>
          </cell>
          <cell r="H151">
            <v>1</v>
          </cell>
          <cell r="I151" t="str">
            <v>Yes</v>
          </cell>
          <cell r="J151" t="str">
            <v/>
          </cell>
          <cell r="K151" t="str">
            <v>No</v>
          </cell>
          <cell r="L151" t="str">
            <v/>
          </cell>
          <cell r="M151" t="str">
            <v/>
          </cell>
          <cell r="N151" t="str">
            <v>Spool</v>
          </cell>
          <cell r="O151">
            <v>0</v>
          </cell>
          <cell r="P151">
            <v>0</v>
          </cell>
          <cell r="Q151" t="str">
            <v>CS</v>
          </cell>
          <cell r="R151">
            <v>1</v>
          </cell>
          <cell r="S151">
            <v>1</v>
          </cell>
          <cell r="T151">
            <v>361.21645000000001</v>
          </cell>
          <cell r="U151">
            <v>361.21645000000001</v>
          </cell>
        </row>
        <row r="152">
          <cell r="B152" t="str">
            <v>V17551-PIND-0153-01</v>
          </cell>
          <cell r="C152" t="str">
            <v>PROD/25-26/14061</v>
          </cell>
          <cell r="D152" t="str">
            <v>S-5229</v>
          </cell>
          <cell r="E152" t="str">
            <v>TJ/25-26/184-CS</v>
          </cell>
          <cell r="F152" t="str">
            <v>P5,P1</v>
          </cell>
          <cell r="G152">
            <v>0</v>
          </cell>
          <cell r="H152">
            <v>1</v>
          </cell>
          <cell r="I152" t="str">
            <v>Yes</v>
          </cell>
          <cell r="J152" t="str">
            <v/>
          </cell>
          <cell r="K152" t="str">
            <v>Yes</v>
          </cell>
          <cell r="L152" t="str">
            <v/>
          </cell>
          <cell r="M152" t="str">
            <v/>
          </cell>
          <cell r="N152" t="str">
            <v>Spool</v>
          </cell>
          <cell r="O152">
            <v>0</v>
          </cell>
          <cell r="P152">
            <v>0</v>
          </cell>
          <cell r="Q152" t="str">
            <v>SS</v>
          </cell>
          <cell r="R152">
            <v>1</v>
          </cell>
          <cell r="S152">
            <v>1</v>
          </cell>
          <cell r="T152">
            <v>147.93172000000001</v>
          </cell>
          <cell r="U152">
            <v>147.93172000000001</v>
          </cell>
        </row>
        <row r="153">
          <cell r="B153" t="str">
            <v>V17551-PIND-0154-01</v>
          </cell>
          <cell r="C153" t="str">
            <v>PROD/25-26/14062</v>
          </cell>
          <cell r="D153" t="str">
            <v>S-5231</v>
          </cell>
          <cell r="E153" t="str">
            <v>TJ/25-26/184-P11</v>
          </cell>
          <cell r="F153" t="str">
            <v>P5,P1</v>
          </cell>
          <cell r="G153">
            <v>0</v>
          </cell>
          <cell r="H153">
            <v>1</v>
          </cell>
          <cell r="I153" t="str">
            <v>Yes</v>
          </cell>
          <cell r="J153" t="str">
            <v/>
          </cell>
          <cell r="K153" t="str">
            <v>Yes</v>
          </cell>
          <cell r="L153" t="str">
            <v/>
          </cell>
          <cell r="M153" t="str">
            <v/>
          </cell>
          <cell r="N153" t="str">
            <v>Spool</v>
          </cell>
          <cell r="O153">
            <v>0</v>
          </cell>
          <cell r="P153">
            <v>0</v>
          </cell>
          <cell r="Q153" t="str">
            <v>CS</v>
          </cell>
          <cell r="R153">
            <v>1</v>
          </cell>
          <cell r="S153">
            <v>1</v>
          </cell>
          <cell r="T153">
            <v>1625.5463299999999</v>
          </cell>
          <cell r="U153">
            <v>1625.5463299999999</v>
          </cell>
        </row>
        <row r="154">
          <cell r="B154" t="str">
            <v>V17551-PIND-0155-01</v>
          </cell>
          <cell r="C154" t="str">
            <v>PROD/25-26/12821</v>
          </cell>
          <cell r="D154" t="str">
            <v/>
          </cell>
          <cell r="E154" t="str">
            <v>TJ/25-26/184-CS</v>
          </cell>
          <cell r="F154" t="str">
            <v>P5,P1</v>
          </cell>
          <cell r="G154">
            <v>0</v>
          </cell>
          <cell r="H154">
            <v>1</v>
          </cell>
          <cell r="I154" t="str">
            <v>Yes</v>
          </cell>
          <cell r="J154" t="str">
            <v/>
          </cell>
          <cell r="K154" t="str">
            <v>Yes</v>
          </cell>
          <cell r="L154" t="str">
            <v/>
          </cell>
          <cell r="M154" t="str">
            <v/>
          </cell>
          <cell r="N154" t="str">
            <v>Spool</v>
          </cell>
          <cell r="O154">
            <v>0</v>
          </cell>
          <cell r="P154">
            <v>0</v>
          </cell>
          <cell r="Q154" t="str">
            <v>CS</v>
          </cell>
          <cell r="R154">
            <v>1</v>
          </cell>
          <cell r="S154">
            <v>1</v>
          </cell>
          <cell r="T154">
            <v>235.058826592</v>
          </cell>
          <cell r="U154">
            <v>235.058826592</v>
          </cell>
        </row>
        <row r="155">
          <cell r="B155" t="str">
            <v>V17551-PIND-0156-01</v>
          </cell>
          <cell r="C155" t="str">
            <v>PROD/25-26/08437</v>
          </cell>
          <cell r="D155" t="str">
            <v>S-5232</v>
          </cell>
          <cell r="E155" t="str">
            <v>TJ/25-26/184-CS</v>
          </cell>
          <cell r="F155" t="str">
            <v>P5,P1</v>
          </cell>
          <cell r="G155">
            <v>0</v>
          </cell>
          <cell r="H155">
            <v>1</v>
          </cell>
          <cell r="I155" t="str">
            <v>Yes</v>
          </cell>
          <cell r="J155" t="str">
            <v/>
          </cell>
          <cell r="K155" t="str">
            <v>Yes</v>
          </cell>
          <cell r="L155" t="str">
            <v/>
          </cell>
          <cell r="M155" t="str">
            <v/>
          </cell>
          <cell r="N155" t="str">
            <v>Spool</v>
          </cell>
          <cell r="O155">
            <v>0</v>
          </cell>
          <cell r="P155">
            <v>0</v>
          </cell>
          <cell r="Q155" t="str">
            <v>CS</v>
          </cell>
          <cell r="R155">
            <v>1</v>
          </cell>
          <cell r="S155">
            <v>1</v>
          </cell>
          <cell r="T155">
            <v>673.28569273599999</v>
          </cell>
          <cell r="U155">
            <v>673.28569273599999</v>
          </cell>
        </row>
        <row r="156">
          <cell r="B156" t="str">
            <v>V17551-PIND-0157-01</v>
          </cell>
          <cell r="C156" t="str">
            <v>PROD/25-26/08438</v>
          </cell>
          <cell r="D156" t="str">
            <v/>
          </cell>
          <cell r="E156" t="str">
            <v>TJ/25-26/184-CS</v>
          </cell>
          <cell r="F156" t="str">
            <v>P5</v>
          </cell>
          <cell r="G156">
            <v>0</v>
          </cell>
          <cell r="H156">
            <v>1</v>
          </cell>
          <cell r="I156" t="str">
            <v>Yes</v>
          </cell>
          <cell r="J156" t="str">
            <v/>
          </cell>
          <cell r="K156" t="str">
            <v>Yes</v>
          </cell>
          <cell r="L156" t="str">
            <v/>
          </cell>
          <cell r="M156" t="str">
            <v/>
          </cell>
          <cell r="N156" t="str">
            <v>Spool</v>
          </cell>
          <cell r="O156">
            <v>0</v>
          </cell>
          <cell r="P156">
            <v>0</v>
          </cell>
          <cell r="Q156" t="str">
            <v>CS</v>
          </cell>
          <cell r="R156">
            <v>1</v>
          </cell>
          <cell r="S156">
            <v>1</v>
          </cell>
          <cell r="T156">
            <v>2.9470299999999998</v>
          </cell>
          <cell r="U156">
            <v>2.9470299999999998</v>
          </cell>
        </row>
        <row r="157">
          <cell r="B157" t="str">
            <v>V17551-PIND-0158-01</v>
          </cell>
          <cell r="C157" t="str">
            <v>PROD/25-26/08439</v>
          </cell>
          <cell r="D157" t="str">
            <v/>
          </cell>
          <cell r="E157" t="str">
            <v>TJ/25-26/184-CS</v>
          </cell>
          <cell r="F157" t="str">
            <v>P5</v>
          </cell>
          <cell r="G157">
            <v>0</v>
          </cell>
          <cell r="H157">
            <v>1</v>
          </cell>
          <cell r="I157" t="str">
            <v>Yes</v>
          </cell>
          <cell r="J157" t="str">
            <v/>
          </cell>
          <cell r="K157" t="str">
            <v>Yes</v>
          </cell>
          <cell r="L157" t="str">
            <v/>
          </cell>
          <cell r="M157" t="str">
            <v/>
          </cell>
          <cell r="N157" t="str">
            <v>Spool</v>
          </cell>
          <cell r="O157">
            <v>0</v>
          </cell>
          <cell r="P157">
            <v>0</v>
          </cell>
          <cell r="Q157" t="str">
            <v>CS</v>
          </cell>
          <cell r="R157">
            <v>1</v>
          </cell>
          <cell r="S157">
            <v>1</v>
          </cell>
          <cell r="T157">
            <v>3.39202</v>
          </cell>
          <cell r="U157">
            <v>3.39202</v>
          </cell>
        </row>
        <row r="158">
          <cell r="B158" t="str">
            <v>V17551-PIND-0159-01</v>
          </cell>
          <cell r="C158" t="str">
            <v>PROD/25-26/08440</v>
          </cell>
          <cell r="D158" t="str">
            <v/>
          </cell>
          <cell r="E158" t="str">
            <v>TJ/25-26/184-CS</v>
          </cell>
          <cell r="F158" t="str">
            <v>P5</v>
          </cell>
          <cell r="G158">
            <v>0</v>
          </cell>
          <cell r="H158">
            <v>1</v>
          </cell>
          <cell r="I158" t="str">
            <v>Yes</v>
          </cell>
          <cell r="J158" t="str">
            <v/>
          </cell>
          <cell r="K158" t="str">
            <v>Yes</v>
          </cell>
          <cell r="L158" t="str">
            <v/>
          </cell>
          <cell r="M158" t="str">
            <v/>
          </cell>
          <cell r="N158" t="str">
            <v>Spool</v>
          </cell>
          <cell r="O158">
            <v>0</v>
          </cell>
          <cell r="P158">
            <v>0</v>
          </cell>
          <cell r="Q158" t="str">
            <v>P22</v>
          </cell>
          <cell r="R158">
            <v>1</v>
          </cell>
          <cell r="S158">
            <v>1</v>
          </cell>
          <cell r="T158">
            <v>7.83432</v>
          </cell>
          <cell r="U158">
            <v>7.83432</v>
          </cell>
        </row>
        <row r="159">
          <cell r="B159" t="str">
            <v>V17551-PIND-0301-01</v>
          </cell>
          <cell r="C159" t="str">
            <v>PROD/25-26/13717</v>
          </cell>
          <cell r="D159" t="str">
            <v/>
          </cell>
          <cell r="E159" t="str">
            <v>TJ/25-26/184-CS</v>
          </cell>
          <cell r="F159" t="str">
            <v>P5</v>
          </cell>
          <cell r="G159">
            <v>0</v>
          </cell>
          <cell r="H159">
            <v>1</v>
          </cell>
          <cell r="I159" t="str">
            <v>Yes</v>
          </cell>
          <cell r="J159" t="str">
            <v/>
          </cell>
          <cell r="K159" t="str">
            <v>No</v>
          </cell>
          <cell r="L159" t="str">
            <v/>
          </cell>
          <cell r="M159" t="str">
            <v/>
          </cell>
          <cell r="N159" t="str">
            <v>Spool</v>
          </cell>
          <cell r="O159">
            <v>0</v>
          </cell>
          <cell r="P159">
            <v>0</v>
          </cell>
          <cell r="Q159" t="str">
            <v>CS</v>
          </cell>
          <cell r="R159">
            <v>1</v>
          </cell>
          <cell r="S159">
            <v>1</v>
          </cell>
          <cell r="T159">
            <v>4.0504800000000003</v>
          </cell>
          <cell r="U159">
            <v>4.0504800000000003</v>
          </cell>
        </row>
        <row r="160">
          <cell r="B160" t="str">
            <v>V17551-PIND-0302-01</v>
          </cell>
          <cell r="C160" t="str">
            <v>PROD/25-26/13621</v>
          </cell>
          <cell r="D160" t="str">
            <v/>
          </cell>
          <cell r="E160" t="str">
            <v>TJ/25-26/184-CS</v>
          </cell>
          <cell r="F160" t="str">
            <v>P5</v>
          </cell>
          <cell r="G160">
            <v>0</v>
          </cell>
          <cell r="H160">
            <v>1</v>
          </cell>
          <cell r="I160" t="str">
            <v>Yes</v>
          </cell>
          <cell r="J160" t="str">
            <v/>
          </cell>
          <cell r="K160" t="str">
            <v>Yes</v>
          </cell>
          <cell r="L160" t="str">
            <v/>
          </cell>
          <cell r="M160" t="str">
            <v/>
          </cell>
          <cell r="N160" t="str">
            <v>Spool</v>
          </cell>
          <cell r="O160">
            <v>0</v>
          </cell>
          <cell r="P160">
            <v>0</v>
          </cell>
          <cell r="Q160" t="str">
            <v>CS</v>
          </cell>
          <cell r="R160">
            <v>1</v>
          </cell>
          <cell r="S160">
            <v>1</v>
          </cell>
          <cell r="T160">
            <v>4.6692</v>
          </cell>
          <cell r="U160">
            <v>4.6692</v>
          </cell>
        </row>
        <row r="161">
          <cell r="B161" t="str">
            <v>V17551-PIND-0303-01</v>
          </cell>
          <cell r="C161" t="str">
            <v>PROD/25-26/13718</v>
          </cell>
          <cell r="D161" t="str">
            <v/>
          </cell>
          <cell r="E161" t="str">
            <v>TJ/25-26/184-CS</v>
          </cell>
          <cell r="F161" t="str">
            <v>P5</v>
          </cell>
          <cell r="G161">
            <v>0</v>
          </cell>
          <cell r="H161">
            <v>1</v>
          </cell>
          <cell r="I161" t="str">
            <v>Yes</v>
          </cell>
          <cell r="J161" t="str">
            <v/>
          </cell>
          <cell r="K161" t="str">
            <v>Yes</v>
          </cell>
          <cell r="L161" t="str">
            <v/>
          </cell>
          <cell r="M161" t="str">
            <v/>
          </cell>
          <cell r="N161" t="str">
            <v>Spool</v>
          </cell>
          <cell r="O161">
            <v>0</v>
          </cell>
          <cell r="P161">
            <v>0</v>
          </cell>
          <cell r="Q161" t="str">
            <v>CS</v>
          </cell>
          <cell r="R161">
            <v>1</v>
          </cell>
          <cell r="S161">
            <v>1</v>
          </cell>
          <cell r="T161">
            <v>0.96223999999999998</v>
          </cell>
          <cell r="U161">
            <v>0.96223999999999998</v>
          </cell>
        </row>
        <row r="162">
          <cell r="B162" t="str">
            <v>V17551-PIND-0304-01</v>
          </cell>
          <cell r="C162" t="str">
            <v>PROD/25-26/13719</v>
          </cell>
          <cell r="D162" t="str">
            <v/>
          </cell>
          <cell r="E162" t="str">
            <v>TJ/25-26/184-CS</v>
          </cell>
          <cell r="F162" t="str">
            <v>P1</v>
          </cell>
          <cell r="G162">
            <v>0</v>
          </cell>
          <cell r="H162">
            <v>1</v>
          </cell>
          <cell r="I162" t="str">
            <v>Yes</v>
          </cell>
          <cell r="J162" t="str">
            <v/>
          </cell>
          <cell r="K162" t="str">
            <v>Yes</v>
          </cell>
          <cell r="L162" t="str">
            <v/>
          </cell>
          <cell r="M162" t="str">
            <v/>
          </cell>
          <cell r="N162" t="str">
            <v>Spool</v>
          </cell>
          <cell r="O162">
            <v>0</v>
          </cell>
          <cell r="P162">
            <v>0</v>
          </cell>
          <cell r="Q162" t="str">
            <v>CS</v>
          </cell>
          <cell r="R162">
            <v>1</v>
          </cell>
          <cell r="S162">
            <v>1</v>
          </cell>
          <cell r="T162">
            <v>9.8423999999999996</v>
          </cell>
          <cell r="U162">
            <v>9.8423999999999996</v>
          </cell>
        </row>
        <row r="163">
          <cell r="B163" t="str">
            <v>V17551-PIND-0305-01</v>
          </cell>
          <cell r="C163" t="str">
            <v>PROD/25-26/13720</v>
          </cell>
          <cell r="D163" t="str">
            <v/>
          </cell>
          <cell r="E163" t="str">
            <v>TJ/25-26/184-CS</v>
          </cell>
          <cell r="F163" t="str">
            <v>P1</v>
          </cell>
          <cell r="G163">
            <v>0</v>
          </cell>
          <cell r="H163">
            <v>1</v>
          </cell>
          <cell r="I163" t="str">
            <v>Yes</v>
          </cell>
          <cell r="J163" t="str">
            <v/>
          </cell>
          <cell r="K163" t="str">
            <v>Yes</v>
          </cell>
          <cell r="L163" t="str">
            <v/>
          </cell>
          <cell r="M163" t="str">
            <v/>
          </cell>
          <cell r="N163" t="str">
            <v>Spool</v>
          </cell>
          <cell r="O163">
            <v>0</v>
          </cell>
          <cell r="P163">
            <v>0</v>
          </cell>
          <cell r="Q163" t="str">
            <v>CS</v>
          </cell>
          <cell r="R163">
            <v>1</v>
          </cell>
          <cell r="S163">
            <v>1</v>
          </cell>
          <cell r="T163">
            <v>31.180679999999999</v>
          </cell>
          <cell r="U163">
            <v>31.180679999999999</v>
          </cell>
        </row>
        <row r="164">
          <cell r="B164" t="str">
            <v>V17551-PIND-0306-01</v>
          </cell>
          <cell r="C164" t="str">
            <v>PROD/25-26/13721</v>
          </cell>
          <cell r="D164" t="str">
            <v/>
          </cell>
          <cell r="E164" t="str">
            <v>TJ/25-26/184-CS</v>
          </cell>
          <cell r="F164" t="str">
            <v>P1</v>
          </cell>
          <cell r="G164">
            <v>0</v>
          </cell>
          <cell r="H164">
            <v>1</v>
          </cell>
          <cell r="I164" t="str">
            <v>Yes</v>
          </cell>
          <cell r="J164" t="str">
            <v/>
          </cell>
          <cell r="K164" t="str">
            <v>Yes</v>
          </cell>
          <cell r="L164" t="str">
            <v/>
          </cell>
          <cell r="M164" t="str">
            <v/>
          </cell>
          <cell r="N164" t="str">
            <v>Spool</v>
          </cell>
          <cell r="O164">
            <v>0</v>
          </cell>
          <cell r="P164">
            <v>0</v>
          </cell>
          <cell r="Q164" t="str">
            <v>CS</v>
          </cell>
          <cell r="R164">
            <v>1</v>
          </cell>
          <cell r="S164">
            <v>1</v>
          </cell>
          <cell r="T164">
            <v>4.2956200000000004</v>
          </cell>
          <cell r="U164">
            <v>4.2956200000000004</v>
          </cell>
        </row>
        <row r="165">
          <cell r="B165" t="str">
            <v>V17551-PIND-0307-01</v>
          </cell>
          <cell r="C165" t="str">
            <v>PROD/25-26/13722</v>
          </cell>
          <cell r="D165" t="str">
            <v/>
          </cell>
          <cell r="E165" t="str">
            <v>TJ/25-26/184-SS</v>
          </cell>
          <cell r="F165" t="str">
            <v>P1</v>
          </cell>
          <cell r="G165">
            <v>0</v>
          </cell>
          <cell r="H165">
            <v>1</v>
          </cell>
          <cell r="I165" t="str">
            <v>Yes</v>
          </cell>
          <cell r="J165" t="str">
            <v/>
          </cell>
          <cell r="K165" t="str">
            <v>Yes</v>
          </cell>
          <cell r="L165" t="str">
            <v/>
          </cell>
          <cell r="M165" t="str">
            <v/>
          </cell>
          <cell r="N165" t="str">
            <v>Spool</v>
          </cell>
          <cell r="O165">
            <v>0</v>
          </cell>
          <cell r="P165">
            <v>0</v>
          </cell>
          <cell r="Q165" t="str">
            <v>SS</v>
          </cell>
          <cell r="R165">
            <v>1</v>
          </cell>
          <cell r="S165">
            <v>1</v>
          </cell>
          <cell r="T165">
            <v>16.253830000000001</v>
          </cell>
          <cell r="U165">
            <v>16.253830000000001</v>
          </cell>
        </row>
        <row r="166">
          <cell r="B166" t="str">
            <v>V17551-PIND-0308-01</v>
          </cell>
          <cell r="C166" t="str">
            <v>PROD/25-26/13723</v>
          </cell>
          <cell r="D166" t="str">
            <v/>
          </cell>
          <cell r="E166" t="str">
            <v>TJ/25-26/184-CS</v>
          </cell>
          <cell r="F166" t="str">
            <v>P1</v>
          </cell>
          <cell r="G166">
            <v>0</v>
          </cell>
          <cell r="H166">
            <v>1</v>
          </cell>
          <cell r="I166" t="str">
            <v>Yes</v>
          </cell>
          <cell r="J166" t="str">
            <v/>
          </cell>
          <cell r="K166" t="str">
            <v>Yes</v>
          </cell>
          <cell r="L166" t="str">
            <v/>
          </cell>
          <cell r="M166" t="str">
            <v/>
          </cell>
          <cell r="N166" t="str">
            <v>Spool</v>
          </cell>
          <cell r="O166">
            <v>0</v>
          </cell>
          <cell r="P166">
            <v>0</v>
          </cell>
          <cell r="Q166" t="str">
            <v>CS</v>
          </cell>
          <cell r="R166">
            <v>1</v>
          </cell>
          <cell r="S166">
            <v>1</v>
          </cell>
          <cell r="T166">
            <v>10.08684</v>
          </cell>
          <cell r="U166">
            <v>10.08684</v>
          </cell>
        </row>
        <row r="167">
          <cell r="B167" t="str">
            <v>V17551-PIND-0309-01</v>
          </cell>
          <cell r="C167" t="str">
            <v>PROD/25-26/13724</v>
          </cell>
          <cell r="D167" t="str">
            <v/>
          </cell>
          <cell r="E167" t="str">
            <v>TJ/25-26/184-CS</v>
          </cell>
          <cell r="F167" t="str">
            <v>P1</v>
          </cell>
          <cell r="G167">
            <v>0</v>
          </cell>
          <cell r="H167">
            <v>1</v>
          </cell>
          <cell r="I167" t="str">
            <v>Yes</v>
          </cell>
          <cell r="J167" t="str">
            <v/>
          </cell>
          <cell r="K167" t="str">
            <v>Yes</v>
          </cell>
          <cell r="L167" t="str">
            <v/>
          </cell>
          <cell r="M167" t="str">
            <v/>
          </cell>
          <cell r="N167" t="str">
            <v>Spool</v>
          </cell>
          <cell r="O167">
            <v>0</v>
          </cell>
          <cell r="P167">
            <v>0</v>
          </cell>
          <cell r="Q167" t="str">
            <v>CS</v>
          </cell>
          <cell r="R167">
            <v>1</v>
          </cell>
          <cell r="S167">
            <v>1</v>
          </cell>
          <cell r="T167">
            <v>10.083600000000001</v>
          </cell>
          <cell r="U167">
            <v>10.083600000000001</v>
          </cell>
        </row>
        <row r="168">
          <cell r="B168" t="str">
            <v>V17551-PIND-0310-01</v>
          </cell>
          <cell r="C168" t="str">
            <v>PROD/25-26/13725</v>
          </cell>
          <cell r="D168" t="str">
            <v/>
          </cell>
          <cell r="E168" t="str">
            <v>TJ/25-26/184-CS</v>
          </cell>
          <cell r="F168" t="str">
            <v>P1</v>
          </cell>
          <cell r="G168">
            <v>0</v>
          </cell>
          <cell r="H168">
            <v>1</v>
          </cell>
          <cell r="I168" t="str">
            <v>Yes</v>
          </cell>
          <cell r="J168" t="str">
            <v/>
          </cell>
          <cell r="K168" t="str">
            <v>Yes</v>
          </cell>
          <cell r="L168" t="str">
            <v/>
          </cell>
          <cell r="M168" t="str">
            <v/>
          </cell>
          <cell r="N168" t="str">
            <v>Spool</v>
          </cell>
          <cell r="O168">
            <v>0</v>
          </cell>
          <cell r="P168">
            <v>0</v>
          </cell>
          <cell r="Q168" t="str">
            <v>CS</v>
          </cell>
          <cell r="R168">
            <v>1</v>
          </cell>
          <cell r="S168">
            <v>1</v>
          </cell>
          <cell r="T168">
            <v>10.083600000000001</v>
          </cell>
          <cell r="U168">
            <v>10.083600000000001</v>
          </cell>
        </row>
        <row r="169">
          <cell r="B169" t="str">
            <v>V17551-PIND-0311-01</v>
          </cell>
          <cell r="C169" t="str">
            <v>PROD/25-26/13726</v>
          </cell>
          <cell r="D169" t="str">
            <v/>
          </cell>
          <cell r="E169" t="str">
            <v>TJ/25-26/184-CS</v>
          </cell>
          <cell r="F169" t="str">
            <v>P1</v>
          </cell>
          <cell r="G169">
            <v>0</v>
          </cell>
          <cell r="H169">
            <v>1</v>
          </cell>
          <cell r="I169" t="str">
            <v>Yes</v>
          </cell>
          <cell r="J169" t="str">
            <v/>
          </cell>
          <cell r="K169" t="str">
            <v>Yes</v>
          </cell>
          <cell r="L169" t="str">
            <v/>
          </cell>
          <cell r="M169" t="str">
            <v/>
          </cell>
          <cell r="N169" t="str">
            <v>Spool</v>
          </cell>
          <cell r="O169">
            <v>0</v>
          </cell>
          <cell r="P169">
            <v>0</v>
          </cell>
          <cell r="Q169" t="str">
            <v>CS</v>
          </cell>
          <cell r="R169">
            <v>1</v>
          </cell>
          <cell r="S169">
            <v>1</v>
          </cell>
          <cell r="T169">
            <v>10.083600000000001</v>
          </cell>
          <cell r="U169">
            <v>10.083600000000001</v>
          </cell>
        </row>
        <row r="170">
          <cell r="B170" t="str">
            <v>V17551-PIND-0312-01</v>
          </cell>
          <cell r="C170" t="str">
            <v>PROD/25-26/13727</v>
          </cell>
          <cell r="D170" t="str">
            <v/>
          </cell>
          <cell r="E170" t="str">
            <v>TJ/25-26/184-CS</v>
          </cell>
          <cell r="F170" t="str">
            <v>P1</v>
          </cell>
          <cell r="G170">
            <v>0</v>
          </cell>
          <cell r="H170">
            <v>1</v>
          </cell>
          <cell r="I170" t="str">
            <v>Yes</v>
          </cell>
          <cell r="J170" t="str">
            <v/>
          </cell>
          <cell r="K170" t="str">
            <v>Yes</v>
          </cell>
          <cell r="L170" t="str">
            <v/>
          </cell>
          <cell r="M170" t="str">
            <v/>
          </cell>
          <cell r="N170" t="str">
            <v>Spool</v>
          </cell>
          <cell r="O170">
            <v>0</v>
          </cell>
          <cell r="P170">
            <v>0</v>
          </cell>
          <cell r="Q170" t="str">
            <v>CS</v>
          </cell>
          <cell r="R170">
            <v>1</v>
          </cell>
          <cell r="S170">
            <v>1</v>
          </cell>
          <cell r="T170">
            <v>10.083600000000001</v>
          </cell>
          <cell r="U170">
            <v>10.083600000000001</v>
          </cell>
        </row>
        <row r="171">
          <cell r="B171" t="str">
            <v>V17551-PIND-0313-01</v>
          </cell>
          <cell r="C171" t="str">
            <v>PROD/25-26/13728</v>
          </cell>
          <cell r="D171" t="str">
            <v/>
          </cell>
          <cell r="E171" t="str">
            <v>TJ/25-26/184-CS</v>
          </cell>
          <cell r="F171" t="str">
            <v>P1</v>
          </cell>
          <cell r="G171">
            <v>0</v>
          </cell>
          <cell r="H171">
            <v>1</v>
          </cell>
          <cell r="I171" t="str">
            <v>Yes</v>
          </cell>
          <cell r="J171" t="str">
            <v/>
          </cell>
          <cell r="K171" t="str">
            <v>Yes</v>
          </cell>
          <cell r="L171" t="str">
            <v/>
          </cell>
          <cell r="M171" t="str">
            <v/>
          </cell>
          <cell r="N171" t="str">
            <v>Spool</v>
          </cell>
          <cell r="O171">
            <v>0</v>
          </cell>
          <cell r="P171">
            <v>0</v>
          </cell>
          <cell r="Q171" t="str">
            <v>CS</v>
          </cell>
          <cell r="R171">
            <v>1</v>
          </cell>
          <cell r="S171">
            <v>1</v>
          </cell>
          <cell r="T171">
            <v>10.083600000000001</v>
          </cell>
          <cell r="U171">
            <v>10.083600000000001</v>
          </cell>
        </row>
        <row r="172">
          <cell r="B172" t="str">
            <v>V17551-PIND-0314-01</v>
          </cell>
          <cell r="C172" t="str">
            <v>PROD/25-26/13729</v>
          </cell>
          <cell r="D172" t="str">
            <v/>
          </cell>
          <cell r="E172" t="str">
            <v>TJ/25-26/184-CS</v>
          </cell>
          <cell r="F172" t="str">
            <v>P1</v>
          </cell>
          <cell r="G172">
            <v>0</v>
          </cell>
          <cell r="H172">
            <v>1</v>
          </cell>
          <cell r="I172" t="str">
            <v>Yes</v>
          </cell>
          <cell r="J172" t="str">
            <v/>
          </cell>
          <cell r="K172" t="str">
            <v>Yes</v>
          </cell>
          <cell r="L172" t="str">
            <v/>
          </cell>
          <cell r="M172" t="str">
            <v/>
          </cell>
          <cell r="N172" t="str">
            <v>Spool</v>
          </cell>
          <cell r="O172">
            <v>0</v>
          </cell>
          <cell r="P172">
            <v>0</v>
          </cell>
          <cell r="Q172" t="str">
            <v>CS</v>
          </cell>
          <cell r="R172">
            <v>1</v>
          </cell>
          <cell r="S172">
            <v>1</v>
          </cell>
          <cell r="T172">
            <v>23.593589999999999</v>
          </cell>
          <cell r="U172">
            <v>23.593589999999999</v>
          </cell>
        </row>
        <row r="173">
          <cell r="B173" t="str">
            <v>V17551-PIND-0315-01</v>
          </cell>
          <cell r="C173" t="str">
            <v>PROD/25-26/13730</v>
          </cell>
          <cell r="D173" t="str">
            <v/>
          </cell>
          <cell r="E173" t="str">
            <v>TJ/25-26/184-CS</v>
          </cell>
          <cell r="F173" t="str">
            <v>P5</v>
          </cell>
          <cell r="G173">
            <v>0</v>
          </cell>
          <cell r="H173">
            <v>1</v>
          </cell>
          <cell r="I173" t="str">
            <v>Yes</v>
          </cell>
          <cell r="J173" t="str">
            <v/>
          </cell>
          <cell r="K173" t="str">
            <v>Yes</v>
          </cell>
          <cell r="L173" t="str">
            <v/>
          </cell>
          <cell r="M173" t="str">
            <v/>
          </cell>
          <cell r="N173" t="str">
            <v>Spool</v>
          </cell>
          <cell r="O173">
            <v>0</v>
          </cell>
          <cell r="P173">
            <v>0</v>
          </cell>
          <cell r="Q173" t="str">
            <v>CS</v>
          </cell>
          <cell r="R173">
            <v>1</v>
          </cell>
          <cell r="S173">
            <v>1</v>
          </cell>
          <cell r="T173">
            <v>25.898209999999999</v>
          </cell>
          <cell r="U173">
            <v>25.898209999999999</v>
          </cell>
        </row>
        <row r="174">
          <cell r="B174" t="str">
            <v>V17551-PIND-0316-01</v>
          </cell>
          <cell r="C174" t="str">
            <v>PROD/25-26/13731</v>
          </cell>
          <cell r="D174" t="str">
            <v/>
          </cell>
          <cell r="E174" t="str">
            <v>TJ/25-26/184-CS</v>
          </cell>
          <cell r="F174" t="str">
            <v>P5</v>
          </cell>
          <cell r="G174">
            <v>0</v>
          </cell>
          <cell r="H174">
            <v>1</v>
          </cell>
          <cell r="I174" t="str">
            <v>Yes</v>
          </cell>
          <cell r="J174" t="str">
            <v/>
          </cell>
          <cell r="K174" t="str">
            <v>Yes</v>
          </cell>
          <cell r="L174" t="str">
            <v/>
          </cell>
          <cell r="M174" t="str">
            <v/>
          </cell>
          <cell r="N174" t="str">
            <v>Spool</v>
          </cell>
          <cell r="O174">
            <v>0</v>
          </cell>
          <cell r="P174">
            <v>0</v>
          </cell>
          <cell r="Q174" t="str">
            <v>CS</v>
          </cell>
          <cell r="R174">
            <v>1</v>
          </cell>
          <cell r="S174">
            <v>1</v>
          </cell>
          <cell r="T174">
            <v>410.66789999999997</v>
          </cell>
          <cell r="U174">
            <v>410.66789999999997</v>
          </cell>
        </row>
        <row r="175">
          <cell r="B175" t="str">
            <v>V17551-PIND-0317-01</v>
          </cell>
          <cell r="C175" t="str">
            <v>PROD/25-26/13732</v>
          </cell>
          <cell r="D175" t="str">
            <v/>
          </cell>
          <cell r="E175" t="str">
            <v>TJ/25-26/184-CS</v>
          </cell>
          <cell r="F175" t="str">
            <v>P5</v>
          </cell>
          <cell r="G175">
            <v>0</v>
          </cell>
          <cell r="H175">
            <v>1</v>
          </cell>
          <cell r="I175" t="str">
            <v>Yes</v>
          </cell>
          <cell r="J175" t="str">
            <v/>
          </cell>
          <cell r="K175" t="str">
            <v>Yes</v>
          </cell>
          <cell r="L175" t="str">
            <v/>
          </cell>
          <cell r="M175" t="str">
            <v/>
          </cell>
          <cell r="N175" t="str">
            <v>Spool</v>
          </cell>
          <cell r="O175">
            <v>0</v>
          </cell>
          <cell r="P175">
            <v>0</v>
          </cell>
          <cell r="Q175" t="str">
            <v>CS</v>
          </cell>
          <cell r="R175">
            <v>1</v>
          </cell>
          <cell r="S175">
            <v>1</v>
          </cell>
          <cell r="T175">
            <v>70.534400000000005</v>
          </cell>
          <cell r="U175">
            <v>70.534400000000005</v>
          </cell>
        </row>
        <row r="176">
          <cell r="B176" t="str">
            <v>V17551-PIND-0318-01</v>
          </cell>
          <cell r="C176" t="str">
            <v>PROD/25-26/14204</v>
          </cell>
          <cell r="D176" t="str">
            <v/>
          </cell>
          <cell r="E176" t="str">
            <v>TJ/25-26/184-CS</v>
          </cell>
          <cell r="F176" t="str">
            <v>P5</v>
          </cell>
          <cell r="G176">
            <v>0</v>
          </cell>
          <cell r="H176">
            <v>1</v>
          </cell>
          <cell r="I176" t="str">
            <v>Yes</v>
          </cell>
          <cell r="J176" t="str">
            <v/>
          </cell>
          <cell r="K176" t="str">
            <v>Yes</v>
          </cell>
          <cell r="L176" t="str">
            <v/>
          </cell>
          <cell r="M176" t="str">
            <v/>
          </cell>
          <cell r="N176" t="str">
            <v>Spool</v>
          </cell>
          <cell r="O176">
            <v>0</v>
          </cell>
          <cell r="P176">
            <v>0</v>
          </cell>
          <cell r="Q176" t="str">
            <v>CS</v>
          </cell>
          <cell r="R176">
            <v>1</v>
          </cell>
          <cell r="S176">
            <v>1</v>
          </cell>
          <cell r="T176">
            <v>17.787600000000001</v>
          </cell>
          <cell r="U176">
            <v>17.787600000000001</v>
          </cell>
        </row>
        <row r="177">
          <cell r="B177" t="str">
            <v>V17551-PIND-0319-01</v>
          </cell>
          <cell r="C177" t="str">
            <v>PROD/25-26/13733</v>
          </cell>
          <cell r="D177" t="str">
            <v/>
          </cell>
          <cell r="E177" t="str">
            <v>TJ/25-26/184-CS</v>
          </cell>
          <cell r="F177" t="str">
            <v>P5</v>
          </cell>
          <cell r="G177">
            <v>0</v>
          </cell>
          <cell r="H177">
            <v>1</v>
          </cell>
          <cell r="I177" t="str">
            <v>Yes</v>
          </cell>
          <cell r="J177" t="str">
            <v/>
          </cell>
          <cell r="K177" t="str">
            <v>Yes</v>
          </cell>
          <cell r="L177" t="str">
            <v/>
          </cell>
          <cell r="M177" t="str">
            <v/>
          </cell>
          <cell r="N177" t="str">
            <v>Spool</v>
          </cell>
          <cell r="O177">
            <v>0</v>
          </cell>
          <cell r="P177">
            <v>0</v>
          </cell>
          <cell r="Q177" t="str">
            <v>CS</v>
          </cell>
          <cell r="R177">
            <v>1</v>
          </cell>
          <cell r="S177">
            <v>1</v>
          </cell>
          <cell r="T177">
            <v>10.327920000000001</v>
          </cell>
          <cell r="U177">
            <v>10.327920000000001</v>
          </cell>
        </row>
        <row r="178">
          <cell r="B178" t="str">
            <v>V17551-PIND-0320-01</v>
          </cell>
          <cell r="C178" t="str">
            <v>PROD/25-26/13734</v>
          </cell>
          <cell r="D178" t="str">
            <v/>
          </cell>
          <cell r="E178" t="str">
            <v>TJ/25-26/184-CS</v>
          </cell>
          <cell r="F178" t="str">
            <v>P5</v>
          </cell>
          <cell r="G178">
            <v>0</v>
          </cell>
          <cell r="H178">
            <v>1</v>
          </cell>
          <cell r="I178" t="str">
            <v>Yes</v>
          </cell>
          <cell r="J178" t="str">
            <v/>
          </cell>
          <cell r="K178" t="str">
            <v>Yes</v>
          </cell>
          <cell r="L178" t="str">
            <v/>
          </cell>
          <cell r="M178" t="str">
            <v/>
          </cell>
          <cell r="N178" t="str">
            <v>Spool</v>
          </cell>
          <cell r="O178">
            <v>0</v>
          </cell>
          <cell r="P178">
            <v>0</v>
          </cell>
          <cell r="Q178" t="str">
            <v>CS</v>
          </cell>
          <cell r="R178">
            <v>1</v>
          </cell>
          <cell r="S178">
            <v>1</v>
          </cell>
          <cell r="T178">
            <v>10.75188</v>
          </cell>
          <cell r="U178">
            <v>10.75188</v>
          </cell>
        </row>
        <row r="179">
          <cell r="B179" t="str">
            <v>V17551-PIND-0321-01</v>
          </cell>
          <cell r="C179" t="str">
            <v>PROD/25-26/13735</v>
          </cell>
          <cell r="D179" t="str">
            <v/>
          </cell>
          <cell r="E179" t="str">
            <v>TJ/25-26/184-CS</v>
          </cell>
          <cell r="F179" t="str">
            <v>P5</v>
          </cell>
          <cell r="G179">
            <v>0</v>
          </cell>
          <cell r="H179">
            <v>1</v>
          </cell>
          <cell r="I179" t="str">
            <v>Yes</v>
          </cell>
          <cell r="J179" t="str">
            <v/>
          </cell>
          <cell r="K179" t="str">
            <v>Yes</v>
          </cell>
          <cell r="L179" t="str">
            <v/>
          </cell>
          <cell r="M179" t="str">
            <v/>
          </cell>
          <cell r="N179" t="str">
            <v>Spool</v>
          </cell>
          <cell r="O179">
            <v>0</v>
          </cell>
          <cell r="P179">
            <v>0</v>
          </cell>
          <cell r="Q179" t="str">
            <v>CS</v>
          </cell>
          <cell r="R179">
            <v>1</v>
          </cell>
          <cell r="S179">
            <v>1</v>
          </cell>
          <cell r="T179">
            <v>9.4364399999999993</v>
          </cell>
          <cell r="U179">
            <v>9.4364399999999993</v>
          </cell>
        </row>
        <row r="180">
          <cell r="B180" t="str">
            <v>V17551-PIND-0322-01</v>
          </cell>
          <cell r="C180" t="str">
            <v>PROD/25-26/13736</v>
          </cell>
          <cell r="D180" t="str">
            <v/>
          </cell>
          <cell r="E180" t="str">
            <v>TJ/25-26/184-CS</v>
          </cell>
          <cell r="F180" t="str">
            <v>P5</v>
          </cell>
          <cell r="G180">
            <v>0</v>
          </cell>
          <cell r="H180">
            <v>1</v>
          </cell>
          <cell r="I180" t="str">
            <v>Yes</v>
          </cell>
          <cell r="J180" t="str">
            <v/>
          </cell>
          <cell r="K180" t="str">
            <v>Yes</v>
          </cell>
          <cell r="L180" t="str">
            <v/>
          </cell>
          <cell r="M180" t="str">
            <v/>
          </cell>
          <cell r="N180" t="str">
            <v>Spool</v>
          </cell>
          <cell r="O180">
            <v>0</v>
          </cell>
          <cell r="P180">
            <v>0</v>
          </cell>
          <cell r="Q180" t="str">
            <v>CS</v>
          </cell>
          <cell r="R180">
            <v>1</v>
          </cell>
          <cell r="S180">
            <v>1</v>
          </cell>
          <cell r="T180">
            <v>8.7754799999999999</v>
          </cell>
          <cell r="U180">
            <v>8.7754799999999999</v>
          </cell>
        </row>
        <row r="181">
          <cell r="B181" t="str">
            <v>V17551-PIND-0323-01</v>
          </cell>
          <cell r="C181" t="str">
            <v>PROD/25-26/13737</v>
          </cell>
          <cell r="D181" t="str">
            <v/>
          </cell>
          <cell r="E181" t="str">
            <v>TJ/25-26/184-CS</v>
          </cell>
          <cell r="F181" t="str">
            <v>P5</v>
          </cell>
          <cell r="G181">
            <v>0</v>
          </cell>
          <cell r="H181">
            <v>1</v>
          </cell>
          <cell r="I181" t="str">
            <v>Yes</v>
          </cell>
          <cell r="J181" t="str">
            <v/>
          </cell>
          <cell r="K181" t="str">
            <v>Yes</v>
          </cell>
          <cell r="L181" t="str">
            <v/>
          </cell>
          <cell r="M181" t="str">
            <v/>
          </cell>
          <cell r="N181" t="str">
            <v>Spool</v>
          </cell>
          <cell r="O181">
            <v>0</v>
          </cell>
          <cell r="P181">
            <v>0</v>
          </cell>
          <cell r="Q181" t="str">
            <v>CS</v>
          </cell>
          <cell r="R181">
            <v>1</v>
          </cell>
          <cell r="S181">
            <v>1</v>
          </cell>
          <cell r="T181">
            <v>10.46724</v>
          </cell>
          <cell r="U181">
            <v>10.46724</v>
          </cell>
        </row>
        <row r="182">
          <cell r="B182" t="str">
            <v>V17551-PIND-0324-01</v>
          </cell>
          <cell r="C182" t="str">
            <v>PROD/25-26/13738</v>
          </cell>
          <cell r="D182" t="str">
            <v/>
          </cell>
          <cell r="E182" t="str">
            <v>TJ/25-26/184-CS</v>
          </cell>
          <cell r="F182" t="str">
            <v>P5</v>
          </cell>
          <cell r="G182">
            <v>0</v>
          </cell>
          <cell r="H182">
            <v>1</v>
          </cell>
          <cell r="I182" t="str">
            <v>Yes</v>
          </cell>
          <cell r="J182" t="str">
            <v/>
          </cell>
          <cell r="K182" t="str">
            <v>Yes</v>
          </cell>
          <cell r="L182" t="str">
            <v/>
          </cell>
          <cell r="M182" t="str">
            <v/>
          </cell>
          <cell r="N182" t="str">
            <v>Spool</v>
          </cell>
          <cell r="O182">
            <v>0</v>
          </cell>
          <cell r="P182">
            <v>0</v>
          </cell>
          <cell r="Q182" t="str">
            <v>CS</v>
          </cell>
          <cell r="R182">
            <v>1</v>
          </cell>
          <cell r="S182">
            <v>1</v>
          </cell>
          <cell r="T182">
            <v>10.36032</v>
          </cell>
          <cell r="U182">
            <v>10.36032</v>
          </cell>
        </row>
        <row r="183">
          <cell r="B183" t="str">
            <v>V17551-PIND-0325-01</v>
          </cell>
          <cell r="C183" t="str">
            <v>PROD/25-26/13739</v>
          </cell>
          <cell r="D183" t="str">
            <v/>
          </cell>
          <cell r="E183" t="str">
            <v>TJ/25-26/184-CS</v>
          </cell>
          <cell r="F183" t="str">
            <v>P5</v>
          </cell>
          <cell r="G183">
            <v>0</v>
          </cell>
          <cell r="H183">
            <v>1</v>
          </cell>
          <cell r="I183" t="str">
            <v>Yes</v>
          </cell>
          <cell r="J183" t="str">
            <v/>
          </cell>
          <cell r="K183" t="str">
            <v>No</v>
          </cell>
          <cell r="L183" t="str">
            <v/>
          </cell>
          <cell r="M183" t="str">
            <v/>
          </cell>
          <cell r="N183" t="str">
            <v>Spool</v>
          </cell>
          <cell r="O183">
            <v>0</v>
          </cell>
          <cell r="P183">
            <v>0</v>
          </cell>
          <cell r="Q183" t="str">
            <v>CS</v>
          </cell>
          <cell r="R183">
            <v>1</v>
          </cell>
          <cell r="S183">
            <v>1</v>
          </cell>
          <cell r="T183">
            <v>9.8030399999999993</v>
          </cell>
          <cell r="U183">
            <v>9.8030399999999993</v>
          </cell>
        </row>
        <row r="184">
          <cell r="B184" t="str">
            <v>V17551-PIND-0326-01</v>
          </cell>
          <cell r="C184" t="str">
            <v>PROD/25-26/14203</v>
          </cell>
          <cell r="D184" t="str">
            <v/>
          </cell>
          <cell r="E184" t="str">
            <v>TJ/25-26/184-CS</v>
          </cell>
          <cell r="F184" t="str">
            <v>P5</v>
          </cell>
          <cell r="G184">
            <v>0</v>
          </cell>
          <cell r="H184">
            <v>1</v>
          </cell>
          <cell r="I184" t="str">
            <v>Yes</v>
          </cell>
          <cell r="J184" t="str">
            <v/>
          </cell>
          <cell r="K184" t="str">
            <v>Yes</v>
          </cell>
          <cell r="L184" t="str">
            <v/>
          </cell>
          <cell r="M184" t="str">
            <v/>
          </cell>
          <cell r="N184" t="str">
            <v>Spool</v>
          </cell>
          <cell r="O184">
            <v>0</v>
          </cell>
          <cell r="P184">
            <v>0</v>
          </cell>
          <cell r="Q184" t="str">
            <v>CS</v>
          </cell>
          <cell r="R184">
            <v>1</v>
          </cell>
          <cell r="S184">
            <v>1</v>
          </cell>
          <cell r="T184">
            <v>17.710599999999999</v>
          </cell>
          <cell r="U184">
            <v>17.710599999999999</v>
          </cell>
        </row>
        <row r="185">
          <cell r="B185" t="str">
            <v>V17551-PIND-0327-01</v>
          </cell>
          <cell r="C185" t="str">
            <v>PROD/25-26/13741</v>
          </cell>
          <cell r="D185" t="str">
            <v/>
          </cell>
          <cell r="E185" t="str">
            <v>TJ/25-26/184-CS</v>
          </cell>
          <cell r="F185" t="str">
            <v>P5</v>
          </cell>
          <cell r="G185">
            <v>0</v>
          </cell>
          <cell r="H185">
            <v>1</v>
          </cell>
          <cell r="I185" t="str">
            <v>Yes</v>
          </cell>
          <cell r="J185" t="str">
            <v/>
          </cell>
          <cell r="K185" t="str">
            <v>Yes</v>
          </cell>
          <cell r="L185" t="str">
            <v/>
          </cell>
          <cell r="M185" t="str">
            <v/>
          </cell>
          <cell r="N185" t="str">
            <v>Spool</v>
          </cell>
          <cell r="O185">
            <v>0</v>
          </cell>
          <cell r="P185">
            <v>0</v>
          </cell>
          <cell r="Q185" t="str">
            <v>CS</v>
          </cell>
          <cell r="R185">
            <v>1</v>
          </cell>
          <cell r="S185">
            <v>1</v>
          </cell>
          <cell r="T185">
            <v>11.25225</v>
          </cell>
          <cell r="U185">
            <v>11.25225</v>
          </cell>
        </row>
        <row r="186">
          <cell r="B186" t="str">
            <v>V17551-PIND-0328-01</v>
          </cell>
          <cell r="C186" t="str">
            <v>PROD/25-26/13742</v>
          </cell>
          <cell r="D186" t="str">
            <v/>
          </cell>
          <cell r="E186" t="str">
            <v>TJ/25-26/184-CS</v>
          </cell>
          <cell r="F186" t="str">
            <v>P5</v>
          </cell>
          <cell r="G186">
            <v>0</v>
          </cell>
          <cell r="H186">
            <v>1</v>
          </cell>
          <cell r="I186" t="str">
            <v>Yes</v>
          </cell>
          <cell r="J186" t="str">
            <v/>
          </cell>
          <cell r="K186" t="str">
            <v>Yes</v>
          </cell>
          <cell r="L186" t="str">
            <v/>
          </cell>
          <cell r="M186" t="str">
            <v/>
          </cell>
          <cell r="N186" t="str">
            <v>Spool</v>
          </cell>
          <cell r="O186">
            <v>0</v>
          </cell>
          <cell r="P186">
            <v>0</v>
          </cell>
          <cell r="Q186" t="str">
            <v>CS</v>
          </cell>
          <cell r="R186">
            <v>1</v>
          </cell>
          <cell r="S186">
            <v>1</v>
          </cell>
          <cell r="T186">
            <v>37.546239999999997</v>
          </cell>
          <cell r="U186">
            <v>37.546239999999997</v>
          </cell>
        </row>
        <row r="187">
          <cell r="B187" t="str">
            <v>V17551-PIND-0329-01</v>
          </cell>
          <cell r="C187" t="str">
            <v>PROD/25-26/13743</v>
          </cell>
          <cell r="D187" t="str">
            <v/>
          </cell>
          <cell r="E187" t="str">
            <v>TJ/25-26/184-CS</v>
          </cell>
          <cell r="F187" t="str">
            <v>P5</v>
          </cell>
          <cell r="G187">
            <v>0</v>
          </cell>
          <cell r="H187">
            <v>1</v>
          </cell>
          <cell r="I187" t="str">
            <v>Yes</v>
          </cell>
          <cell r="J187" t="str">
            <v/>
          </cell>
          <cell r="K187" t="str">
            <v>Yes</v>
          </cell>
          <cell r="L187" t="str">
            <v/>
          </cell>
          <cell r="M187" t="str">
            <v/>
          </cell>
          <cell r="N187" t="str">
            <v>Spool</v>
          </cell>
          <cell r="O187">
            <v>0</v>
          </cell>
          <cell r="P187">
            <v>0</v>
          </cell>
          <cell r="Q187" t="str">
            <v>CS</v>
          </cell>
          <cell r="R187">
            <v>1</v>
          </cell>
          <cell r="S187">
            <v>1</v>
          </cell>
          <cell r="T187">
            <v>3.0465599999999999</v>
          </cell>
          <cell r="U187">
            <v>3.0465599999999999</v>
          </cell>
        </row>
        <row r="188">
          <cell r="B188" t="str">
            <v>V17551-PIND-0330-01</v>
          </cell>
          <cell r="C188" t="str">
            <v>PROD/25-26/13744</v>
          </cell>
          <cell r="D188" t="str">
            <v/>
          </cell>
          <cell r="E188" t="str">
            <v>TJ/25-26/184-CS</v>
          </cell>
          <cell r="F188" t="str">
            <v>P5</v>
          </cell>
          <cell r="G188">
            <v>0</v>
          </cell>
          <cell r="H188">
            <v>1</v>
          </cell>
          <cell r="I188" t="str">
            <v>Yes</v>
          </cell>
          <cell r="J188" t="str">
            <v/>
          </cell>
          <cell r="K188" t="str">
            <v>No</v>
          </cell>
          <cell r="L188" t="str">
            <v/>
          </cell>
          <cell r="M188" t="str">
            <v/>
          </cell>
          <cell r="N188" t="str">
            <v>Spool</v>
          </cell>
          <cell r="O188">
            <v>0</v>
          </cell>
          <cell r="P188">
            <v>0</v>
          </cell>
          <cell r="Q188" t="str">
            <v>CS</v>
          </cell>
          <cell r="R188">
            <v>1</v>
          </cell>
          <cell r="S188">
            <v>1</v>
          </cell>
          <cell r="T188">
            <v>3.7107600000000001</v>
          </cell>
          <cell r="U188">
            <v>3.7107600000000001</v>
          </cell>
        </row>
        <row r="189">
          <cell r="B189" t="str">
            <v>V17551-PIND-0331-01</v>
          </cell>
          <cell r="C189" t="str">
            <v>PROD/25-26/13745</v>
          </cell>
          <cell r="D189" t="str">
            <v/>
          </cell>
          <cell r="E189" t="str">
            <v>TJ/25-26/184-CS</v>
          </cell>
          <cell r="F189" t="str">
            <v>P5</v>
          </cell>
          <cell r="G189">
            <v>0</v>
          </cell>
          <cell r="H189">
            <v>1</v>
          </cell>
          <cell r="I189" t="str">
            <v>Yes</v>
          </cell>
          <cell r="J189" t="str">
            <v/>
          </cell>
          <cell r="K189" t="str">
            <v>No</v>
          </cell>
          <cell r="L189" t="str">
            <v/>
          </cell>
          <cell r="M189" t="str">
            <v/>
          </cell>
          <cell r="N189" t="str">
            <v>Spool</v>
          </cell>
          <cell r="O189">
            <v>0</v>
          </cell>
          <cell r="P189">
            <v>0</v>
          </cell>
          <cell r="Q189" t="str">
            <v>CS</v>
          </cell>
          <cell r="R189">
            <v>1</v>
          </cell>
          <cell r="S189">
            <v>1</v>
          </cell>
          <cell r="T189">
            <v>19.632760000000001</v>
          </cell>
          <cell r="U189">
            <v>19.632760000000001</v>
          </cell>
        </row>
        <row r="190">
          <cell r="B190" t="str">
            <v>V17551-PIND-0332-01</v>
          </cell>
          <cell r="C190" t="str">
            <v>PROD/25-26/13746</v>
          </cell>
          <cell r="D190" t="str">
            <v/>
          </cell>
          <cell r="E190" t="str">
            <v>TJ/25-26/184-CS</v>
          </cell>
          <cell r="F190" t="str">
            <v>P5</v>
          </cell>
          <cell r="G190">
            <v>0</v>
          </cell>
          <cell r="H190">
            <v>1</v>
          </cell>
          <cell r="I190" t="str">
            <v>Yes</v>
          </cell>
          <cell r="J190" t="str">
            <v/>
          </cell>
          <cell r="K190" t="str">
            <v>No</v>
          </cell>
          <cell r="L190" t="str">
            <v/>
          </cell>
          <cell r="M190" t="str">
            <v/>
          </cell>
          <cell r="N190" t="str">
            <v>Spool</v>
          </cell>
          <cell r="O190">
            <v>0</v>
          </cell>
          <cell r="P190">
            <v>0</v>
          </cell>
          <cell r="Q190" t="str">
            <v>CS</v>
          </cell>
          <cell r="R190">
            <v>1</v>
          </cell>
          <cell r="S190">
            <v>1</v>
          </cell>
          <cell r="T190">
            <v>25.50732</v>
          </cell>
          <cell r="U190">
            <v>25.50732</v>
          </cell>
        </row>
        <row r="191">
          <cell r="B191" t="str">
            <v>V17551-PIND-0333-01</v>
          </cell>
          <cell r="C191" t="str">
            <v>PROD/25-26/13747</v>
          </cell>
          <cell r="D191" t="str">
            <v/>
          </cell>
          <cell r="E191" t="str">
            <v>TJ/25-26/184-CS</v>
          </cell>
          <cell r="F191" t="str">
            <v>P5</v>
          </cell>
          <cell r="G191">
            <v>0</v>
          </cell>
          <cell r="H191">
            <v>1</v>
          </cell>
          <cell r="I191" t="str">
            <v>Yes</v>
          </cell>
          <cell r="J191" t="str">
            <v/>
          </cell>
          <cell r="K191" t="str">
            <v>Yes</v>
          </cell>
          <cell r="L191" t="str">
            <v/>
          </cell>
          <cell r="M191" t="str">
            <v/>
          </cell>
          <cell r="N191" t="str">
            <v>Spool</v>
          </cell>
          <cell r="O191">
            <v>0</v>
          </cell>
          <cell r="P191">
            <v>0</v>
          </cell>
          <cell r="Q191" t="str">
            <v>CS</v>
          </cell>
          <cell r="R191">
            <v>1</v>
          </cell>
          <cell r="S191">
            <v>1</v>
          </cell>
          <cell r="T191">
            <v>12.829000000000001</v>
          </cell>
          <cell r="U191">
            <v>12.829000000000001</v>
          </cell>
        </row>
        <row r="192">
          <cell r="B192" t="str">
            <v>V17551-PIND-0334-01</v>
          </cell>
          <cell r="C192" t="str">
            <v>PROD/25-26/13748</v>
          </cell>
          <cell r="D192" t="str">
            <v/>
          </cell>
          <cell r="E192" t="str">
            <v>TJ/25-26/184-CS</v>
          </cell>
          <cell r="F192" t="str">
            <v>P5</v>
          </cell>
          <cell r="G192">
            <v>0</v>
          </cell>
          <cell r="H192">
            <v>1</v>
          </cell>
          <cell r="I192" t="str">
            <v>Yes</v>
          </cell>
          <cell r="J192" t="str">
            <v/>
          </cell>
          <cell r="K192" t="str">
            <v>Yes</v>
          </cell>
          <cell r="L192" t="str">
            <v/>
          </cell>
          <cell r="M192" t="str">
            <v/>
          </cell>
          <cell r="N192" t="str">
            <v>Spool</v>
          </cell>
          <cell r="O192">
            <v>0</v>
          </cell>
          <cell r="P192">
            <v>0</v>
          </cell>
          <cell r="Q192" t="str">
            <v>CS</v>
          </cell>
          <cell r="R192">
            <v>1</v>
          </cell>
          <cell r="S192">
            <v>1</v>
          </cell>
          <cell r="T192">
            <v>20.941079999999999</v>
          </cell>
          <cell r="U192">
            <v>20.941079999999999</v>
          </cell>
        </row>
        <row r="193">
          <cell r="B193" t="str">
            <v>V17551-PIND-0335-01</v>
          </cell>
          <cell r="C193" t="str">
            <v>PROD/25-26/13749</v>
          </cell>
          <cell r="D193" t="str">
            <v/>
          </cell>
          <cell r="E193" t="str">
            <v>TJ/25-26/184-CS</v>
          </cell>
          <cell r="F193" t="str">
            <v>P5</v>
          </cell>
          <cell r="G193">
            <v>0</v>
          </cell>
          <cell r="H193">
            <v>1</v>
          </cell>
          <cell r="I193" t="str">
            <v>Yes</v>
          </cell>
          <cell r="J193" t="str">
            <v/>
          </cell>
          <cell r="K193" t="str">
            <v>Yes</v>
          </cell>
          <cell r="L193" t="str">
            <v/>
          </cell>
          <cell r="M193" t="str">
            <v/>
          </cell>
          <cell r="N193" t="str">
            <v>Spool</v>
          </cell>
          <cell r="O193">
            <v>0</v>
          </cell>
          <cell r="P193">
            <v>0</v>
          </cell>
          <cell r="Q193" t="str">
            <v>CS</v>
          </cell>
          <cell r="R193">
            <v>1</v>
          </cell>
          <cell r="S193">
            <v>1</v>
          </cell>
          <cell r="T193">
            <v>21.164639999999999</v>
          </cell>
          <cell r="U193">
            <v>21.164639999999999</v>
          </cell>
        </row>
        <row r="194">
          <cell r="B194" t="str">
            <v>V17551-PIND-0336-01</v>
          </cell>
          <cell r="C194" t="str">
            <v>PROD/25-26/13750</v>
          </cell>
          <cell r="D194" t="str">
            <v/>
          </cell>
          <cell r="E194" t="str">
            <v>TJ/25-26/184-CS</v>
          </cell>
          <cell r="F194" t="str">
            <v>P5</v>
          </cell>
          <cell r="G194">
            <v>0</v>
          </cell>
          <cell r="H194">
            <v>1</v>
          </cell>
          <cell r="I194" t="str">
            <v>Yes</v>
          </cell>
          <cell r="J194" t="str">
            <v/>
          </cell>
          <cell r="K194" t="str">
            <v>Yes</v>
          </cell>
          <cell r="L194" t="str">
            <v/>
          </cell>
          <cell r="M194" t="str">
            <v/>
          </cell>
          <cell r="N194" t="str">
            <v>Spool</v>
          </cell>
          <cell r="O194">
            <v>0</v>
          </cell>
          <cell r="P194">
            <v>0</v>
          </cell>
          <cell r="Q194" t="str">
            <v>CS</v>
          </cell>
          <cell r="R194">
            <v>1</v>
          </cell>
          <cell r="S194">
            <v>1</v>
          </cell>
          <cell r="T194">
            <v>21.171600000000002</v>
          </cell>
          <cell r="U194">
            <v>21.171600000000002</v>
          </cell>
        </row>
        <row r="195">
          <cell r="B195" t="str">
            <v>V17551-PIND-0337-01</v>
          </cell>
          <cell r="C195" t="str">
            <v>PROD/25-26/13751</v>
          </cell>
          <cell r="D195" t="str">
            <v/>
          </cell>
          <cell r="E195" t="str">
            <v>TJ/25-26/184-CS</v>
          </cell>
          <cell r="F195" t="str">
            <v>P5</v>
          </cell>
          <cell r="G195">
            <v>0</v>
          </cell>
          <cell r="H195">
            <v>1</v>
          </cell>
          <cell r="I195" t="str">
            <v>Yes</v>
          </cell>
          <cell r="J195" t="str">
            <v/>
          </cell>
          <cell r="K195" t="str">
            <v>Yes</v>
          </cell>
          <cell r="L195" t="str">
            <v/>
          </cell>
          <cell r="M195" t="str">
            <v/>
          </cell>
          <cell r="N195" t="str">
            <v>Spool</v>
          </cell>
          <cell r="O195">
            <v>0</v>
          </cell>
          <cell r="P195">
            <v>0</v>
          </cell>
          <cell r="Q195" t="str">
            <v>CS</v>
          </cell>
          <cell r="R195">
            <v>1</v>
          </cell>
          <cell r="S195">
            <v>1</v>
          </cell>
          <cell r="T195">
            <v>17.860320000000002</v>
          </cell>
          <cell r="U195">
            <v>17.860320000000002</v>
          </cell>
        </row>
        <row r="196">
          <cell r="B196" t="str">
            <v>V17551-PIND-0338-01</v>
          </cell>
          <cell r="C196" t="str">
            <v>PROD/25-26/14078</v>
          </cell>
          <cell r="D196" t="str">
            <v/>
          </cell>
          <cell r="E196" t="str">
            <v>TJ/25-26/184-CS</v>
          </cell>
          <cell r="F196" t="str">
            <v>P5</v>
          </cell>
          <cell r="G196">
            <v>0</v>
          </cell>
          <cell r="H196">
            <v>1</v>
          </cell>
          <cell r="I196" t="str">
            <v>Yes</v>
          </cell>
          <cell r="J196" t="str">
            <v/>
          </cell>
          <cell r="K196" t="str">
            <v>Yes</v>
          </cell>
          <cell r="L196" t="str">
            <v/>
          </cell>
          <cell r="M196" t="str">
            <v/>
          </cell>
          <cell r="N196" t="str">
            <v>Spool</v>
          </cell>
          <cell r="O196">
            <v>0</v>
          </cell>
          <cell r="P196">
            <v>0</v>
          </cell>
          <cell r="Q196" t="str">
            <v>CS</v>
          </cell>
          <cell r="R196">
            <v>1</v>
          </cell>
          <cell r="S196">
            <v>1</v>
          </cell>
          <cell r="T196">
            <v>125.48316</v>
          </cell>
          <cell r="U196">
            <v>125.48316</v>
          </cell>
        </row>
        <row r="197">
          <cell r="B197" t="str">
            <v>V17551-PIND-0339-01</v>
          </cell>
          <cell r="C197" t="str">
            <v>PROD/25-26/13752</v>
          </cell>
          <cell r="D197" t="str">
            <v/>
          </cell>
          <cell r="E197" t="str">
            <v>TJ/25-26/184-CS</v>
          </cell>
          <cell r="F197" t="str">
            <v>P5</v>
          </cell>
          <cell r="G197">
            <v>0</v>
          </cell>
          <cell r="H197">
            <v>1</v>
          </cell>
          <cell r="I197" t="str">
            <v>Yes</v>
          </cell>
          <cell r="J197" t="str">
            <v/>
          </cell>
          <cell r="K197" t="str">
            <v>No</v>
          </cell>
          <cell r="L197" t="str">
            <v/>
          </cell>
          <cell r="M197" t="str">
            <v/>
          </cell>
          <cell r="N197" t="str">
            <v>Spool</v>
          </cell>
          <cell r="O197">
            <v>0</v>
          </cell>
          <cell r="P197">
            <v>0</v>
          </cell>
          <cell r="Q197" t="str">
            <v>CS</v>
          </cell>
          <cell r="R197">
            <v>1</v>
          </cell>
          <cell r="S197">
            <v>1</v>
          </cell>
          <cell r="T197">
            <v>6.2843999999999998</v>
          </cell>
          <cell r="U197">
            <v>6.2843999999999998</v>
          </cell>
        </row>
        <row r="198">
          <cell r="B198" t="str">
            <v>V17551-PIND-0340-01</v>
          </cell>
          <cell r="C198" t="str">
            <v>PROD/25-26/13753</v>
          </cell>
          <cell r="D198" t="str">
            <v/>
          </cell>
          <cell r="E198" t="str">
            <v>TJ/25-26/184-CS</v>
          </cell>
          <cell r="F198" t="str">
            <v>P5</v>
          </cell>
          <cell r="G198">
            <v>0</v>
          </cell>
          <cell r="H198">
            <v>1</v>
          </cell>
          <cell r="I198" t="str">
            <v>Yes</v>
          </cell>
          <cell r="J198" t="str">
            <v/>
          </cell>
          <cell r="K198" t="str">
            <v>No</v>
          </cell>
          <cell r="L198" t="str">
            <v/>
          </cell>
          <cell r="M198" t="str">
            <v/>
          </cell>
          <cell r="N198" t="str">
            <v>Spool</v>
          </cell>
          <cell r="O198">
            <v>0</v>
          </cell>
          <cell r="P198">
            <v>0</v>
          </cell>
          <cell r="Q198" t="str">
            <v>CS</v>
          </cell>
          <cell r="R198">
            <v>1</v>
          </cell>
          <cell r="S198">
            <v>1</v>
          </cell>
          <cell r="T198">
            <v>9.2749199999999998</v>
          </cell>
          <cell r="U198">
            <v>9.2749199999999998</v>
          </cell>
        </row>
        <row r="199">
          <cell r="B199" t="str">
            <v>V17551-PIND-0341-01</v>
          </cell>
          <cell r="C199" t="str">
            <v>PROD/25-26/13754</v>
          </cell>
          <cell r="D199" t="str">
            <v/>
          </cell>
          <cell r="E199" t="str">
            <v>TJ/25-26/184-CS</v>
          </cell>
          <cell r="F199" t="str">
            <v>P5</v>
          </cell>
          <cell r="G199">
            <v>0</v>
          </cell>
          <cell r="H199">
            <v>1</v>
          </cell>
          <cell r="I199" t="str">
            <v>Yes</v>
          </cell>
          <cell r="J199" t="str">
            <v/>
          </cell>
          <cell r="K199" t="str">
            <v>Yes</v>
          </cell>
          <cell r="L199" t="str">
            <v/>
          </cell>
          <cell r="M199" t="str">
            <v/>
          </cell>
          <cell r="N199" t="str">
            <v>Spool</v>
          </cell>
          <cell r="O199">
            <v>0</v>
          </cell>
          <cell r="P199">
            <v>0</v>
          </cell>
          <cell r="Q199" t="str">
            <v>CS</v>
          </cell>
          <cell r="R199">
            <v>1</v>
          </cell>
          <cell r="S199">
            <v>1</v>
          </cell>
          <cell r="T199">
            <v>14.85468</v>
          </cell>
          <cell r="U199">
            <v>14.85468</v>
          </cell>
        </row>
        <row r="200">
          <cell r="B200" t="str">
            <v>V17551-PIND-0342-01</v>
          </cell>
          <cell r="C200" t="str">
            <v>PROD/25-26/13755</v>
          </cell>
          <cell r="D200" t="str">
            <v/>
          </cell>
          <cell r="E200" t="str">
            <v>TJ/25-26/184-CS</v>
          </cell>
          <cell r="F200" t="str">
            <v>P5</v>
          </cell>
          <cell r="G200">
            <v>0</v>
          </cell>
          <cell r="H200">
            <v>1</v>
          </cell>
          <cell r="I200" t="str">
            <v>Yes</v>
          </cell>
          <cell r="J200" t="str">
            <v/>
          </cell>
          <cell r="K200" t="str">
            <v>Yes</v>
          </cell>
          <cell r="L200" t="str">
            <v/>
          </cell>
          <cell r="M200" t="str">
            <v/>
          </cell>
          <cell r="N200" t="str">
            <v>Spool</v>
          </cell>
          <cell r="O200">
            <v>0</v>
          </cell>
          <cell r="P200">
            <v>0</v>
          </cell>
          <cell r="Q200" t="str">
            <v>CS</v>
          </cell>
          <cell r="R200">
            <v>1</v>
          </cell>
          <cell r="S200">
            <v>1</v>
          </cell>
          <cell r="T200">
            <v>27.25572</v>
          </cell>
          <cell r="U200">
            <v>27.25572</v>
          </cell>
        </row>
        <row r="201">
          <cell r="B201" t="str">
            <v>V17551-PIND-0343-01</v>
          </cell>
          <cell r="C201" t="str">
            <v>PROD/25-26/14083</v>
          </cell>
          <cell r="D201" t="str">
            <v/>
          </cell>
          <cell r="E201" t="str">
            <v>TJ/25-26/184-CS</v>
          </cell>
          <cell r="F201" t="str">
            <v>P5</v>
          </cell>
          <cell r="G201">
            <v>0</v>
          </cell>
          <cell r="H201">
            <v>1</v>
          </cell>
          <cell r="I201" t="str">
            <v>Yes</v>
          </cell>
          <cell r="J201" t="str">
            <v/>
          </cell>
          <cell r="K201" t="str">
            <v>Yes</v>
          </cell>
          <cell r="L201" t="str">
            <v/>
          </cell>
          <cell r="M201" t="str">
            <v/>
          </cell>
          <cell r="N201" t="str">
            <v>Spool</v>
          </cell>
          <cell r="O201">
            <v>0</v>
          </cell>
          <cell r="P201">
            <v>0</v>
          </cell>
          <cell r="Q201" t="str">
            <v>CS</v>
          </cell>
          <cell r="R201">
            <v>1</v>
          </cell>
          <cell r="S201">
            <v>1</v>
          </cell>
          <cell r="T201">
            <v>126.03591</v>
          </cell>
          <cell r="U201">
            <v>126.03591</v>
          </cell>
        </row>
        <row r="202">
          <cell r="B202" t="str">
            <v>V17551-PIND-0344-01</v>
          </cell>
          <cell r="C202" t="str">
            <v>PROD/25-26/13757</v>
          </cell>
          <cell r="D202" t="str">
            <v/>
          </cell>
          <cell r="E202" t="str">
            <v>TJ/25-26/184-CS</v>
          </cell>
          <cell r="F202" t="str">
            <v>P5</v>
          </cell>
          <cell r="G202">
            <v>0</v>
          </cell>
          <cell r="H202">
            <v>1</v>
          </cell>
          <cell r="I202" t="str">
            <v>Yes</v>
          </cell>
          <cell r="J202" t="str">
            <v/>
          </cell>
          <cell r="K202" t="str">
            <v>Yes</v>
          </cell>
          <cell r="L202" t="str">
            <v/>
          </cell>
          <cell r="M202" t="str">
            <v/>
          </cell>
          <cell r="N202" t="str">
            <v>Spool</v>
          </cell>
          <cell r="O202">
            <v>0</v>
          </cell>
          <cell r="P202">
            <v>0</v>
          </cell>
          <cell r="Q202" t="str">
            <v>CS</v>
          </cell>
          <cell r="R202">
            <v>1</v>
          </cell>
          <cell r="S202">
            <v>1</v>
          </cell>
          <cell r="T202">
            <v>11.6548</v>
          </cell>
          <cell r="U202">
            <v>11.6548</v>
          </cell>
        </row>
        <row r="203">
          <cell r="B203" t="str">
            <v>V17551-PIND-0345-01</v>
          </cell>
          <cell r="C203" t="str">
            <v>PROD/25-26/13758</v>
          </cell>
          <cell r="D203" t="str">
            <v/>
          </cell>
          <cell r="E203" t="str">
            <v>TJ/25-26/184-CS</v>
          </cell>
          <cell r="F203" t="str">
            <v>P5</v>
          </cell>
          <cell r="G203">
            <v>0</v>
          </cell>
          <cell r="H203">
            <v>1</v>
          </cell>
          <cell r="I203" t="str">
            <v>Yes</v>
          </cell>
          <cell r="J203" t="str">
            <v/>
          </cell>
          <cell r="K203" t="str">
            <v>Yes</v>
          </cell>
          <cell r="L203" t="str">
            <v/>
          </cell>
          <cell r="M203" t="str">
            <v/>
          </cell>
          <cell r="N203" t="str">
            <v>Spool</v>
          </cell>
          <cell r="O203">
            <v>0</v>
          </cell>
          <cell r="P203">
            <v>0</v>
          </cell>
          <cell r="Q203" t="str">
            <v>CS</v>
          </cell>
          <cell r="R203">
            <v>1</v>
          </cell>
          <cell r="S203">
            <v>1</v>
          </cell>
          <cell r="T203">
            <v>12.439260000000001</v>
          </cell>
          <cell r="U203">
            <v>12.439260000000001</v>
          </cell>
        </row>
        <row r="204">
          <cell r="B204" t="str">
            <v>V17551-PIND-0346-01</v>
          </cell>
          <cell r="C204" t="str">
            <v>PROD/25-26/13759</v>
          </cell>
          <cell r="D204" t="str">
            <v/>
          </cell>
          <cell r="E204" t="str">
            <v>TJ/25-26/184-CS</v>
          </cell>
          <cell r="F204" t="str">
            <v>P5</v>
          </cell>
          <cell r="G204">
            <v>0</v>
          </cell>
          <cell r="H204">
            <v>1</v>
          </cell>
          <cell r="I204" t="str">
            <v>Yes</v>
          </cell>
          <cell r="J204" t="str">
            <v/>
          </cell>
          <cell r="K204" t="str">
            <v>Yes</v>
          </cell>
          <cell r="L204" t="str">
            <v/>
          </cell>
          <cell r="M204" t="str">
            <v/>
          </cell>
          <cell r="N204" t="str">
            <v>Spool</v>
          </cell>
          <cell r="O204">
            <v>0</v>
          </cell>
          <cell r="P204">
            <v>0</v>
          </cell>
          <cell r="Q204" t="str">
            <v>CS</v>
          </cell>
          <cell r="R204">
            <v>1</v>
          </cell>
          <cell r="S204">
            <v>1</v>
          </cell>
          <cell r="T204">
            <v>3.2532000000000001</v>
          </cell>
          <cell r="U204">
            <v>3.2532000000000001</v>
          </cell>
        </row>
        <row r="205">
          <cell r="B205" t="str">
            <v>V17551-PIND-0347-01</v>
          </cell>
          <cell r="C205" t="str">
            <v>PROD/25-26/13760</v>
          </cell>
          <cell r="D205" t="str">
            <v/>
          </cell>
          <cell r="E205" t="str">
            <v>TJ/25-26/184-CS</v>
          </cell>
          <cell r="F205" t="str">
            <v>P5</v>
          </cell>
          <cell r="G205">
            <v>0</v>
          </cell>
          <cell r="H205">
            <v>1</v>
          </cell>
          <cell r="I205" t="str">
            <v>Yes</v>
          </cell>
          <cell r="J205" t="str">
            <v/>
          </cell>
          <cell r="K205" t="str">
            <v>Yes</v>
          </cell>
          <cell r="L205" t="str">
            <v/>
          </cell>
          <cell r="M205" t="str">
            <v/>
          </cell>
          <cell r="N205" t="str">
            <v>Spool</v>
          </cell>
          <cell r="O205">
            <v>0</v>
          </cell>
          <cell r="P205">
            <v>0</v>
          </cell>
          <cell r="Q205" t="str">
            <v>CS</v>
          </cell>
          <cell r="R205">
            <v>1</v>
          </cell>
          <cell r="S205">
            <v>1</v>
          </cell>
          <cell r="T205">
            <v>2.37588</v>
          </cell>
          <cell r="U205">
            <v>2.37588</v>
          </cell>
        </row>
        <row r="206">
          <cell r="B206" t="str">
            <v>V17551-PIND-0348-01</v>
          </cell>
          <cell r="C206" t="str">
            <v>PROD/25-26/13761</v>
          </cell>
          <cell r="D206" t="str">
            <v/>
          </cell>
          <cell r="E206" t="str">
            <v>TJ/25-26/184-CS</v>
          </cell>
          <cell r="F206" t="str">
            <v>P5</v>
          </cell>
          <cell r="G206">
            <v>0</v>
          </cell>
          <cell r="H206">
            <v>1</v>
          </cell>
          <cell r="I206" t="str">
            <v>Yes</v>
          </cell>
          <cell r="J206" t="str">
            <v/>
          </cell>
          <cell r="K206" t="str">
            <v>Yes</v>
          </cell>
          <cell r="L206" t="str">
            <v/>
          </cell>
          <cell r="M206" t="str">
            <v/>
          </cell>
          <cell r="N206" t="str">
            <v>Spool</v>
          </cell>
          <cell r="O206">
            <v>0</v>
          </cell>
          <cell r="P206">
            <v>0</v>
          </cell>
          <cell r="Q206" t="str">
            <v>CS</v>
          </cell>
          <cell r="R206">
            <v>1</v>
          </cell>
          <cell r="S206">
            <v>1</v>
          </cell>
          <cell r="T206">
            <v>2.5540799999999999</v>
          </cell>
          <cell r="U206">
            <v>2.5540799999999999</v>
          </cell>
        </row>
        <row r="207">
          <cell r="B207" t="str">
            <v>V17551-PIND-0349-04</v>
          </cell>
          <cell r="C207" t="str">
            <v>PROD/25-26/13762</v>
          </cell>
          <cell r="D207" t="str">
            <v/>
          </cell>
          <cell r="E207" t="str">
            <v>TJ/25-26/184-CS</v>
          </cell>
          <cell r="F207" t="str">
            <v>P5</v>
          </cell>
          <cell r="G207">
            <v>0</v>
          </cell>
          <cell r="H207">
            <v>1</v>
          </cell>
          <cell r="I207" t="str">
            <v>Yes</v>
          </cell>
          <cell r="J207" t="str">
            <v/>
          </cell>
          <cell r="K207" t="str">
            <v>Yes</v>
          </cell>
          <cell r="L207" t="str">
            <v/>
          </cell>
          <cell r="M207" t="str">
            <v/>
          </cell>
          <cell r="N207" t="str">
            <v>Spool</v>
          </cell>
          <cell r="O207">
            <v>0</v>
          </cell>
          <cell r="P207">
            <v>0</v>
          </cell>
          <cell r="Q207" t="str">
            <v>CS</v>
          </cell>
          <cell r="R207">
            <v>1</v>
          </cell>
          <cell r="S207">
            <v>1</v>
          </cell>
          <cell r="T207">
            <v>38.609400000000001</v>
          </cell>
          <cell r="U207">
            <v>38.609400000000001</v>
          </cell>
        </row>
        <row r="208">
          <cell r="B208" t="str">
            <v>V17551-PIND-0350-01</v>
          </cell>
          <cell r="C208" t="str">
            <v>PROD/25-26/13763</v>
          </cell>
          <cell r="D208" t="str">
            <v/>
          </cell>
          <cell r="E208" t="str">
            <v>TJ/25-26/184-CS</v>
          </cell>
          <cell r="F208" t="str">
            <v>P5</v>
          </cell>
          <cell r="G208">
            <v>0</v>
          </cell>
          <cell r="H208">
            <v>1</v>
          </cell>
          <cell r="I208" t="str">
            <v>Yes</v>
          </cell>
          <cell r="J208" t="str">
            <v/>
          </cell>
          <cell r="K208" t="str">
            <v>Yes</v>
          </cell>
          <cell r="L208" t="str">
            <v/>
          </cell>
          <cell r="M208" t="str">
            <v/>
          </cell>
          <cell r="N208" t="str">
            <v>Spool</v>
          </cell>
          <cell r="O208">
            <v>0</v>
          </cell>
          <cell r="P208">
            <v>0</v>
          </cell>
          <cell r="Q208" t="str">
            <v>CS</v>
          </cell>
          <cell r="R208">
            <v>1</v>
          </cell>
          <cell r="S208">
            <v>1</v>
          </cell>
          <cell r="T208">
            <v>22.226959999999998</v>
          </cell>
          <cell r="U208">
            <v>22.226959999999998</v>
          </cell>
        </row>
        <row r="209">
          <cell r="B209" t="str">
            <v>V17551-PIND-0351-01</v>
          </cell>
          <cell r="C209" t="str">
            <v>PROD/25-26/13764</v>
          </cell>
          <cell r="D209" t="str">
            <v/>
          </cell>
          <cell r="E209" t="str">
            <v>TJ/25-26/184-CS</v>
          </cell>
          <cell r="F209" t="str">
            <v>P5</v>
          </cell>
          <cell r="G209">
            <v>0</v>
          </cell>
          <cell r="H209">
            <v>1</v>
          </cell>
          <cell r="I209" t="str">
            <v>Yes</v>
          </cell>
          <cell r="J209" t="str">
            <v/>
          </cell>
          <cell r="K209" t="str">
            <v>Yes</v>
          </cell>
          <cell r="L209" t="str">
            <v/>
          </cell>
          <cell r="M209" t="str">
            <v/>
          </cell>
          <cell r="N209" t="str">
            <v>Spool</v>
          </cell>
          <cell r="O209">
            <v>0</v>
          </cell>
          <cell r="P209">
            <v>0</v>
          </cell>
          <cell r="Q209" t="str">
            <v>CS</v>
          </cell>
          <cell r="R209">
            <v>1</v>
          </cell>
          <cell r="S209">
            <v>1</v>
          </cell>
          <cell r="T209">
            <v>19.334440000000001</v>
          </cell>
          <cell r="U209">
            <v>19.334440000000001</v>
          </cell>
        </row>
        <row r="210">
          <cell r="B210" t="str">
            <v>V17551-PIND-0352-01</v>
          </cell>
          <cell r="C210" t="str">
            <v>PROD/25-26/13765</v>
          </cell>
          <cell r="D210" t="str">
            <v/>
          </cell>
          <cell r="E210" t="str">
            <v>TJ/25-26/184-CS</v>
          </cell>
          <cell r="F210" t="str">
            <v>P5</v>
          </cell>
          <cell r="G210">
            <v>0</v>
          </cell>
          <cell r="H210">
            <v>1</v>
          </cell>
          <cell r="I210" t="str">
            <v>Yes</v>
          </cell>
          <cell r="J210" t="str">
            <v/>
          </cell>
          <cell r="K210" t="str">
            <v>Yes</v>
          </cell>
          <cell r="L210" t="str">
            <v/>
          </cell>
          <cell r="M210" t="str">
            <v/>
          </cell>
          <cell r="N210" t="str">
            <v>Spool</v>
          </cell>
          <cell r="O210">
            <v>0</v>
          </cell>
          <cell r="P210">
            <v>0</v>
          </cell>
          <cell r="Q210" t="str">
            <v>CS</v>
          </cell>
          <cell r="R210">
            <v>1</v>
          </cell>
          <cell r="S210">
            <v>1</v>
          </cell>
          <cell r="T210">
            <v>18.504999999999999</v>
          </cell>
          <cell r="U210">
            <v>18.504999999999999</v>
          </cell>
        </row>
        <row r="211">
          <cell r="B211" t="str">
            <v>V17551-PIND-0353-01</v>
          </cell>
          <cell r="C211" t="str">
            <v>PROD/25-26/13625</v>
          </cell>
          <cell r="D211" t="str">
            <v/>
          </cell>
          <cell r="E211" t="str">
            <v>TJ/25-26/184-CS</v>
          </cell>
          <cell r="F211" t="str">
            <v>P5</v>
          </cell>
          <cell r="G211">
            <v>0</v>
          </cell>
          <cell r="H211">
            <v>1</v>
          </cell>
          <cell r="I211" t="str">
            <v>Yes</v>
          </cell>
          <cell r="J211" t="str">
            <v/>
          </cell>
          <cell r="K211" t="str">
            <v>Yes</v>
          </cell>
          <cell r="L211" t="str">
            <v/>
          </cell>
          <cell r="M211" t="str">
            <v/>
          </cell>
          <cell r="N211" t="str">
            <v>Spool</v>
          </cell>
          <cell r="O211">
            <v>0</v>
          </cell>
          <cell r="P211">
            <v>0</v>
          </cell>
          <cell r="Q211" t="str">
            <v>CS</v>
          </cell>
          <cell r="R211">
            <v>1</v>
          </cell>
          <cell r="S211">
            <v>1</v>
          </cell>
          <cell r="T211">
            <v>18.88036</v>
          </cell>
          <cell r="U211">
            <v>18.88036</v>
          </cell>
        </row>
        <row r="212">
          <cell r="B212" t="str">
            <v>V17551-PIND-0354-01</v>
          </cell>
          <cell r="C212" t="str">
            <v>PROD/25-26/13626</v>
          </cell>
          <cell r="D212" t="str">
            <v/>
          </cell>
          <cell r="E212" t="str">
            <v>TJ/25-26/184-CS</v>
          </cell>
          <cell r="F212" t="str">
            <v>P5</v>
          </cell>
          <cell r="G212">
            <v>0</v>
          </cell>
          <cell r="H212">
            <v>1</v>
          </cell>
          <cell r="I212" t="str">
            <v>Yes</v>
          </cell>
          <cell r="J212" t="str">
            <v/>
          </cell>
          <cell r="K212" t="str">
            <v>Yes</v>
          </cell>
          <cell r="L212" t="str">
            <v/>
          </cell>
          <cell r="M212" t="str">
            <v/>
          </cell>
          <cell r="N212" t="str">
            <v>Spool</v>
          </cell>
          <cell r="O212">
            <v>0</v>
          </cell>
          <cell r="P212">
            <v>0</v>
          </cell>
          <cell r="Q212" t="str">
            <v>CS</v>
          </cell>
          <cell r="R212">
            <v>1</v>
          </cell>
          <cell r="S212">
            <v>1</v>
          </cell>
          <cell r="T212">
            <v>19.019680000000001</v>
          </cell>
          <cell r="U212">
            <v>19.019680000000001</v>
          </cell>
        </row>
        <row r="213">
          <cell r="B213" t="str">
            <v>V17551-PIND-0355-01</v>
          </cell>
          <cell r="C213" t="str">
            <v>PROD/25-26/13627</v>
          </cell>
          <cell r="D213" t="str">
            <v/>
          </cell>
          <cell r="E213" t="str">
            <v>TJ/25-26/184-CS</v>
          </cell>
          <cell r="F213" t="str">
            <v>P5</v>
          </cell>
          <cell r="G213">
            <v>0</v>
          </cell>
          <cell r="H213">
            <v>1</v>
          </cell>
          <cell r="I213" t="str">
            <v>Yes</v>
          </cell>
          <cell r="J213" t="str">
            <v/>
          </cell>
          <cell r="K213" t="str">
            <v>Yes</v>
          </cell>
          <cell r="L213" t="str">
            <v/>
          </cell>
          <cell r="M213" t="str">
            <v/>
          </cell>
          <cell r="N213" t="str">
            <v>Spool</v>
          </cell>
          <cell r="O213">
            <v>0</v>
          </cell>
          <cell r="P213">
            <v>0</v>
          </cell>
          <cell r="Q213" t="str">
            <v>CS</v>
          </cell>
          <cell r="R213">
            <v>1</v>
          </cell>
          <cell r="S213">
            <v>1</v>
          </cell>
          <cell r="T213">
            <v>19.628799999999998</v>
          </cell>
          <cell r="U213">
            <v>19.628799999999998</v>
          </cell>
        </row>
        <row r="214">
          <cell r="B214" t="str">
            <v>V17551-PIND-0356-01</v>
          </cell>
          <cell r="C214" t="str">
            <v>PROD/25-26/13628</v>
          </cell>
          <cell r="D214" t="str">
            <v/>
          </cell>
          <cell r="E214" t="str">
            <v>TJ/25-26/184-CS</v>
          </cell>
          <cell r="F214" t="str">
            <v>P5</v>
          </cell>
          <cell r="G214">
            <v>0</v>
          </cell>
          <cell r="H214">
            <v>1</v>
          </cell>
          <cell r="I214" t="str">
            <v>Yes</v>
          </cell>
          <cell r="J214" t="str">
            <v/>
          </cell>
          <cell r="K214" t="str">
            <v>Yes</v>
          </cell>
          <cell r="L214" t="str">
            <v/>
          </cell>
          <cell r="M214" t="str">
            <v/>
          </cell>
          <cell r="N214" t="str">
            <v>Spool</v>
          </cell>
          <cell r="O214">
            <v>0</v>
          </cell>
          <cell r="P214">
            <v>0</v>
          </cell>
          <cell r="Q214" t="str">
            <v>CS</v>
          </cell>
          <cell r="R214">
            <v>1</v>
          </cell>
          <cell r="S214">
            <v>1</v>
          </cell>
          <cell r="T214">
            <v>19.794039999999999</v>
          </cell>
          <cell r="U214">
            <v>19.794039999999999</v>
          </cell>
        </row>
        <row r="215">
          <cell r="B215" t="str">
            <v>V17551-PIND-0357-01</v>
          </cell>
          <cell r="C215" t="str">
            <v>PROD/25-26/13768</v>
          </cell>
          <cell r="D215" t="str">
            <v/>
          </cell>
          <cell r="E215" t="str">
            <v>TJ/25-26/184-CS</v>
          </cell>
          <cell r="F215" t="str">
            <v>P5</v>
          </cell>
          <cell r="G215">
            <v>0</v>
          </cell>
          <cell r="H215">
            <v>1</v>
          </cell>
          <cell r="I215" t="str">
            <v>Yes</v>
          </cell>
          <cell r="J215" t="str">
            <v/>
          </cell>
          <cell r="K215" t="str">
            <v>Yes</v>
          </cell>
          <cell r="L215" t="str">
            <v/>
          </cell>
          <cell r="M215" t="str">
            <v/>
          </cell>
          <cell r="N215" t="str">
            <v>Spool</v>
          </cell>
          <cell r="O215">
            <v>0</v>
          </cell>
          <cell r="P215">
            <v>0</v>
          </cell>
          <cell r="Q215" t="str">
            <v>CS</v>
          </cell>
          <cell r="R215">
            <v>1</v>
          </cell>
          <cell r="S215">
            <v>1</v>
          </cell>
          <cell r="T215">
            <v>18.838719999999999</v>
          </cell>
          <cell r="U215">
            <v>18.838719999999999</v>
          </cell>
        </row>
        <row r="216">
          <cell r="B216" t="str">
            <v>V17551-PIND-0358-01</v>
          </cell>
          <cell r="C216" t="str">
            <v>PROD/25-26/13769</v>
          </cell>
          <cell r="D216" t="str">
            <v/>
          </cell>
          <cell r="E216" t="str">
            <v>TJ/25-26/184-CS</v>
          </cell>
          <cell r="F216" t="str">
            <v>P5</v>
          </cell>
          <cell r="G216">
            <v>0</v>
          </cell>
          <cell r="H216">
            <v>1</v>
          </cell>
          <cell r="I216" t="str">
            <v>Yes</v>
          </cell>
          <cell r="J216" t="str">
            <v/>
          </cell>
          <cell r="K216" t="str">
            <v>Yes</v>
          </cell>
          <cell r="L216" t="str">
            <v/>
          </cell>
          <cell r="M216" t="str">
            <v/>
          </cell>
          <cell r="N216" t="str">
            <v>Spool</v>
          </cell>
          <cell r="O216">
            <v>0</v>
          </cell>
          <cell r="P216">
            <v>0</v>
          </cell>
          <cell r="Q216" t="str">
            <v>CS</v>
          </cell>
          <cell r="R216">
            <v>1</v>
          </cell>
          <cell r="S216">
            <v>1</v>
          </cell>
          <cell r="T216">
            <v>18.22636</v>
          </cell>
          <cell r="U216">
            <v>18.22636</v>
          </cell>
        </row>
        <row r="217">
          <cell r="B217" t="str">
            <v>V17551-PIND-0359-01</v>
          </cell>
          <cell r="C217" t="str">
            <v>PROD/25-26/13770</v>
          </cell>
          <cell r="D217" t="str">
            <v/>
          </cell>
          <cell r="E217" t="str">
            <v>TJ/25-26/184-CS</v>
          </cell>
          <cell r="F217" t="str">
            <v>P5</v>
          </cell>
          <cell r="G217">
            <v>0</v>
          </cell>
          <cell r="H217">
            <v>1</v>
          </cell>
          <cell r="I217" t="str">
            <v>Yes</v>
          </cell>
          <cell r="J217" t="str">
            <v/>
          </cell>
          <cell r="K217" t="str">
            <v>Yes</v>
          </cell>
          <cell r="L217" t="str">
            <v/>
          </cell>
          <cell r="M217" t="str">
            <v/>
          </cell>
          <cell r="N217" t="str">
            <v>Spool</v>
          </cell>
          <cell r="O217">
            <v>0</v>
          </cell>
          <cell r="P217">
            <v>0</v>
          </cell>
          <cell r="Q217" t="str">
            <v>CS</v>
          </cell>
          <cell r="R217">
            <v>1</v>
          </cell>
          <cell r="S217">
            <v>1</v>
          </cell>
          <cell r="T217">
            <v>20.572120000000002</v>
          </cell>
          <cell r="U217">
            <v>20.572120000000002</v>
          </cell>
        </row>
        <row r="218">
          <cell r="B218" t="str">
            <v>V17551-PIND-0360-01</v>
          </cell>
          <cell r="C218" t="str">
            <v>PROD/25-26/13771</v>
          </cell>
          <cell r="D218" t="str">
            <v/>
          </cell>
          <cell r="E218" t="str">
            <v>TJ/25-26/184-CS</v>
          </cell>
          <cell r="F218" t="str">
            <v>P5</v>
          </cell>
          <cell r="G218">
            <v>0</v>
          </cell>
          <cell r="H218">
            <v>1</v>
          </cell>
          <cell r="I218" t="str">
            <v>Yes</v>
          </cell>
          <cell r="J218" t="str">
            <v/>
          </cell>
          <cell r="K218" t="str">
            <v>Yes</v>
          </cell>
          <cell r="L218" t="str">
            <v/>
          </cell>
          <cell r="M218" t="str">
            <v/>
          </cell>
          <cell r="N218" t="str">
            <v>Spool</v>
          </cell>
          <cell r="O218">
            <v>0</v>
          </cell>
          <cell r="P218">
            <v>0</v>
          </cell>
          <cell r="Q218" t="str">
            <v>CS</v>
          </cell>
          <cell r="R218">
            <v>1</v>
          </cell>
          <cell r="S218">
            <v>1</v>
          </cell>
          <cell r="T218">
            <v>18.877600000000001</v>
          </cell>
          <cell r="U218">
            <v>18.877600000000001</v>
          </cell>
        </row>
        <row r="219">
          <cell r="B219" t="str">
            <v>V17551-PIND-0361-01</v>
          </cell>
          <cell r="C219" t="str">
            <v>PROD/25-26/14084</v>
          </cell>
          <cell r="D219" t="str">
            <v/>
          </cell>
          <cell r="E219" t="str">
            <v>TJ/25-26/184-CS</v>
          </cell>
          <cell r="F219" t="str">
            <v>P5</v>
          </cell>
          <cell r="G219">
            <v>0</v>
          </cell>
          <cell r="H219">
            <v>1</v>
          </cell>
          <cell r="I219" t="str">
            <v>Yes</v>
          </cell>
          <cell r="J219" t="str">
            <v/>
          </cell>
          <cell r="K219" t="str">
            <v>Yes</v>
          </cell>
          <cell r="L219" t="str">
            <v/>
          </cell>
          <cell r="M219" t="str">
            <v/>
          </cell>
          <cell r="N219" t="str">
            <v>Spool</v>
          </cell>
          <cell r="O219">
            <v>0</v>
          </cell>
          <cell r="P219">
            <v>0</v>
          </cell>
          <cell r="Q219" t="str">
            <v>CS</v>
          </cell>
          <cell r="R219">
            <v>1</v>
          </cell>
          <cell r="S219">
            <v>1</v>
          </cell>
          <cell r="T219">
            <v>162.12450000000001</v>
          </cell>
          <cell r="U219">
            <v>162.12450000000001</v>
          </cell>
        </row>
        <row r="220">
          <cell r="B220" t="str">
            <v>V17551-PIND-0362-01</v>
          </cell>
          <cell r="C220" t="str">
            <v>PROD/25-26/13773</v>
          </cell>
          <cell r="D220" t="str">
            <v/>
          </cell>
          <cell r="E220" t="str">
            <v>TJ/25-26/184-CS</v>
          </cell>
          <cell r="F220" t="str">
            <v>P5</v>
          </cell>
          <cell r="G220">
            <v>0</v>
          </cell>
          <cell r="H220">
            <v>1</v>
          </cell>
          <cell r="I220" t="str">
            <v>Yes</v>
          </cell>
          <cell r="J220" t="str">
            <v/>
          </cell>
          <cell r="K220" t="str">
            <v>No</v>
          </cell>
          <cell r="L220" t="str">
            <v/>
          </cell>
          <cell r="M220" t="str">
            <v/>
          </cell>
          <cell r="N220" t="str">
            <v>Spool</v>
          </cell>
          <cell r="O220">
            <v>0</v>
          </cell>
          <cell r="P220">
            <v>0</v>
          </cell>
          <cell r="Q220" t="str">
            <v>CS</v>
          </cell>
          <cell r="R220">
            <v>1</v>
          </cell>
          <cell r="S220">
            <v>1</v>
          </cell>
          <cell r="T220">
            <v>6.0796799999999998</v>
          </cell>
          <cell r="U220">
            <v>6.0796799999999998</v>
          </cell>
        </row>
        <row r="221">
          <cell r="B221" t="str">
            <v>V17551-PIND-0363-01</v>
          </cell>
          <cell r="C221" t="str">
            <v>PROD/25-26/13774</v>
          </cell>
          <cell r="D221" t="str">
            <v/>
          </cell>
          <cell r="E221" t="str">
            <v>TJ/25-26/184-CS</v>
          </cell>
          <cell r="F221" t="str">
            <v>P5</v>
          </cell>
          <cell r="G221">
            <v>0</v>
          </cell>
          <cell r="H221">
            <v>1</v>
          </cell>
          <cell r="I221" t="str">
            <v>Yes</v>
          </cell>
          <cell r="J221" t="str">
            <v/>
          </cell>
          <cell r="K221" t="str">
            <v>Yes</v>
          </cell>
          <cell r="L221" t="str">
            <v/>
          </cell>
          <cell r="M221" t="str">
            <v/>
          </cell>
          <cell r="N221" t="str">
            <v>Spool</v>
          </cell>
          <cell r="O221">
            <v>0</v>
          </cell>
          <cell r="P221">
            <v>0</v>
          </cell>
          <cell r="Q221" t="str">
            <v>CS</v>
          </cell>
          <cell r="R221">
            <v>1</v>
          </cell>
          <cell r="S221">
            <v>1</v>
          </cell>
          <cell r="T221">
            <v>24.618600000000001</v>
          </cell>
          <cell r="U221">
            <v>24.618600000000001</v>
          </cell>
        </row>
        <row r="222">
          <cell r="B222" t="str">
            <v>V17551-PIND-0364-01</v>
          </cell>
          <cell r="C222" t="str">
            <v>PROD/25-26/13775</v>
          </cell>
          <cell r="D222" t="str">
            <v/>
          </cell>
          <cell r="E222" t="str">
            <v>TJ/25-26/184-CS</v>
          </cell>
          <cell r="F222" t="str">
            <v>P5</v>
          </cell>
          <cell r="G222">
            <v>0</v>
          </cell>
          <cell r="H222">
            <v>1</v>
          </cell>
          <cell r="I222" t="str">
            <v>Yes</v>
          </cell>
          <cell r="J222" t="str">
            <v/>
          </cell>
          <cell r="K222" t="str">
            <v>Yes</v>
          </cell>
          <cell r="L222" t="str">
            <v/>
          </cell>
          <cell r="M222" t="str">
            <v/>
          </cell>
          <cell r="N222" t="str">
            <v>Spool</v>
          </cell>
          <cell r="O222">
            <v>0</v>
          </cell>
          <cell r="P222">
            <v>0</v>
          </cell>
          <cell r="Q222" t="str">
            <v>CS</v>
          </cell>
          <cell r="R222">
            <v>1</v>
          </cell>
          <cell r="S222">
            <v>1</v>
          </cell>
          <cell r="T222">
            <v>17.220800000000001</v>
          </cell>
          <cell r="U222">
            <v>17.220800000000001</v>
          </cell>
        </row>
        <row r="223">
          <cell r="B223" t="str">
            <v>V17551-PIND-0365-01</v>
          </cell>
          <cell r="C223" t="str">
            <v>PROD/25-26/13776</v>
          </cell>
          <cell r="D223" t="str">
            <v/>
          </cell>
          <cell r="E223" t="str">
            <v>TJ/25-26/184-CS</v>
          </cell>
          <cell r="F223" t="str">
            <v>P5</v>
          </cell>
          <cell r="G223">
            <v>0</v>
          </cell>
          <cell r="H223">
            <v>1</v>
          </cell>
          <cell r="I223" t="str">
            <v>Yes</v>
          </cell>
          <cell r="J223" t="str">
            <v/>
          </cell>
          <cell r="K223" t="str">
            <v>Yes</v>
          </cell>
          <cell r="L223" t="str">
            <v/>
          </cell>
          <cell r="M223" t="str">
            <v/>
          </cell>
          <cell r="N223" t="str">
            <v>Spool</v>
          </cell>
          <cell r="O223">
            <v>0</v>
          </cell>
          <cell r="P223">
            <v>0</v>
          </cell>
          <cell r="Q223" t="str">
            <v>CS</v>
          </cell>
          <cell r="R223">
            <v>1</v>
          </cell>
          <cell r="S223">
            <v>1</v>
          </cell>
          <cell r="T223">
            <v>17.218599999999999</v>
          </cell>
          <cell r="U223">
            <v>17.218599999999999</v>
          </cell>
        </row>
        <row r="224">
          <cell r="B224" t="str">
            <v>V17551-PIND-0366-01</v>
          </cell>
          <cell r="C224" t="str">
            <v>PROD/25-26/14201</v>
          </cell>
          <cell r="D224" t="str">
            <v/>
          </cell>
          <cell r="E224" t="str">
            <v>TJ/25-26/184-CS</v>
          </cell>
          <cell r="F224" t="str">
            <v>P5</v>
          </cell>
          <cell r="G224">
            <v>0</v>
          </cell>
          <cell r="H224">
            <v>1</v>
          </cell>
          <cell r="I224" t="str">
            <v>Yes</v>
          </cell>
          <cell r="J224" t="str">
            <v/>
          </cell>
          <cell r="K224" t="str">
            <v>No</v>
          </cell>
          <cell r="L224" t="str">
            <v/>
          </cell>
          <cell r="M224" t="str">
            <v/>
          </cell>
          <cell r="N224" t="str">
            <v>Spool</v>
          </cell>
          <cell r="O224">
            <v>0</v>
          </cell>
          <cell r="P224">
            <v>0</v>
          </cell>
          <cell r="Q224" t="str">
            <v>CS</v>
          </cell>
          <cell r="R224">
            <v>1</v>
          </cell>
          <cell r="S224">
            <v>1</v>
          </cell>
          <cell r="T224">
            <v>18.4756</v>
          </cell>
          <cell r="U224">
            <v>18.4756</v>
          </cell>
        </row>
        <row r="225">
          <cell r="B225" t="str">
            <v>V17551-PIND-0367-01</v>
          </cell>
          <cell r="C225" t="str">
            <v>PROD/25-26/13777</v>
          </cell>
          <cell r="D225" t="str">
            <v/>
          </cell>
          <cell r="E225" t="str">
            <v>TJ/25-26/184-CS</v>
          </cell>
          <cell r="F225" t="str">
            <v>P5</v>
          </cell>
          <cell r="G225">
            <v>0</v>
          </cell>
          <cell r="H225">
            <v>1</v>
          </cell>
          <cell r="I225" t="str">
            <v>Yes</v>
          </cell>
          <cell r="J225" t="str">
            <v/>
          </cell>
          <cell r="K225" t="str">
            <v>Yes</v>
          </cell>
          <cell r="L225" t="str">
            <v/>
          </cell>
          <cell r="M225" t="str">
            <v/>
          </cell>
          <cell r="N225" t="str">
            <v>Spool</v>
          </cell>
          <cell r="O225">
            <v>0</v>
          </cell>
          <cell r="P225">
            <v>0</v>
          </cell>
          <cell r="Q225" t="str">
            <v>CS</v>
          </cell>
          <cell r="R225">
            <v>1</v>
          </cell>
          <cell r="S225">
            <v>1</v>
          </cell>
          <cell r="T225">
            <v>23.29232</v>
          </cell>
          <cell r="U225">
            <v>23.29232</v>
          </cell>
        </row>
        <row r="226">
          <cell r="B226" t="str">
            <v>V17551-PIND-0368-01</v>
          </cell>
          <cell r="C226" t="str">
            <v>PROD/25-26/13778</v>
          </cell>
          <cell r="D226" t="str">
            <v/>
          </cell>
          <cell r="E226" t="str">
            <v>TJ/25-26/184-CS</v>
          </cell>
          <cell r="F226" t="str">
            <v>P5</v>
          </cell>
          <cell r="G226">
            <v>0</v>
          </cell>
          <cell r="H226">
            <v>1</v>
          </cell>
          <cell r="I226" t="str">
            <v>Yes</v>
          </cell>
          <cell r="J226" t="str">
            <v/>
          </cell>
          <cell r="K226" t="str">
            <v>Yes</v>
          </cell>
          <cell r="L226" t="str">
            <v/>
          </cell>
          <cell r="M226" t="str">
            <v/>
          </cell>
          <cell r="N226" t="str">
            <v>Spool</v>
          </cell>
          <cell r="O226">
            <v>0</v>
          </cell>
          <cell r="P226">
            <v>0</v>
          </cell>
          <cell r="Q226" t="str">
            <v>CS</v>
          </cell>
          <cell r="R226">
            <v>1</v>
          </cell>
          <cell r="S226">
            <v>1</v>
          </cell>
          <cell r="T226">
            <v>22.45316</v>
          </cell>
          <cell r="U226">
            <v>22.45316</v>
          </cell>
        </row>
        <row r="227">
          <cell r="B227" t="str">
            <v>V17551-PIND-0369-01</v>
          </cell>
          <cell r="C227" t="str">
            <v>PROD/25-26/13779</v>
          </cell>
          <cell r="D227" t="str">
            <v/>
          </cell>
          <cell r="E227" t="str">
            <v>TJ/25-26/184-CS</v>
          </cell>
          <cell r="F227" t="str">
            <v>P5</v>
          </cell>
          <cell r="G227">
            <v>0</v>
          </cell>
          <cell r="H227">
            <v>1</v>
          </cell>
          <cell r="I227" t="str">
            <v>Yes</v>
          </cell>
          <cell r="J227" t="str">
            <v/>
          </cell>
          <cell r="K227" t="str">
            <v>Yes</v>
          </cell>
          <cell r="L227" t="str">
            <v/>
          </cell>
          <cell r="M227" t="str">
            <v/>
          </cell>
          <cell r="N227" t="str">
            <v>Spool</v>
          </cell>
          <cell r="O227">
            <v>0</v>
          </cell>
          <cell r="P227">
            <v>0</v>
          </cell>
          <cell r="Q227" t="str">
            <v>CS</v>
          </cell>
          <cell r="R227">
            <v>1</v>
          </cell>
          <cell r="S227">
            <v>1</v>
          </cell>
          <cell r="T227">
            <v>17.307600000000001</v>
          </cell>
          <cell r="U227">
            <v>17.307600000000001</v>
          </cell>
        </row>
        <row r="228">
          <cell r="B228" t="str">
            <v>V17551-PIND-0370-01</v>
          </cell>
          <cell r="C228" t="str">
            <v>PROD/25-26/13780</v>
          </cell>
          <cell r="D228" t="str">
            <v/>
          </cell>
          <cell r="E228" t="str">
            <v>TJ/25-26/184-CS</v>
          </cell>
          <cell r="F228" t="str">
            <v>P5</v>
          </cell>
          <cell r="G228">
            <v>0</v>
          </cell>
          <cell r="H228">
            <v>1</v>
          </cell>
          <cell r="I228" t="str">
            <v>Yes</v>
          </cell>
          <cell r="J228" t="str">
            <v/>
          </cell>
          <cell r="K228" t="str">
            <v>Yes</v>
          </cell>
          <cell r="L228" t="str">
            <v/>
          </cell>
          <cell r="M228" t="str">
            <v/>
          </cell>
          <cell r="N228" t="str">
            <v>Spool</v>
          </cell>
          <cell r="O228">
            <v>0</v>
          </cell>
          <cell r="P228">
            <v>0</v>
          </cell>
          <cell r="Q228" t="str">
            <v>CS</v>
          </cell>
          <cell r="R228">
            <v>1</v>
          </cell>
          <cell r="S228">
            <v>1</v>
          </cell>
          <cell r="T228">
            <v>17.312000000000001</v>
          </cell>
          <cell r="U228">
            <v>17.312000000000001</v>
          </cell>
        </row>
        <row r="229">
          <cell r="B229" t="str">
            <v>V17551-PIND-0371-01</v>
          </cell>
          <cell r="C229" t="str">
            <v>PROD/25-26/13781</v>
          </cell>
          <cell r="D229" t="str">
            <v/>
          </cell>
          <cell r="E229" t="str">
            <v>TJ/25-26/184-P22</v>
          </cell>
          <cell r="F229" t="str">
            <v>P5</v>
          </cell>
          <cell r="G229">
            <v>0</v>
          </cell>
          <cell r="H229">
            <v>1</v>
          </cell>
          <cell r="I229" t="str">
            <v>Yes</v>
          </cell>
          <cell r="J229" t="str">
            <v/>
          </cell>
          <cell r="K229" t="str">
            <v>Yes</v>
          </cell>
          <cell r="L229" t="str">
            <v/>
          </cell>
          <cell r="M229" t="str">
            <v/>
          </cell>
          <cell r="N229" t="str">
            <v>Spool</v>
          </cell>
          <cell r="O229">
            <v>0</v>
          </cell>
          <cell r="P229">
            <v>0</v>
          </cell>
          <cell r="Q229" t="str">
            <v>P22</v>
          </cell>
          <cell r="R229">
            <v>1</v>
          </cell>
          <cell r="S229">
            <v>1</v>
          </cell>
          <cell r="T229">
            <v>7.5359999999999996</v>
          </cell>
          <cell r="U229">
            <v>7.5359999999999996</v>
          </cell>
        </row>
        <row r="230">
          <cell r="B230" t="str">
            <v>V17551-PIND-0372-01</v>
          </cell>
          <cell r="C230" t="str">
            <v>PROD/25-26/13782</v>
          </cell>
          <cell r="D230" t="str">
            <v/>
          </cell>
          <cell r="E230" t="str">
            <v>TJ/25-26/184-P91</v>
          </cell>
          <cell r="F230" t="str">
            <v>P5</v>
          </cell>
          <cell r="G230">
            <v>0</v>
          </cell>
          <cell r="H230">
            <v>1</v>
          </cell>
          <cell r="I230" t="str">
            <v>Yes</v>
          </cell>
          <cell r="J230" t="str">
            <v/>
          </cell>
          <cell r="K230" t="str">
            <v>Yes</v>
          </cell>
          <cell r="L230" t="str">
            <v/>
          </cell>
          <cell r="M230" t="str">
            <v/>
          </cell>
          <cell r="N230" t="str">
            <v>Spool</v>
          </cell>
          <cell r="O230">
            <v>0</v>
          </cell>
          <cell r="P230">
            <v>0</v>
          </cell>
          <cell r="Q230" t="str">
            <v>P91</v>
          </cell>
          <cell r="R230">
            <v>1</v>
          </cell>
          <cell r="S230">
            <v>1</v>
          </cell>
          <cell r="T230">
            <v>6.5803599999999998</v>
          </cell>
          <cell r="U230">
            <v>6.5803599999999998</v>
          </cell>
        </row>
        <row r="231">
          <cell r="B231" t="str">
            <v>V17551-PIND-0373-01</v>
          </cell>
          <cell r="C231" t="str">
            <v>PROD/25-26/13783</v>
          </cell>
          <cell r="D231" t="str">
            <v/>
          </cell>
          <cell r="E231" t="str">
            <v>TJ/25-26/184-P22</v>
          </cell>
          <cell r="F231" t="str">
            <v>P5</v>
          </cell>
          <cell r="G231">
            <v>0</v>
          </cell>
          <cell r="H231">
            <v>1</v>
          </cell>
          <cell r="I231" t="str">
            <v>Yes</v>
          </cell>
          <cell r="J231" t="str">
            <v/>
          </cell>
          <cell r="K231" t="str">
            <v>Yes</v>
          </cell>
          <cell r="L231" t="str">
            <v/>
          </cell>
          <cell r="M231" t="str">
            <v/>
          </cell>
          <cell r="N231" t="str">
            <v>Spool</v>
          </cell>
          <cell r="O231">
            <v>0</v>
          </cell>
          <cell r="P231">
            <v>0</v>
          </cell>
          <cell r="Q231" t="str">
            <v>P91</v>
          </cell>
          <cell r="R231">
            <v>1</v>
          </cell>
          <cell r="S231">
            <v>1</v>
          </cell>
          <cell r="T231">
            <v>33.782719999999998</v>
          </cell>
          <cell r="U231">
            <v>33.782719999999998</v>
          </cell>
        </row>
        <row r="232">
          <cell r="B232" t="str">
            <v>V17551-PIND-0374-01</v>
          </cell>
          <cell r="C232" t="str">
            <v>PROD/25-26/13784</v>
          </cell>
          <cell r="D232" t="str">
            <v/>
          </cell>
          <cell r="E232" t="str">
            <v>TJ/25-26/184-CS</v>
          </cell>
          <cell r="F232" t="str">
            <v>P5</v>
          </cell>
          <cell r="G232">
            <v>0</v>
          </cell>
          <cell r="H232">
            <v>1</v>
          </cell>
          <cell r="I232" t="str">
            <v>Yes</v>
          </cell>
          <cell r="J232" t="str">
            <v/>
          </cell>
          <cell r="K232" t="str">
            <v>No</v>
          </cell>
          <cell r="L232" t="str">
            <v/>
          </cell>
          <cell r="M232" t="str">
            <v/>
          </cell>
          <cell r="N232" t="str">
            <v>Spool</v>
          </cell>
          <cell r="O232">
            <v>0</v>
          </cell>
          <cell r="P232">
            <v>0</v>
          </cell>
          <cell r="Q232" t="str">
            <v>CS</v>
          </cell>
          <cell r="R232">
            <v>1</v>
          </cell>
          <cell r="S232">
            <v>1</v>
          </cell>
          <cell r="T232">
            <v>41.325800000000001</v>
          </cell>
          <cell r="U232">
            <v>41.325800000000001</v>
          </cell>
        </row>
        <row r="233">
          <cell r="B233" t="str">
            <v>V17551-PIND-0375-01</v>
          </cell>
          <cell r="C233" t="str">
            <v>PROD/25-26/13785</v>
          </cell>
          <cell r="D233" t="str">
            <v/>
          </cell>
          <cell r="E233" t="str">
            <v>TJ/25-26/184-CS</v>
          </cell>
          <cell r="F233" t="str">
            <v>P5</v>
          </cell>
          <cell r="G233">
            <v>0</v>
          </cell>
          <cell r="H233">
            <v>1</v>
          </cell>
          <cell r="I233" t="str">
            <v>Yes</v>
          </cell>
          <cell r="J233" t="str">
            <v/>
          </cell>
          <cell r="K233" t="str">
            <v>Yes</v>
          </cell>
          <cell r="L233" t="str">
            <v/>
          </cell>
          <cell r="M233" t="str">
            <v/>
          </cell>
          <cell r="N233" t="str">
            <v>Spool</v>
          </cell>
          <cell r="O233">
            <v>0</v>
          </cell>
          <cell r="P233">
            <v>0</v>
          </cell>
          <cell r="Q233" t="str">
            <v>CS</v>
          </cell>
          <cell r="R233">
            <v>1</v>
          </cell>
          <cell r="S233">
            <v>1</v>
          </cell>
          <cell r="T233">
            <v>14.863720000000001</v>
          </cell>
          <cell r="U233">
            <v>14.863720000000001</v>
          </cell>
        </row>
        <row r="234">
          <cell r="B234" t="str">
            <v>V17551-PIND-0376-01</v>
          </cell>
          <cell r="C234" t="str">
            <v>PROD/25-26/13786</v>
          </cell>
          <cell r="D234" t="str">
            <v/>
          </cell>
          <cell r="E234" t="str">
            <v>TJ/25-26/184-CS</v>
          </cell>
          <cell r="F234" t="str">
            <v>P5</v>
          </cell>
          <cell r="G234">
            <v>0</v>
          </cell>
          <cell r="H234">
            <v>1</v>
          </cell>
          <cell r="I234" t="str">
            <v>Yes</v>
          </cell>
          <cell r="J234" t="str">
            <v/>
          </cell>
          <cell r="K234" t="str">
            <v>Yes</v>
          </cell>
          <cell r="L234" t="str">
            <v/>
          </cell>
          <cell r="M234" t="str">
            <v/>
          </cell>
          <cell r="N234" t="str">
            <v>Spool</v>
          </cell>
          <cell r="O234">
            <v>0</v>
          </cell>
          <cell r="P234">
            <v>0</v>
          </cell>
          <cell r="Q234" t="str">
            <v>CS</v>
          </cell>
          <cell r="R234">
            <v>1</v>
          </cell>
          <cell r="S234">
            <v>1</v>
          </cell>
          <cell r="T234">
            <v>2.63184</v>
          </cell>
          <cell r="U234">
            <v>2.63184</v>
          </cell>
        </row>
        <row r="235">
          <cell r="B235" t="str">
            <v>V17551-PIND-0377-01</v>
          </cell>
          <cell r="C235" t="str">
            <v>PROD/25-26/13787</v>
          </cell>
          <cell r="D235" t="str">
            <v/>
          </cell>
          <cell r="E235" t="str">
            <v>TJ/25-26/184-P22</v>
          </cell>
          <cell r="F235" t="str">
            <v>P5</v>
          </cell>
          <cell r="G235">
            <v>0</v>
          </cell>
          <cell r="H235">
            <v>1</v>
          </cell>
          <cell r="I235" t="str">
            <v>Yes</v>
          </cell>
          <cell r="J235" t="str">
            <v/>
          </cell>
          <cell r="K235" t="str">
            <v>Yes</v>
          </cell>
          <cell r="L235" t="str">
            <v/>
          </cell>
          <cell r="M235" t="str">
            <v/>
          </cell>
          <cell r="N235" t="str">
            <v>Spool</v>
          </cell>
          <cell r="O235">
            <v>0</v>
          </cell>
          <cell r="P235">
            <v>0</v>
          </cell>
          <cell r="Q235" t="str">
            <v>P22</v>
          </cell>
          <cell r="R235">
            <v>1</v>
          </cell>
          <cell r="S235">
            <v>1</v>
          </cell>
          <cell r="T235">
            <v>3.6428400000000001</v>
          </cell>
          <cell r="U235">
            <v>3.6428400000000001</v>
          </cell>
        </row>
        <row r="236">
          <cell r="B236" t="str">
            <v>V17551-PIND-0378-01</v>
          </cell>
          <cell r="C236" t="str">
            <v>PROD/25-26/13631</v>
          </cell>
          <cell r="D236" t="str">
            <v/>
          </cell>
          <cell r="E236" t="str">
            <v>TJ/25-26/184-P91</v>
          </cell>
          <cell r="F236" t="str">
            <v>P5</v>
          </cell>
          <cell r="G236">
            <v>0</v>
          </cell>
          <cell r="H236">
            <v>1</v>
          </cell>
          <cell r="I236" t="str">
            <v>Yes</v>
          </cell>
          <cell r="J236" t="str">
            <v/>
          </cell>
          <cell r="K236" t="str">
            <v>No</v>
          </cell>
          <cell r="L236" t="str">
            <v/>
          </cell>
          <cell r="M236" t="str">
            <v/>
          </cell>
          <cell r="N236" t="str">
            <v>Spool</v>
          </cell>
          <cell r="O236">
            <v>0</v>
          </cell>
          <cell r="P236">
            <v>0</v>
          </cell>
          <cell r="Q236" t="str">
            <v>P91</v>
          </cell>
          <cell r="R236">
            <v>1</v>
          </cell>
          <cell r="S236">
            <v>1</v>
          </cell>
          <cell r="T236">
            <v>17.183599999999998</v>
          </cell>
          <cell r="U236">
            <v>17.183599999999998</v>
          </cell>
        </row>
        <row r="237">
          <cell r="B237" t="str">
            <v>V17551-PIND-0379-01</v>
          </cell>
          <cell r="C237" t="str">
            <v>PROD/25-26/13788</v>
          </cell>
          <cell r="D237" t="str">
            <v/>
          </cell>
          <cell r="E237" t="str">
            <v>TJ/25-26/184-P91</v>
          </cell>
          <cell r="F237" t="str">
            <v>P5</v>
          </cell>
          <cell r="G237">
            <v>0</v>
          </cell>
          <cell r="H237">
            <v>1</v>
          </cell>
          <cell r="I237" t="str">
            <v>Yes</v>
          </cell>
          <cell r="J237" t="str">
            <v/>
          </cell>
          <cell r="K237" t="str">
            <v>Yes</v>
          </cell>
          <cell r="L237" t="str">
            <v/>
          </cell>
          <cell r="M237" t="str">
            <v/>
          </cell>
          <cell r="N237" t="str">
            <v>Spool</v>
          </cell>
          <cell r="O237">
            <v>0</v>
          </cell>
          <cell r="P237">
            <v>0</v>
          </cell>
          <cell r="Q237" t="str">
            <v>P91</v>
          </cell>
          <cell r="R237">
            <v>1</v>
          </cell>
          <cell r="S237">
            <v>1</v>
          </cell>
          <cell r="T237">
            <v>22.925640000000001</v>
          </cell>
          <cell r="U237">
            <v>22.925640000000001</v>
          </cell>
        </row>
        <row r="238">
          <cell r="B238" t="str">
            <v>V17551-PIND-0380-01</v>
          </cell>
          <cell r="C238" t="str">
            <v>PROD/25-26/13789</v>
          </cell>
          <cell r="D238" t="str">
            <v/>
          </cell>
          <cell r="E238" t="str">
            <v>TJ/25-26/184-P91</v>
          </cell>
          <cell r="F238" t="str">
            <v>P5</v>
          </cell>
          <cell r="G238">
            <v>0</v>
          </cell>
          <cell r="H238">
            <v>1</v>
          </cell>
          <cell r="I238" t="str">
            <v>Yes</v>
          </cell>
          <cell r="J238" t="str">
            <v/>
          </cell>
          <cell r="K238" t="str">
            <v>Yes</v>
          </cell>
          <cell r="L238" t="str">
            <v/>
          </cell>
          <cell r="M238" t="str">
            <v/>
          </cell>
          <cell r="N238" t="str">
            <v>Spool</v>
          </cell>
          <cell r="O238">
            <v>0</v>
          </cell>
          <cell r="P238">
            <v>0</v>
          </cell>
          <cell r="Q238" t="str">
            <v>P91</v>
          </cell>
          <cell r="R238">
            <v>1</v>
          </cell>
          <cell r="S238">
            <v>1</v>
          </cell>
          <cell r="T238">
            <v>17.819800000000001</v>
          </cell>
          <cell r="U238">
            <v>17.819800000000001</v>
          </cell>
        </row>
        <row r="239">
          <cell r="B239" t="str">
            <v>V17551-PIND-0381-01</v>
          </cell>
          <cell r="C239" t="str">
            <v>PROD/25-26/14200</v>
          </cell>
          <cell r="D239" t="str">
            <v/>
          </cell>
          <cell r="E239" t="str">
            <v>TJ/25-26/184-P22</v>
          </cell>
          <cell r="F239" t="str">
            <v>P5</v>
          </cell>
          <cell r="G239">
            <v>0</v>
          </cell>
          <cell r="H239">
            <v>1</v>
          </cell>
          <cell r="I239" t="str">
            <v>Yes</v>
          </cell>
          <cell r="J239" t="str">
            <v/>
          </cell>
          <cell r="K239" t="str">
            <v>Yes</v>
          </cell>
          <cell r="L239" t="str">
            <v/>
          </cell>
          <cell r="M239" t="str">
            <v/>
          </cell>
          <cell r="N239" t="str">
            <v>Spool</v>
          </cell>
          <cell r="O239">
            <v>0</v>
          </cell>
          <cell r="P239">
            <v>0</v>
          </cell>
          <cell r="Q239" t="str">
            <v>P91</v>
          </cell>
          <cell r="R239">
            <v>1</v>
          </cell>
          <cell r="S239">
            <v>1</v>
          </cell>
          <cell r="T239">
            <v>134.29552000000001</v>
          </cell>
          <cell r="U239">
            <v>134.29552000000001</v>
          </cell>
        </row>
        <row r="240">
          <cell r="B240" t="str">
            <v>V17551-PIND-0382-01</v>
          </cell>
          <cell r="C240" t="str">
            <v>PROD/25-26/13791</v>
          </cell>
          <cell r="D240" t="str">
            <v/>
          </cell>
          <cell r="E240" t="str">
            <v>TJ/25-26/184-CS</v>
          </cell>
          <cell r="F240" t="str">
            <v>P5</v>
          </cell>
          <cell r="G240">
            <v>0</v>
          </cell>
          <cell r="H240">
            <v>1</v>
          </cell>
          <cell r="I240" t="str">
            <v>Yes</v>
          </cell>
          <cell r="J240" t="str">
            <v/>
          </cell>
          <cell r="K240" t="str">
            <v>No</v>
          </cell>
          <cell r="L240" t="str">
            <v/>
          </cell>
          <cell r="M240" t="str">
            <v/>
          </cell>
          <cell r="N240" t="str">
            <v>Spool</v>
          </cell>
          <cell r="O240">
            <v>0</v>
          </cell>
          <cell r="P240">
            <v>0</v>
          </cell>
          <cell r="Q240" t="str">
            <v>CS</v>
          </cell>
          <cell r="R240">
            <v>1</v>
          </cell>
          <cell r="S240">
            <v>1</v>
          </cell>
          <cell r="T240">
            <v>32.052399999999999</v>
          </cell>
          <cell r="U240">
            <v>32.052399999999999</v>
          </cell>
        </row>
        <row r="241">
          <cell r="B241" t="str">
            <v>V17551-PIND-0383-01</v>
          </cell>
          <cell r="C241" t="str">
            <v>PROD/25-26/13792</v>
          </cell>
          <cell r="D241" t="str">
            <v/>
          </cell>
          <cell r="E241" t="str">
            <v>TJ/25-26/184-CS</v>
          </cell>
          <cell r="F241" t="str">
            <v>P5</v>
          </cell>
          <cell r="G241">
            <v>0</v>
          </cell>
          <cell r="H241">
            <v>1</v>
          </cell>
          <cell r="I241" t="str">
            <v>Yes</v>
          </cell>
          <cell r="J241" t="str">
            <v/>
          </cell>
          <cell r="K241" t="str">
            <v>Yes</v>
          </cell>
          <cell r="L241" t="str">
            <v/>
          </cell>
          <cell r="M241" t="str">
            <v/>
          </cell>
          <cell r="N241" t="str">
            <v>Spool</v>
          </cell>
          <cell r="O241">
            <v>0</v>
          </cell>
          <cell r="P241">
            <v>0</v>
          </cell>
          <cell r="Q241" t="str">
            <v>CS</v>
          </cell>
          <cell r="R241">
            <v>1</v>
          </cell>
          <cell r="S241">
            <v>1</v>
          </cell>
          <cell r="T241">
            <v>9.5462399999999992</v>
          </cell>
          <cell r="U241">
            <v>9.5462399999999992</v>
          </cell>
        </row>
        <row r="242">
          <cell r="B242" t="str">
            <v>V17551-PIND-0384-01</v>
          </cell>
          <cell r="C242" t="str">
            <v>PROD/25-26/13793</v>
          </cell>
          <cell r="D242" t="str">
            <v/>
          </cell>
          <cell r="E242" t="str">
            <v>TJ/25-26/184-CS</v>
          </cell>
          <cell r="F242" t="str">
            <v>P5</v>
          </cell>
          <cell r="G242">
            <v>0</v>
          </cell>
          <cell r="H242">
            <v>1</v>
          </cell>
          <cell r="I242" t="str">
            <v>Yes</v>
          </cell>
          <cell r="J242" t="str">
            <v/>
          </cell>
          <cell r="K242" t="str">
            <v>Yes</v>
          </cell>
          <cell r="L242" t="str">
            <v/>
          </cell>
          <cell r="M242" t="str">
            <v/>
          </cell>
          <cell r="N242" t="str">
            <v>Spool</v>
          </cell>
          <cell r="O242">
            <v>0</v>
          </cell>
          <cell r="P242">
            <v>0</v>
          </cell>
          <cell r="Q242" t="str">
            <v>CS</v>
          </cell>
          <cell r="R242">
            <v>1</v>
          </cell>
          <cell r="S242">
            <v>1</v>
          </cell>
          <cell r="T242">
            <v>7.6251600000000002</v>
          </cell>
          <cell r="U242">
            <v>7.6251600000000002</v>
          </cell>
        </row>
        <row r="243">
          <cell r="B243" t="str">
            <v>V17551-PIND-0385-06</v>
          </cell>
          <cell r="C243" t="str">
            <v>PROD/25-26/13794</v>
          </cell>
          <cell r="D243" t="str">
            <v/>
          </cell>
          <cell r="E243" t="str">
            <v>TJ/25-26/184-CS</v>
          </cell>
          <cell r="F243" t="str">
            <v>P5</v>
          </cell>
          <cell r="G243">
            <v>0</v>
          </cell>
          <cell r="H243">
            <v>1</v>
          </cell>
          <cell r="I243" t="str">
            <v>Yes</v>
          </cell>
          <cell r="J243" t="str">
            <v/>
          </cell>
          <cell r="K243" t="str">
            <v>Yes</v>
          </cell>
          <cell r="L243" t="str">
            <v/>
          </cell>
          <cell r="M243" t="str">
            <v/>
          </cell>
          <cell r="N243" t="str">
            <v>Spool</v>
          </cell>
          <cell r="O243">
            <v>0</v>
          </cell>
          <cell r="P243">
            <v>0</v>
          </cell>
          <cell r="Q243" t="str">
            <v>CS</v>
          </cell>
          <cell r="R243">
            <v>1</v>
          </cell>
          <cell r="S243">
            <v>1</v>
          </cell>
          <cell r="T243">
            <v>46.655279999999998</v>
          </cell>
          <cell r="U243">
            <v>46.655279999999998</v>
          </cell>
        </row>
        <row r="244">
          <cell r="B244" t="str">
            <v>V17551-PIND-0386-01</v>
          </cell>
          <cell r="C244" t="str">
            <v>PROD/25-26/13632</v>
          </cell>
          <cell r="D244" t="str">
            <v/>
          </cell>
          <cell r="E244" t="str">
            <v>TJ/25-26/184-CS</v>
          </cell>
          <cell r="F244" t="str">
            <v>P5</v>
          </cell>
          <cell r="G244">
            <v>0</v>
          </cell>
          <cell r="H244">
            <v>1</v>
          </cell>
          <cell r="I244" t="str">
            <v>Yes</v>
          </cell>
          <cell r="J244" t="str">
            <v/>
          </cell>
          <cell r="K244" t="str">
            <v>Yes</v>
          </cell>
          <cell r="L244" t="str">
            <v/>
          </cell>
          <cell r="M244" t="str">
            <v/>
          </cell>
          <cell r="N244" t="str">
            <v>Spool</v>
          </cell>
          <cell r="O244">
            <v>0</v>
          </cell>
          <cell r="P244">
            <v>0</v>
          </cell>
          <cell r="Q244" t="str">
            <v>CS</v>
          </cell>
          <cell r="R244">
            <v>1</v>
          </cell>
          <cell r="S244">
            <v>1</v>
          </cell>
          <cell r="T244">
            <v>9.08568</v>
          </cell>
          <cell r="U244">
            <v>9.08568</v>
          </cell>
        </row>
        <row r="245">
          <cell r="B245" t="str">
            <v>V17551-PIND-0387-01</v>
          </cell>
          <cell r="C245" t="str">
            <v>PROD/25-26/13795</v>
          </cell>
          <cell r="D245" t="str">
            <v/>
          </cell>
          <cell r="E245" t="str">
            <v>TJ/25-26/184-CS</v>
          </cell>
          <cell r="F245" t="str">
            <v>P5</v>
          </cell>
          <cell r="G245">
            <v>0</v>
          </cell>
          <cell r="H245">
            <v>1</v>
          </cell>
          <cell r="I245" t="str">
            <v>Yes</v>
          </cell>
          <cell r="J245" t="str">
            <v/>
          </cell>
          <cell r="K245" t="str">
            <v>Yes</v>
          </cell>
          <cell r="L245" t="str">
            <v/>
          </cell>
          <cell r="M245" t="str">
            <v/>
          </cell>
          <cell r="N245" t="str">
            <v>Spool</v>
          </cell>
          <cell r="O245">
            <v>0</v>
          </cell>
          <cell r="P245">
            <v>0</v>
          </cell>
          <cell r="Q245" t="str">
            <v>CS</v>
          </cell>
          <cell r="R245">
            <v>1</v>
          </cell>
          <cell r="S245">
            <v>1</v>
          </cell>
          <cell r="T245">
            <v>66.152159999999995</v>
          </cell>
          <cell r="U245">
            <v>66.152159999999995</v>
          </cell>
        </row>
        <row r="246">
          <cell r="B246" t="str">
            <v>V17551-PIND-0388-01</v>
          </cell>
          <cell r="C246" t="str">
            <v>PROD/25-26/13796</v>
          </cell>
          <cell r="D246" t="str">
            <v/>
          </cell>
          <cell r="E246" t="str">
            <v>TJ/25-26/184-CS</v>
          </cell>
          <cell r="F246" t="str">
            <v>P5</v>
          </cell>
          <cell r="G246">
            <v>0</v>
          </cell>
          <cell r="H246">
            <v>1</v>
          </cell>
          <cell r="I246" t="str">
            <v>Yes</v>
          </cell>
          <cell r="J246" t="str">
            <v/>
          </cell>
          <cell r="K246" t="str">
            <v>Yes</v>
          </cell>
          <cell r="L246" t="str">
            <v/>
          </cell>
          <cell r="M246" t="str">
            <v/>
          </cell>
          <cell r="N246" t="str">
            <v>Spool</v>
          </cell>
          <cell r="O246">
            <v>0</v>
          </cell>
          <cell r="P246">
            <v>0</v>
          </cell>
          <cell r="Q246" t="str">
            <v>CS</v>
          </cell>
          <cell r="R246">
            <v>1</v>
          </cell>
          <cell r="S246">
            <v>1</v>
          </cell>
          <cell r="T246">
            <v>17.809200000000001</v>
          </cell>
          <cell r="U246">
            <v>17.809200000000001</v>
          </cell>
        </row>
        <row r="247">
          <cell r="B247" t="str">
            <v>V17551-PIND-0389-01</v>
          </cell>
          <cell r="C247" t="str">
            <v>PROD/25-26/14199</v>
          </cell>
          <cell r="D247" t="str">
            <v/>
          </cell>
          <cell r="E247" t="str">
            <v>TJ/25-26/184-CS</v>
          </cell>
          <cell r="F247" t="str">
            <v>P5</v>
          </cell>
          <cell r="G247">
            <v>0</v>
          </cell>
          <cell r="H247">
            <v>1</v>
          </cell>
          <cell r="I247" t="str">
            <v>Yes</v>
          </cell>
          <cell r="J247" t="str">
            <v/>
          </cell>
          <cell r="K247" t="str">
            <v>Yes</v>
          </cell>
          <cell r="L247" t="str">
            <v/>
          </cell>
          <cell r="M247" t="str">
            <v/>
          </cell>
          <cell r="N247" t="str">
            <v>Spool</v>
          </cell>
          <cell r="O247">
            <v>0</v>
          </cell>
          <cell r="P247">
            <v>0</v>
          </cell>
          <cell r="Q247" t="str">
            <v>CS</v>
          </cell>
          <cell r="R247">
            <v>1</v>
          </cell>
          <cell r="S247">
            <v>1</v>
          </cell>
          <cell r="T247">
            <v>17.761199999999999</v>
          </cell>
          <cell r="U247">
            <v>17.761199999999999</v>
          </cell>
        </row>
        <row r="248">
          <cell r="B248" t="str">
            <v>V17551-PIND-0390-01</v>
          </cell>
          <cell r="C248" t="str">
            <v>PROD/25-26/13797</v>
          </cell>
          <cell r="D248" t="str">
            <v/>
          </cell>
          <cell r="E248" t="str">
            <v>TJ/25-26/184-CS</v>
          </cell>
          <cell r="F248" t="str">
            <v>P5</v>
          </cell>
          <cell r="G248">
            <v>0</v>
          </cell>
          <cell r="H248">
            <v>1</v>
          </cell>
          <cell r="I248" t="str">
            <v>Yes</v>
          </cell>
          <cell r="J248" t="str">
            <v/>
          </cell>
          <cell r="K248" t="str">
            <v>Yes</v>
          </cell>
          <cell r="L248" t="str">
            <v/>
          </cell>
          <cell r="M248" t="str">
            <v/>
          </cell>
          <cell r="N248" t="str">
            <v>Spool</v>
          </cell>
          <cell r="O248">
            <v>0</v>
          </cell>
          <cell r="P248">
            <v>0</v>
          </cell>
          <cell r="Q248" t="str">
            <v>CS</v>
          </cell>
          <cell r="R248">
            <v>1</v>
          </cell>
          <cell r="S248">
            <v>1</v>
          </cell>
          <cell r="T248">
            <v>72.257679999999993</v>
          </cell>
          <cell r="U248">
            <v>72.257679999999993</v>
          </cell>
        </row>
        <row r="249">
          <cell r="B249" t="str">
            <v>V17551-PIND-0391-01</v>
          </cell>
          <cell r="C249" t="str">
            <v>PROD/25-26/13798</v>
          </cell>
          <cell r="D249" t="str">
            <v/>
          </cell>
          <cell r="E249" t="str">
            <v>TJ/25-26/184-CS</v>
          </cell>
          <cell r="F249" t="str">
            <v>P5</v>
          </cell>
          <cell r="G249">
            <v>0</v>
          </cell>
          <cell r="H249">
            <v>1</v>
          </cell>
          <cell r="I249" t="str">
            <v>Yes</v>
          </cell>
          <cell r="J249" t="str">
            <v/>
          </cell>
          <cell r="K249" t="str">
            <v>Yes</v>
          </cell>
          <cell r="L249" t="str">
            <v/>
          </cell>
          <cell r="M249" t="str">
            <v/>
          </cell>
          <cell r="N249" t="str">
            <v>Spool</v>
          </cell>
          <cell r="O249">
            <v>0</v>
          </cell>
          <cell r="P249">
            <v>0</v>
          </cell>
          <cell r="Q249" t="str">
            <v>CS</v>
          </cell>
          <cell r="R249">
            <v>1</v>
          </cell>
          <cell r="S249">
            <v>1</v>
          </cell>
          <cell r="T249">
            <v>0.69379999999999997</v>
          </cell>
          <cell r="U249">
            <v>0.69379999999999997</v>
          </cell>
        </row>
        <row r="250">
          <cell r="B250" t="str">
            <v>V17551-PIND-0392-01</v>
          </cell>
          <cell r="C250" t="str">
            <v>PROD/25-26/13799</v>
          </cell>
          <cell r="D250" t="str">
            <v/>
          </cell>
          <cell r="E250" t="str">
            <v>TJ/25-26/184-CS</v>
          </cell>
          <cell r="F250" t="str">
            <v>P5</v>
          </cell>
          <cell r="G250">
            <v>0</v>
          </cell>
          <cell r="H250">
            <v>1</v>
          </cell>
          <cell r="I250" t="str">
            <v>Yes</v>
          </cell>
          <cell r="J250" t="str">
            <v/>
          </cell>
          <cell r="K250" t="str">
            <v>No</v>
          </cell>
          <cell r="L250" t="str">
            <v/>
          </cell>
          <cell r="M250" t="str">
            <v/>
          </cell>
          <cell r="N250" t="str">
            <v>Spool</v>
          </cell>
          <cell r="O250">
            <v>0</v>
          </cell>
          <cell r="P250">
            <v>0</v>
          </cell>
          <cell r="Q250" t="str">
            <v>CS</v>
          </cell>
          <cell r="R250">
            <v>1</v>
          </cell>
          <cell r="S250">
            <v>1</v>
          </cell>
          <cell r="T250">
            <v>0.69379999999999997</v>
          </cell>
          <cell r="U250">
            <v>0.69379999999999997</v>
          </cell>
        </row>
        <row r="251">
          <cell r="B251" t="str">
            <v>V17551-PIND-0393-01</v>
          </cell>
          <cell r="C251" t="str">
            <v>PROD/25-26/13800</v>
          </cell>
          <cell r="D251" t="str">
            <v/>
          </cell>
          <cell r="E251" t="str">
            <v>TJ/25-26/184-CS</v>
          </cell>
          <cell r="F251" t="str">
            <v>P5</v>
          </cell>
          <cell r="G251">
            <v>0</v>
          </cell>
          <cell r="H251">
            <v>1</v>
          </cell>
          <cell r="I251" t="str">
            <v>Yes</v>
          </cell>
          <cell r="J251" t="str">
            <v/>
          </cell>
          <cell r="K251" t="str">
            <v>Yes</v>
          </cell>
          <cell r="L251" t="str">
            <v/>
          </cell>
          <cell r="M251" t="str">
            <v/>
          </cell>
          <cell r="N251" t="str">
            <v>Spool</v>
          </cell>
          <cell r="O251">
            <v>0</v>
          </cell>
          <cell r="P251">
            <v>0</v>
          </cell>
          <cell r="Q251" t="str">
            <v>CS</v>
          </cell>
          <cell r="R251">
            <v>1</v>
          </cell>
          <cell r="S251">
            <v>1</v>
          </cell>
          <cell r="T251">
            <v>17.1646</v>
          </cell>
          <cell r="U251">
            <v>17.1646</v>
          </cell>
        </row>
        <row r="252">
          <cell r="B252" t="str">
            <v>V17551-PIND-0394-01</v>
          </cell>
          <cell r="C252" t="str">
            <v>PROD/25-26/13801</v>
          </cell>
          <cell r="D252" t="str">
            <v/>
          </cell>
          <cell r="E252" t="str">
            <v>TJ/25-26/184-CS</v>
          </cell>
          <cell r="F252" t="str">
            <v>P5</v>
          </cell>
          <cell r="G252">
            <v>0</v>
          </cell>
          <cell r="H252">
            <v>1</v>
          </cell>
          <cell r="I252" t="str">
            <v>Yes</v>
          </cell>
          <cell r="J252" t="str">
            <v/>
          </cell>
          <cell r="K252" t="str">
            <v>Yes</v>
          </cell>
          <cell r="L252" t="str">
            <v/>
          </cell>
          <cell r="M252" t="str">
            <v/>
          </cell>
          <cell r="N252" t="str">
            <v>Spool</v>
          </cell>
          <cell r="O252">
            <v>0</v>
          </cell>
          <cell r="P252">
            <v>0</v>
          </cell>
          <cell r="Q252" t="str">
            <v>CS</v>
          </cell>
          <cell r="R252">
            <v>1</v>
          </cell>
          <cell r="S252">
            <v>1</v>
          </cell>
          <cell r="T252">
            <v>17.268000000000001</v>
          </cell>
          <cell r="U252">
            <v>17.268000000000001</v>
          </cell>
        </row>
        <row r="253">
          <cell r="B253" t="str">
            <v>V17551-PIND-0395-01</v>
          </cell>
          <cell r="C253" t="str">
            <v>PROD/25-26/13802</v>
          </cell>
          <cell r="D253" t="str">
            <v/>
          </cell>
          <cell r="E253" t="str">
            <v>TJ/25-26/184-CS</v>
          </cell>
          <cell r="F253" t="str">
            <v>P5</v>
          </cell>
          <cell r="G253">
            <v>0</v>
          </cell>
          <cell r="H253">
            <v>1</v>
          </cell>
          <cell r="I253" t="str">
            <v>Yes</v>
          </cell>
          <cell r="J253" t="str">
            <v/>
          </cell>
          <cell r="K253" t="str">
            <v>No</v>
          </cell>
          <cell r="L253" t="str">
            <v/>
          </cell>
          <cell r="M253" t="str">
            <v/>
          </cell>
          <cell r="N253" t="str">
            <v>Spool</v>
          </cell>
          <cell r="O253">
            <v>0</v>
          </cell>
          <cell r="P253">
            <v>0</v>
          </cell>
          <cell r="Q253" t="str">
            <v>CS</v>
          </cell>
          <cell r="R253">
            <v>1</v>
          </cell>
          <cell r="S253">
            <v>1</v>
          </cell>
          <cell r="T253">
            <v>6.3075599999999996</v>
          </cell>
          <cell r="U253">
            <v>6.3075599999999996</v>
          </cell>
        </row>
        <row r="254">
          <cell r="B254" t="str">
            <v>V17551-PIND-0396-01</v>
          </cell>
          <cell r="C254" t="str">
            <v>PROD/25-26/13803</v>
          </cell>
          <cell r="D254" t="str">
            <v/>
          </cell>
          <cell r="E254" t="str">
            <v>TJ/25-26/184-CS</v>
          </cell>
          <cell r="F254" t="str">
            <v>P5</v>
          </cell>
          <cell r="G254">
            <v>0</v>
          </cell>
          <cell r="H254">
            <v>1</v>
          </cell>
          <cell r="I254" t="str">
            <v>Yes</v>
          </cell>
          <cell r="J254" t="str">
            <v/>
          </cell>
          <cell r="K254" t="str">
            <v>No</v>
          </cell>
          <cell r="L254" t="str">
            <v/>
          </cell>
          <cell r="M254" t="str">
            <v/>
          </cell>
          <cell r="N254" t="str">
            <v>Spool</v>
          </cell>
          <cell r="O254">
            <v>0</v>
          </cell>
          <cell r="P254">
            <v>0</v>
          </cell>
          <cell r="Q254" t="str">
            <v>CS</v>
          </cell>
          <cell r="R254">
            <v>1</v>
          </cell>
          <cell r="S254">
            <v>1</v>
          </cell>
          <cell r="T254">
            <v>9.2689199999999996</v>
          </cell>
          <cell r="U254">
            <v>9.2689199999999996</v>
          </cell>
        </row>
        <row r="255">
          <cell r="B255" t="str">
            <v>V17551-PIND-0397-01</v>
          </cell>
          <cell r="C255" t="str">
            <v>PROD/25-26/14091</v>
          </cell>
          <cell r="D255" t="str">
            <v/>
          </cell>
          <cell r="E255" t="str">
            <v>TJ/25-26/184-CS</v>
          </cell>
          <cell r="F255" t="str">
            <v>P5</v>
          </cell>
          <cell r="G255">
            <v>0</v>
          </cell>
          <cell r="H255">
            <v>1</v>
          </cell>
          <cell r="I255" t="str">
            <v>Yes</v>
          </cell>
          <cell r="J255" t="str">
            <v/>
          </cell>
          <cell r="K255" t="str">
            <v>Yes</v>
          </cell>
          <cell r="L255" t="str">
            <v/>
          </cell>
          <cell r="M255" t="str">
            <v/>
          </cell>
          <cell r="N255" t="str">
            <v>Spool</v>
          </cell>
          <cell r="O255">
            <v>0</v>
          </cell>
          <cell r="P255">
            <v>0</v>
          </cell>
          <cell r="Q255" t="str">
            <v>CS</v>
          </cell>
          <cell r="R255">
            <v>1</v>
          </cell>
          <cell r="S255">
            <v>1</v>
          </cell>
          <cell r="T255">
            <v>84.283559999999994</v>
          </cell>
          <cell r="U255">
            <v>84.283559999999994</v>
          </cell>
        </row>
        <row r="256">
          <cell r="B256" t="str">
            <v>V17551-PIND-0398-01</v>
          </cell>
          <cell r="C256" t="str">
            <v>PROD/25-26/13805</v>
          </cell>
          <cell r="D256" t="str">
            <v/>
          </cell>
          <cell r="E256" t="str">
            <v>TJ/25-26/184-CS</v>
          </cell>
          <cell r="F256" t="str">
            <v>P5</v>
          </cell>
          <cell r="G256">
            <v>0</v>
          </cell>
          <cell r="H256">
            <v>1</v>
          </cell>
          <cell r="I256" t="str">
            <v>Yes</v>
          </cell>
          <cell r="J256" t="str">
            <v/>
          </cell>
          <cell r="K256" t="str">
            <v>Yes</v>
          </cell>
          <cell r="L256" t="str">
            <v/>
          </cell>
          <cell r="M256" t="str">
            <v/>
          </cell>
          <cell r="N256" t="str">
            <v>Spool</v>
          </cell>
          <cell r="O256">
            <v>0</v>
          </cell>
          <cell r="P256">
            <v>0</v>
          </cell>
          <cell r="Q256" t="str">
            <v>CS</v>
          </cell>
          <cell r="R256">
            <v>1</v>
          </cell>
          <cell r="S256">
            <v>1</v>
          </cell>
          <cell r="T256">
            <v>34.717680000000001</v>
          </cell>
          <cell r="U256">
            <v>34.717680000000001</v>
          </cell>
        </row>
        <row r="257">
          <cell r="B257" t="str">
            <v>V17551-PIND-0399-01</v>
          </cell>
          <cell r="C257" t="str">
            <v>PROD/25-26/13806</v>
          </cell>
          <cell r="D257" t="str">
            <v/>
          </cell>
          <cell r="E257" t="str">
            <v>TJ/25-26/184-CS</v>
          </cell>
          <cell r="F257" t="str">
            <v>P5</v>
          </cell>
          <cell r="G257">
            <v>0</v>
          </cell>
          <cell r="H257">
            <v>1</v>
          </cell>
          <cell r="I257" t="str">
            <v>Yes</v>
          </cell>
          <cell r="J257" t="str">
            <v/>
          </cell>
          <cell r="K257" t="str">
            <v>No</v>
          </cell>
          <cell r="L257" t="str">
            <v/>
          </cell>
          <cell r="M257" t="str">
            <v/>
          </cell>
          <cell r="N257" t="str">
            <v>Spool</v>
          </cell>
          <cell r="O257">
            <v>0</v>
          </cell>
          <cell r="P257">
            <v>0</v>
          </cell>
          <cell r="Q257" t="str">
            <v>CS</v>
          </cell>
          <cell r="R257">
            <v>1</v>
          </cell>
          <cell r="S257">
            <v>1</v>
          </cell>
          <cell r="T257">
            <v>11.32564</v>
          </cell>
          <cell r="U257">
            <v>11.32564</v>
          </cell>
        </row>
        <row r="258">
          <cell r="B258" t="str">
            <v>V17551-PIND-0400-01</v>
          </cell>
          <cell r="C258" t="str">
            <v>PROD/25-26/13807</v>
          </cell>
          <cell r="D258" t="str">
            <v/>
          </cell>
          <cell r="E258" t="str">
            <v>TJ/25-26/184-CS</v>
          </cell>
          <cell r="F258" t="str">
            <v>P5</v>
          </cell>
          <cell r="G258">
            <v>0</v>
          </cell>
          <cell r="H258">
            <v>1</v>
          </cell>
          <cell r="I258" t="str">
            <v>Yes</v>
          </cell>
          <cell r="J258" t="str">
            <v/>
          </cell>
          <cell r="K258" t="str">
            <v>Yes</v>
          </cell>
          <cell r="L258" t="str">
            <v/>
          </cell>
          <cell r="M258" t="str">
            <v/>
          </cell>
          <cell r="N258" t="str">
            <v>Spool</v>
          </cell>
          <cell r="O258">
            <v>0</v>
          </cell>
          <cell r="P258">
            <v>0</v>
          </cell>
          <cell r="Q258" t="str">
            <v>CS</v>
          </cell>
          <cell r="R258">
            <v>1</v>
          </cell>
          <cell r="S258">
            <v>1</v>
          </cell>
          <cell r="T258">
            <v>5.9787600000000003</v>
          </cell>
          <cell r="U258">
            <v>5.9787600000000003</v>
          </cell>
        </row>
        <row r="259">
          <cell r="B259" t="str">
            <v>V17551-PIND-0401-01</v>
          </cell>
          <cell r="C259" t="str">
            <v>PROD/25-26/13808</v>
          </cell>
          <cell r="D259" t="str">
            <v/>
          </cell>
          <cell r="E259" t="str">
            <v>TJ/25-26/184-CS</v>
          </cell>
          <cell r="F259" t="str">
            <v>P5</v>
          </cell>
          <cell r="G259">
            <v>0</v>
          </cell>
          <cell r="H259">
            <v>1</v>
          </cell>
          <cell r="I259" t="str">
            <v>Yes</v>
          </cell>
          <cell r="J259" t="str">
            <v/>
          </cell>
          <cell r="K259" t="str">
            <v>No</v>
          </cell>
          <cell r="L259" t="str">
            <v/>
          </cell>
          <cell r="M259" t="str">
            <v/>
          </cell>
          <cell r="N259" t="str">
            <v>Spool</v>
          </cell>
          <cell r="O259">
            <v>0</v>
          </cell>
          <cell r="P259">
            <v>0</v>
          </cell>
          <cell r="Q259" t="str">
            <v>CS</v>
          </cell>
          <cell r="R259">
            <v>1</v>
          </cell>
          <cell r="S259">
            <v>1</v>
          </cell>
          <cell r="T259">
            <v>5.4214799999999999</v>
          </cell>
          <cell r="U259">
            <v>5.4214799999999999</v>
          </cell>
        </row>
        <row r="260">
          <cell r="B260" t="str">
            <v>V17551-PIND-0402-01</v>
          </cell>
          <cell r="C260" t="str">
            <v>PROD/25-26/14094</v>
          </cell>
          <cell r="D260" t="str">
            <v/>
          </cell>
          <cell r="E260" t="str">
            <v>TJ/25-26/184-CS</v>
          </cell>
          <cell r="F260" t="str">
            <v>P5</v>
          </cell>
          <cell r="G260">
            <v>0</v>
          </cell>
          <cell r="H260">
            <v>1</v>
          </cell>
          <cell r="I260" t="str">
            <v>Yes</v>
          </cell>
          <cell r="J260" t="str">
            <v/>
          </cell>
          <cell r="K260" t="str">
            <v>Yes</v>
          </cell>
          <cell r="L260" t="str">
            <v/>
          </cell>
          <cell r="M260" t="str">
            <v/>
          </cell>
          <cell r="N260" t="str">
            <v>Spool</v>
          </cell>
          <cell r="O260">
            <v>0</v>
          </cell>
          <cell r="P260">
            <v>0</v>
          </cell>
          <cell r="Q260" t="str">
            <v>CS</v>
          </cell>
          <cell r="R260">
            <v>1</v>
          </cell>
          <cell r="S260">
            <v>1</v>
          </cell>
          <cell r="T260">
            <v>82.256479999999996</v>
          </cell>
          <cell r="U260">
            <v>82.256479999999996</v>
          </cell>
        </row>
        <row r="261">
          <cell r="B261" t="str">
            <v>V17551-PIND-0403-01</v>
          </cell>
          <cell r="C261" t="str">
            <v>PROD/25-26/13810</v>
          </cell>
          <cell r="D261" t="str">
            <v/>
          </cell>
          <cell r="E261" t="str">
            <v>TJ/25-26/184-P11</v>
          </cell>
          <cell r="F261" t="str">
            <v>P5</v>
          </cell>
          <cell r="G261">
            <v>0</v>
          </cell>
          <cell r="H261">
            <v>1</v>
          </cell>
          <cell r="I261" t="str">
            <v>Yes</v>
          </cell>
          <cell r="J261" t="str">
            <v/>
          </cell>
          <cell r="K261" t="str">
            <v>No</v>
          </cell>
          <cell r="L261" t="str">
            <v/>
          </cell>
          <cell r="M261" t="str">
            <v/>
          </cell>
          <cell r="N261" t="str">
            <v>Spool</v>
          </cell>
          <cell r="O261">
            <v>0</v>
          </cell>
          <cell r="P261">
            <v>0</v>
          </cell>
          <cell r="Q261" t="str">
            <v>P11</v>
          </cell>
          <cell r="R261">
            <v>1</v>
          </cell>
          <cell r="S261">
            <v>1</v>
          </cell>
          <cell r="T261">
            <v>8.8028399999999998</v>
          </cell>
          <cell r="U261">
            <v>8.8028399999999998</v>
          </cell>
        </row>
        <row r="262">
          <cell r="B262" t="str">
            <v>V17551-PIND-0404-01</v>
          </cell>
          <cell r="C262" t="str">
            <v>PROD/25-26/14196</v>
          </cell>
          <cell r="D262" t="str">
            <v/>
          </cell>
          <cell r="E262" t="str">
            <v>TJ/25-26/184-CS</v>
          </cell>
          <cell r="F262" t="str">
            <v>P5</v>
          </cell>
          <cell r="G262">
            <v>0</v>
          </cell>
          <cell r="H262">
            <v>1</v>
          </cell>
          <cell r="I262" t="str">
            <v>Yes</v>
          </cell>
          <cell r="J262" t="str">
            <v/>
          </cell>
          <cell r="K262" t="str">
            <v>Yes</v>
          </cell>
          <cell r="L262" t="str">
            <v/>
          </cell>
          <cell r="M262" t="str">
            <v/>
          </cell>
          <cell r="N262" t="str">
            <v>Spool</v>
          </cell>
          <cell r="O262">
            <v>0</v>
          </cell>
          <cell r="P262">
            <v>0</v>
          </cell>
          <cell r="Q262" t="str">
            <v>CS</v>
          </cell>
          <cell r="R262">
            <v>1</v>
          </cell>
          <cell r="S262">
            <v>1</v>
          </cell>
          <cell r="T262">
            <v>4.2904</v>
          </cell>
          <cell r="U262">
            <v>4.2904</v>
          </cell>
        </row>
        <row r="263">
          <cell r="B263" t="str">
            <v>V17551-PIND-0405-01</v>
          </cell>
          <cell r="C263" t="str">
            <v>PROD/25-26/13812</v>
          </cell>
          <cell r="D263" t="str">
            <v/>
          </cell>
          <cell r="E263" t="str">
            <v>TJ/25-26/184-CS</v>
          </cell>
          <cell r="F263" t="str">
            <v>P5</v>
          </cell>
          <cell r="G263">
            <v>0</v>
          </cell>
          <cell r="H263">
            <v>1</v>
          </cell>
          <cell r="I263" t="str">
            <v>Yes</v>
          </cell>
          <cell r="J263" t="str">
            <v/>
          </cell>
          <cell r="K263" t="str">
            <v>Yes</v>
          </cell>
          <cell r="L263" t="str">
            <v/>
          </cell>
          <cell r="M263" t="str">
            <v/>
          </cell>
          <cell r="N263" t="str">
            <v>Spool</v>
          </cell>
          <cell r="O263">
            <v>0</v>
          </cell>
          <cell r="P263">
            <v>0</v>
          </cell>
          <cell r="Q263" t="str">
            <v>CS</v>
          </cell>
          <cell r="R263">
            <v>1</v>
          </cell>
          <cell r="S263">
            <v>1</v>
          </cell>
          <cell r="T263">
            <v>3.6798000000000002</v>
          </cell>
          <cell r="U263">
            <v>3.6798000000000002</v>
          </cell>
        </row>
        <row r="264">
          <cell r="B264" t="str">
            <v>V17551-PIND-0406-01</v>
          </cell>
          <cell r="C264" t="str">
            <v>PROD/25-26/13813</v>
          </cell>
          <cell r="D264" t="str">
            <v/>
          </cell>
          <cell r="E264" t="str">
            <v>TJ/25-26/184-CS</v>
          </cell>
          <cell r="F264" t="str">
            <v>P5</v>
          </cell>
          <cell r="G264">
            <v>0</v>
          </cell>
          <cell r="H264">
            <v>1</v>
          </cell>
          <cell r="I264" t="str">
            <v>Yes</v>
          </cell>
          <cell r="J264" t="str">
            <v/>
          </cell>
          <cell r="K264" t="str">
            <v>No</v>
          </cell>
          <cell r="L264" t="str">
            <v/>
          </cell>
          <cell r="M264" t="str">
            <v/>
          </cell>
          <cell r="N264" t="str">
            <v>Spool</v>
          </cell>
          <cell r="O264">
            <v>0</v>
          </cell>
          <cell r="P264">
            <v>0</v>
          </cell>
          <cell r="Q264" t="str">
            <v>CS</v>
          </cell>
          <cell r="R264">
            <v>1</v>
          </cell>
          <cell r="S264">
            <v>1</v>
          </cell>
          <cell r="T264">
            <v>12.099600000000001</v>
          </cell>
          <cell r="U264">
            <v>12.099600000000001</v>
          </cell>
        </row>
        <row r="265">
          <cell r="B265" t="str">
            <v>V17551-PIND-0407-01</v>
          </cell>
          <cell r="C265" t="str">
            <v>PROD/25-26/13814</v>
          </cell>
          <cell r="D265" t="str">
            <v/>
          </cell>
          <cell r="E265" t="str">
            <v>TJ/25-26/184-CS</v>
          </cell>
          <cell r="F265" t="str">
            <v>P5</v>
          </cell>
          <cell r="G265">
            <v>0</v>
          </cell>
          <cell r="H265">
            <v>1</v>
          </cell>
          <cell r="I265" t="str">
            <v>Yes</v>
          </cell>
          <cell r="J265" t="str">
            <v/>
          </cell>
          <cell r="K265" t="str">
            <v>Yes</v>
          </cell>
          <cell r="L265" t="str">
            <v/>
          </cell>
          <cell r="M265" t="str">
            <v/>
          </cell>
          <cell r="N265" t="str">
            <v>Spool</v>
          </cell>
          <cell r="O265">
            <v>0</v>
          </cell>
          <cell r="P265">
            <v>0</v>
          </cell>
          <cell r="Q265" t="str">
            <v>CS</v>
          </cell>
          <cell r="R265">
            <v>1</v>
          </cell>
          <cell r="S265">
            <v>1</v>
          </cell>
          <cell r="T265">
            <v>9.0387199999999996</v>
          </cell>
          <cell r="U265">
            <v>9.0387199999999996</v>
          </cell>
        </row>
        <row r="266">
          <cell r="B266" t="str">
            <v>V17551-PIND-0408-01</v>
          </cell>
          <cell r="C266" t="str">
            <v>PROD/25-26/13634</v>
          </cell>
          <cell r="D266" t="str">
            <v/>
          </cell>
          <cell r="E266" t="str">
            <v>TJ/25-26/184-CS</v>
          </cell>
          <cell r="F266" t="str">
            <v>P5</v>
          </cell>
          <cell r="G266">
            <v>0</v>
          </cell>
          <cell r="H266">
            <v>1</v>
          </cell>
          <cell r="I266" t="str">
            <v>Yes</v>
          </cell>
          <cell r="J266" t="str">
            <v/>
          </cell>
          <cell r="K266" t="str">
            <v>Yes</v>
          </cell>
          <cell r="L266" t="str">
            <v/>
          </cell>
          <cell r="M266" t="str">
            <v/>
          </cell>
          <cell r="N266" t="str">
            <v>Spool</v>
          </cell>
          <cell r="O266">
            <v>0</v>
          </cell>
          <cell r="P266">
            <v>0</v>
          </cell>
          <cell r="Q266" t="str">
            <v>CS</v>
          </cell>
          <cell r="R266">
            <v>1</v>
          </cell>
          <cell r="S266">
            <v>1</v>
          </cell>
          <cell r="T266">
            <v>7.5640400000000003</v>
          </cell>
          <cell r="U266">
            <v>7.5640400000000003</v>
          </cell>
        </row>
        <row r="267">
          <cell r="B267" t="str">
            <v>V17551-PIND-0409-01</v>
          </cell>
          <cell r="C267" t="str">
            <v>PROD/25-26/13635</v>
          </cell>
          <cell r="D267" t="str">
            <v/>
          </cell>
          <cell r="E267" t="str">
            <v>TJ/25-26/184-CS</v>
          </cell>
          <cell r="F267" t="str">
            <v>P5</v>
          </cell>
          <cell r="G267">
            <v>0</v>
          </cell>
          <cell r="H267">
            <v>1</v>
          </cell>
          <cell r="I267" t="str">
            <v>Yes</v>
          </cell>
          <cell r="J267" t="str">
            <v/>
          </cell>
          <cell r="K267" t="str">
            <v>Yes</v>
          </cell>
          <cell r="L267" t="str">
            <v/>
          </cell>
          <cell r="M267" t="str">
            <v/>
          </cell>
          <cell r="N267" t="str">
            <v>Spool</v>
          </cell>
          <cell r="O267">
            <v>0</v>
          </cell>
          <cell r="P267">
            <v>0</v>
          </cell>
          <cell r="Q267" t="str">
            <v>CS</v>
          </cell>
          <cell r="R267">
            <v>1</v>
          </cell>
          <cell r="S267">
            <v>1</v>
          </cell>
          <cell r="T267">
            <v>9.0123200000000008</v>
          </cell>
          <cell r="U267">
            <v>9.0123200000000008</v>
          </cell>
        </row>
        <row r="268">
          <cell r="B268" t="str">
            <v>V17551-PIND-0410-01</v>
          </cell>
          <cell r="C268" t="str">
            <v>PROD/25-26/13636</v>
          </cell>
          <cell r="D268" t="str">
            <v/>
          </cell>
          <cell r="E268" t="str">
            <v>TJ/25-26/184-CS</v>
          </cell>
          <cell r="F268" t="str">
            <v>P5</v>
          </cell>
          <cell r="G268">
            <v>0</v>
          </cell>
          <cell r="H268">
            <v>1</v>
          </cell>
          <cell r="I268" t="str">
            <v>Yes</v>
          </cell>
          <cell r="J268" t="str">
            <v/>
          </cell>
          <cell r="K268" t="str">
            <v>Yes</v>
          </cell>
          <cell r="L268" t="str">
            <v/>
          </cell>
          <cell r="M268" t="str">
            <v/>
          </cell>
          <cell r="N268" t="str">
            <v>Spool</v>
          </cell>
          <cell r="O268">
            <v>0</v>
          </cell>
          <cell r="P268">
            <v>0</v>
          </cell>
          <cell r="Q268" t="str">
            <v>CS</v>
          </cell>
          <cell r="R268">
            <v>1</v>
          </cell>
          <cell r="S268">
            <v>1</v>
          </cell>
          <cell r="T268">
            <v>10.9628</v>
          </cell>
          <cell r="U268">
            <v>10.9628</v>
          </cell>
        </row>
        <row r="269">
          <cell r="B269" t="str">
            <v>V17551-PIND-0411-01</v>
          </cell>
          <cell r="C269" t="str">
            <v>PROD/25-26/13637</v>
          </cell>
          <cell r="D269" t="str">
            <v/>
          </cell>
          <cell r="E269" t="str">
            <v>TJ/25-26/184-CS</v>
          </cell>
          <cell r="F269" t="str">
            <v>P5</v>
          </cell>
          <cell r="G269">
            <v>0</v>
          </cell>
          <cell r="H269">
            <v>1</v>
          </cell>
          <cell r="I269" t="str">
            <v>Yes</v>
          </cell>
          <cell r="J269" t="str">
            <v/>
          </cell>
          <cell r="K269" t="str">
            <v>Yes</v>
          </cell>
          <cell r="L269" t="str">
            <v/>
          </cell>
          <cell r="M269" t="str">
            <v/>
          </cell>
          <cell r="N269" t="str">
            <v>Spool</v>
          </cell>
          <cell r="O269">
            <v>0</v>
          </cell>
          <cell r="P269">
            <v>0</v>
          </cell>
          <cell r="Q269" t="str">
            <v>CS</v>
          </cell>
          <cell r="R269">
            <v>1</v>
          </cell>
          <cell r="S269">
            <v>1</v>
          </cell>
          <cell r="T269">
            <v>9.4659200000000006</v>
          </cell>
          <cell r="U269">
            <v>9.4659200000000006</v>
          </cell>
        </row>
        <row r="270">
          <cell r="B270" t="str">
            <v>V17551-PIND-0412-01</v>
          </cell>
          <cell r="C270" t="str">
            <v>PROD/25-26/13638</v>
          </cell>
          <cell r="D270" t="str">
            <v/>
          </cell>
          <cell r="E270" t="str">
            <v>TJ/25-26/184-CS</v>
          </cell>
          <cell r="F270" t="str">
            <v>P5</v>
          </cell>
          <cell r="G270">
            <v>0</v>
          </cell>
          <cell r="H270">
            <v>1</v>
          </cell>
          <cell r="I270" t="str">
            <v>Yes</v>
          </cell>
          <cell r="J270" t="str">
            <v/>
          </cell>
          <cell r="K270" t="str">
            <v>Yes</v>
          </cell>
          <cell r="L270" t="str">
            <v/>
          </cell>
          <cell r="M270" t="str">
            <v/>
          </cell>
          <cell r="N270" t="str">
            <v>Spool</v>
          </cell>
          <cell r="O270">
            <v>0</v>
          </cell>
          <cell r="P270">
            <v>0</v>
          </cell>
          <cell r="Q270" t="str">
            <v>CS</v>
          </cell>
          <cell r="R270">
            <v>1</v>
          </cell>
          <cell r="S270">
            <v>1</v>
          </cell>
          <cell r="T270">
            <v>11.4002</v>
          </cell>
          <cell r="U270">
            <v>11.4002</v>
          </cell>
        </row>
        <row r="271">
          <cell r="B271" t="str">
            <v>V17551-PIND-0413-01</v>
          </cell>
          <cell r="C271" t="str">
            <v>PROD/25-26/13819</v>
          </cell>
          <cell r="D271" t="str">
            <v/>
          </cell>
          <cell r="E271" t="str">
            <v>TJ/25-26/184-CS</v>
          </cell>
          <cell r="F271" t="str">
            <v>P5</v>
          </cell>
          <cell r="G271">
            <v>0</v>
          </cell>
          <cell r="H271">
            <v>1</v>
          </cell>
          <cell r="I271" t="str">
            <v>Yes</v>
          </cell>
          <cell r="J271" t="str">
            <v/>
          </cell>
          <cell r="K271" t="str">
            <v>Yes</v>
          </cell>
          <cell r="L271" t="str">
            <v/>
          </cell>
          <cell r="M271" t="str">
            <v/>
          </cell>
          <cell r="N271" t="str">
            <v>Spool</v>
          </cell>
          <cell r="O271">
            <v>0</v>
          </cell>
          <cell r="P271">
            <v>0</v>
          </cell>
          <cell r="Q271" t="str">
            <v>CS</v>
          </cell>
          <cell r="R271">
            <v>1</v>
          </cell>
          <cell r="S271">
            <v>1</v>
          </cell>
          <cell r="T271">
            <v>4.5908800000000003</v>
          </cell>
          <cell r="U271">
            <v>4.5908800000000003</v>
          </cell>
        </row>
        <row r="272">
          <cell r="B272" t="str">
            <v>V17551-PIND-0414-01</v>
          </cell>
          <cell r="C272" t="str">
            <v>PROD/25-26/13640</v>
          </cell>
          <cell r="D272" t="str">
            <v/>
          </cell>
          <cell r="E272" t="str">
            <v>TJ/25-26/184-CS</v>
          </cell>
          <cell r="F272" t="str">
            <v>P5</v>
          </cell>
          <cell r="G272">
            <v>0</v>
          </cell>
          <cell r="H272">
            <v>1</v>
          </cell>
          <cell r="I272" t="str">
            <v>Yes</v>
          </cell>
          <cell r="J272" t="str">
            <v/>
          </cell>
          <cell r="K272" t="str">
            <v>Yes</v>
          </cell>
          <cell r="L272" t="str">
            <v/>
          </cell>
          <cell r="M272" t="str">
            <v/>
          </cell>
          <cell r="N272" t="str">
            <v>Spool</v>
          </cell>
          <cell r="O272">
            <v>0</v>
          </cell>
          <cell r="P272">
            <v>0</v>
          </cell>
          <cell r="Q272" t="str">
            <v>CS</v>
          </cell>
          <cell r="R272">
            <v>1</v>
          </cell>
          <cell r="S272">
            <v>1</v>
          </cell>
          <cell r="T272">
            <v>7.89452</v>
          </cell>
          <cell r="U272">
            <v>7.89452</v>
          </cell>
        </row>
        <row r="273">
          <cell r="B273" t="str">
            <v>V17551-PIND-0415-01</v>
          </cell>
          <cell r="C273" t="str">
            <v>PROD/25-26/13820</v>
          </cell>
          <cell r="D273" t="str">
            <v/>
          </cell>
          <cell r="E273" t="str">
            <v>TJ/25-26/184-CS</v>
          </cell>
          <cell r="F273" t="str">
            <v>P5</v>
          </cell>
          <cell r="G273">
            <v>0</v>
          </cell>
          <cell r="H273">
            <v>1</v>
          </cell>
          <cell r="I273" t="str">
            <v>Yes</v>
          </cell>
          <cell r="J273" t="str">
            <v/>
          </cell>
          <cell r="K273" t="str">
            <v>Yes</v>
          </cell>
          <cell r="L273" t="str">
            <v/>
          </cell>
          <cell r="M273" t="str">
            <v/>
          </cell>
          <cell r="N273" t="str">
            <v>Spool</v>
          </cell>
          <cell r="O273">
            <v>0</v>
          </cell>
          <cell r="P273">
            <v>0</v>
          </cell>
          <cell r="Q273" t="str">
            <v>CS</v>
          </cell>
          <cell r="R273">
            <v>1</v>
          </cell>
          <cell r="S273">
            <v>1</v>
          </cell>
          <cell r="T273">
            <v>8.8281200000000002</v>
          </cell>
          <cell r="U273">
            <v>8.8281200000000002</v>
          </cell>
        </row>
        <row r="274">
          <cell r="B274" t="str">
            <v>V17551-PIND-0416-01</v>
          </cell>
          <cell r="C274" t="str">
            <v>PROD/25-26/13641</v>
          </cell>
          <cell r="D274" t="str">
            <v/>
          </cell>
          <cell r="E274" t="str">
            <v>TJ/25-26/184-CS</v>
          </cell>
          <cell r="F274" t="str">
            <v>P5</v>
          </cell>
          <cell r="G274">
            <v>0</v>
          </cell>
          <cell r="H274">
            <v>1</v>
          </cell>
          <cell r="I274" t="str">
            <v>Yes</v>
          </cell>
          <cell r="J274" t="str">
            <v/>
          </cell>
          <cell r="K274" t="str">
            <v>Yes</v>
          </cell>
          <cell r="L274" t="str">
            <v/>
          </cell>
          <cell r="M274" t="str">
            <v/>
          </cell>
          <cell r="N274" t="str">
            <v>Spool</v>
          </cell>
          <cell r="O274">
            <v>0</v>
          </cell>
          <cell r="P274">
            <v>0</v>
          </cell>
          <cell r="Q274" t="str">
            <v>CS</v>
          </cell>
          <cell r="R274">
            <v>1</v>
          </cell>
          <cell r="S274">
            <v>1</v>
          </cell>
          <cell r="T274">
            <v>7.89452</v>
          </cell>
          <cell r="U274">
            <v>7.89452</v>
          </cell>
        </row>
        <row r="275">
          <cell r="B275" t="str">
            <v>V17551-PIND-0417-01</v>
          </cell>
          <cell r="C275" t="str">
            <v>PROD/25-26/13821</v>
          </cell>
          <cell r="D275" t="str">
            <v/>
          </cell>
          <cell r="E275" t="str">
            <v>TJ/25-26/184-CS</v>
          </cell>
          <cell r="F275" t="str">
            <v>P5</v>
          </cell>
          <cell r="G275">
            <v>0</v>
          </cell>
          <cell r="H275">
            <v>1</v>
          </cell>
          <cell r="I275" t="str">
            <v>Yes</v>
          </cell>
          <cell r="J275" t="str">
            <v/>
          </cell>
          <cell r="K275" t="str">
            <v>No</v>
          </cell>
          <cell r="L275" t="str">
            <v/>
          </cell>
          <cell r="M275" t="str">
            <v/>
          </cell>
          <cell r="N275" t="str">
            <v>Spool</v>
          </cell>
          <cell r="O275">
            <v>0</v>
          </cell>
          <cell r="P275">
            <v>0</v>
          </cell>
          <cell r="Q275" t="str">
            <v>CS</v>
          </cell>
          <cell r="R275">
            <v>1</v>
          </cell>
          <cell r="S275">
            <v>1</v>
          </cell>
          <cell r="T275">
            <v>6.6138000000000003</v>
          </cell>
          <cell r="U275">
            <v>6.6138000000000003</v>
          </cell>
        </row>
        <row r="276">
          <cell r="B276" t="str">
            <v>V17551-PIND-0418-01</v>
          </cell>
          <cell r="C276" t="str">
            <v>PROD/25-26/13822</v>
          </cell>
          <cell r="D276" t="str">
            <v/>
          </cell>
          <cell r="E276" t="str">
            <v>TJ/25-26/184-CS</v>
          </cell>
          <cell r="F276" t="str">
            <v>P5 &amp; P1</v>
          </cell>
          <cell r="G276">
            <v>0</v>
          </cell>
          <cell r="H276">
            <v>1</v>
          </cell>
          <cell r="I276" t="str">
            <v>Yes</v>
          </cell>
          <cell r="J276" t="str">
            <v/>
          </cell>
          <cell r="K276" t="str">
            <v>Yes</v>
          </cell>
          <cell r="L276" t="str">
            <v/>
          </cell>
          <cell r="M276" t="str">
            <v/>
          </cell>
          <cell r="N276" t="str">
            <v>Spool</v>
          </cell>
          <cell r="O276">
            <v>0</v>
          </cell>
          <cell r="P276">
            <v>0</v>
          </cell>
          <cell r="Q276" t="str">
            <v>CS</v>
          </cell>
          <cell r="R276">
            <v>1</v>
          </cell>
          <cell r="S276">
            <v>1</v>
          </cell>
          <cell r="T276">
            <v>12.950760000000001</v>
          </cell>
          <cell r="U276">
            <v>12.950760000000001</v>
          </cell>
        </row>
        <row r="277">
          <cell r="B277" t="str">
            <v>V17551-PIND-0419-01</v>
          </cell>
          <cell r="C277" t="str">
            <v>PROD/25-26/13823</v>
          </cell>
          <cell r="D277" t="str">
            <v/>
          </cell>
          <cell r="E277" t="str">
            <v>TJ/25-26/184-CS</v>
          </cell>
          <cell r="F277" t="str">
            <v>P5</v>
          </cell>
          <cell r="G277">
            <v>0</v>
          </cell>
          <cell r="H277">
            <v>1</v>
          </cell>
          <cell r="I277" t="str">
            <v>Yes</v>
          </cell>
          <cell r="J277" t="str">
            <v/>
          </cell>
          <cell r="K277" t="str">
            <v>Yes</v>
          </cell>
          <cell r="L277" t="str">
            <v/>
          </cell>
          <cell r="M277" t="str">
            <v/>
          </cell>
          <cell r="N277" t="str">
            <v>Spool</v>
          </cell>
          <cell r="O277">
            <v>0</v>
          </cell>
          <cell r="P277">
            <v>0</v>
          </cell>
          <cell r="Q277" t="str">
            <v>CS</v>
          </cell>
          <cell r="R277">
            <v>1</v>
          </cell>
          <cell r="S277">
            <v>1</v>
          </cell>
          <cell r="T277">
            <v>5.8426</v>
          </cell>
          <cell r="U277">
            <v>5.8426</v>
          </cell>
        </row>
        <row r="278">
          <cell r="B278" t="str">
            <v>V17551-PIND-0420-01</v>
          </cell>
          <cell r="C278" t="str">
            <v>PROD/25-26/13824</v>
          </cell>
          <cell r="D278" t="str">
            <v/>
          </cell>
          <cell r="E278" t="str">
            <v>TJ/25-26/184-CS</v>
          </cell>
          <cell r="F278" t="str">
            <v>P5</v>
          </cell>
          <cell r="G278">
            <v>0</v>
          </cell>
          <cell r="H278">
            <v>1</v>
          </cell>
          <cell r="I278" t="str">
            <v>Yes</v>
          </cell>
          <cell r="J278" t="str">
            <v/>
          </cell>
          <cell r="K278" t="str">
            <v>Yes</v>
          </cell>
          <cell r="L278" t="str">
            <v/>
          </cell>
          <cell r="M278" t="str">
            <v/>
          </cell>
          <cell r="N278" t="str">
            <v>Spool</v>
          </cell>
          <cell r="O278">
            <v>0</v>
          </cell>
          <cell r="P278">
            <v>0</v>
          </cell>
          <cell r="Q278" t="str">
            <v>CS</v>
          </cell>
          <cell r="R278">
            <v>1</v>
          </cell>
          <cell r="S278">
            <v>1</v>
          </cell>
          <cell r="T278">
            <v>5.8426</v>
          </cell>
          <cell r="U278">
            <v>5.8426</v>
          </cell>
        </row>
        <row r="279">
          <cell r="B279" t="str">
            <v>V17551-PIND-0421-01</v>
          </cell>
          <cell r="C279" t="str">
            <v>PROD/25-26/14194</v>
          </cell>
          <cell r="D279" t="str">
            <v/>
          </cell>
          <cell r="E279" t="str">
            <v>TJ/25-26/184-CS</v>
          </cell>
          <cell r="F279" t="str">
            <v>P5</v>
          </cell>
          <cell r="G279">
            <v>0</v>
          </cell>
          <cell r="H279">
            <v>1</v>
          </cell>
          <cell r="I279" t="str">
            <v>Yes</v>
          </cell>
          <cell r="J279" t="str">
            <v/>
          </cell>
          <cell r="K279" t="str">
            <v>No</v>
          </cell>
          <cell r="L279" t="str">
            <v/>
          </cell>
          <cell r="M279" t="str">
            <v/>
          </cell>
          <cell r="N279" t="str">
            <v>Spool</v>
          </cell>
          <cell r="O279">
            <v>0</v>
          </cell>
          <cell r="P279">
            <v>0</v>
          </cell>
          <cell r="Q279" t="str">
            <v>CS</v>
          </cell>
          <cell r="R279">
            <v>1</v>
          </cell>
          <cell r="S279">
            <v>1</v>
          </cell>
          <cell r="T279">
            <v>12.1988</v>
          </cell>
          <cell r="U279">
            <v>12.1988</v>
          </cell>
        </row>
        <row r="280">
          <cell r="B280" t="str">
            <v>V17551-PIND-0422-01</v>
          </cell>
          <cell r="C280" t="str">
            <v>PROD/25-26/13825</v>
          </cell>
          <cell r="D280" t="str">
            <v/>
          </cell>
          <cell r="E280" t="str">
            <v>TJ/25-26/184-CS</v>
          </cell>
          <cell r="F280" t="str">
            <v>P5</v>
          </cell>
          <cell r="G280">
            <v>0</v>
          </cell>
          <cell r="H280">
            <v>1</v>
          </cell>
          <cell r="I280" t="str">
            <v>Yes</v>
          </cell>
          <cell r="J280" t="str">
            <v/>
          </cell>
          <cell r="K280" t="str">
            <v>No</v>
          </cell>
          <cell r="L280" t="str">
            <v/>
          </cell>
          <cell r="M280" t="str">
            <v/>
          </cell>
          <cell r="N280" t="str">
            <v>Spool</v>
          </cell>
          <cell r="O280">
            <v>0</v>
          </cell>
          <cell r="P280">
            <v>0</v>
          </cell>
          <cell r="Q280" t="str">
            <v>CS</v>
          </cell>
          <cell r="R280">
            <v>1</v>
          </cell>
          <cell r="S280">
            <v>1</v>
          </cell>
          <cell r="T280">
            <v>11.6328</v>
          </cell>
          <cell r="U280">
            <v>11.6328</v>
          </cell>
        </row>
        <row r="281">
          <cell r="B281" t="str">
            <v>V17551-PIND-0423-01</v>
          </cell>
          <cell r="C281" t="str">
            <v>PROD/25-26/14193</v>
          </cell>
          <cell r="D281" t="str">
            <v/>
          </cell>
          <cell r="E281" t="str">
            <v>TJ/25-26/184-CS</v>
          </cell>
          <cell r="F281" t="str">
            <v>P5</v>
          </cell>
          <cell r="G281">
            <v>0</v>
          </cell>
          <cell r="H281">
            <v>1</v>
          </cell>
          <cell r="I281" t="str">
            <v>Yes</v>
          </cell>
          <cell r="J281" t="str">
            <v/>
          </cell>
          <cell r="K281" t="str">
            <v>Yes</v>
          </cell>
          <cell r="L281" t="str">
            <v/>
          </cell>
          <cell r="M281" t="str">
            <v/>
          </cell>
          <cell r="N281" t="str">
            <v>Spool</v>
          </cell>
          <cell r="O281">
            <v>0</v>
          </cell>
          <cell r="P281">
            <v>0</v>
          </cell>
          <cell r="Q281" t="str">
            <v>CS</v>
          </cell>
          <cell r="R281">
            <v>1</v>
          </cell>
          <cell r="S281">
            <v>1</v>
          </cell>
          <cell r="T281">
            <v>6.5590000000000002</v>
          </cell>
          <cell r="U281">
            <v>6.5590000000000002</v>
          </cell>
        </row>
        <row r="282">
          <cell r="B282" t="str">
            <v>V17551-PIND-0424-01</v>
          </cell>
          <cell r="C282" t="str">
            <v>PROD/25-26/14096</v>
          </cell>
          <cell r="D282" t="str">
            <v/>
          </cell>
          <cell r="E282" t="str">
            <v>TJ/25-26/184-CS</v>
          </cell>
          <cell r="F282" t="str">
            <v>P5</v>
          </cell>
          <cell r="G282">
            <v>0</v>
          </cell>
          <cell r="H282">
            <v>1</v>
          </cell>
          <cell r="I282" t="str">
            <v>Yes</v>
          </cell>
          <cell r="J282" t="str">
            <v/>
          </cell>
          <cell r="K282" t="str">
            <v>Yes</v>
          </cell>
          <cell r="L282" t="str">
            <v/>
          </cell>
          <cell r="M282" t="str">
            <v/>
          </cell>
          <cell r="N282" t="str">
            <v>Spool</v>
          </cell>
          <cell r="O282">
            <v>0</v>
          </cell>
          <cell r="P282">
            <v>0</v>
          </cell>
          <cell r="Q282" t="str">
            <v>CS</v>
          </cell>
          <cell r="R282">
            <v>1</v>
          </cell>
          <cell r="S282">
            <v>1</v>
          </cell>
          <cell r="T282">
            <v>59.349679999999999</v>
          </cell>
          <cell r="U282">
            <v>59.349679999999999</v>
          </cell>
        </row>
        <row r="283">
          <cell r="B283" t="str">
            <v>V17551-PIND-0425-01</v>
          </cell>
          <cell r="C283" t="str">
            <v>PROD/25-26/13828</v>
          </cell>
          <cell r="D283" t="str">
            <v/>
          </cell>
          <cell r="E283" t="str">
            <v>TJ/25-26/184-CS</v>
          </cell>
          <cell r="F283" t="str">
            <v>P5</v>
          </cell>
          <cell r="G283">
            <v>0</v>
          </cell>
          <cell r="H283">
            <v>1</v>
          </cell>
          <cell r="I283" t="str">
            <v>Yes</v>
          </cell>
          <cell r="J283" t="str">
            <v/>
          </cell>
          <cell r="K283" t="str">
            <v>Yes</v>
          </cell>
          <cell r="L283" t="str">
            <v/>
          </cell>
          <cell r="M283" t="str">
            <v/>
          </cell>
          <cell r="N283" t="str">
            <v>Spool</v>
          </cell>
          <cell r="O283">
            <v>0</v>
          </cell>
          <cell r="P283">
            <v>0</v>
          </cell>
          <cell r="Q283" t="str">
            <v>CS</v>
          </cell>
          <cell r="R283">
            <v>1</v>
          </cell>
          <cell r="S283">
            <v>1</v>
          </cell>
          <cell r="T283">
            <v>5.7388000000000003</v>
          </cell>
          <cell r="U283">
            <v>5.7388000000000003</v>
          </cell>
        </row>
        <row r="284">
          <cell r="B284" t="str">
            <v>V17551-PIND-0426-01</v>
          </cell>
          <cell r="C284" t="str">
            <v>PROD/25-26/13829</v>
          </cell>
          <cell r="D284" t="str">
            <v/>
          </cell>
          <cell r="E284" t="str">
            <v>TJ/25-26/184-CS</v>
          </cell>
          <cell r="F284" t="str">
            <v>P5</v>
          </cell>
          <cell r="G284">
            <v>0</v>
          </cell>
          <cell r="H284">
            <v>1</v>
          </cell>
          <cell r="I284" t="str">
            <v>Yes</v>
          </cell>
          <cell r="J284" t="str">
            <v/>
          </cell>
          <cell r="K284" t="str">
            <v>Yes</v>
          </cell>
          <cell r="L284" t="str">
            <v/>
          </cell>
          <cell r="M284" t="str">
            <v/>
          </cell>
          <cell r="N284" t="str">
            <v>Spool</v>
          </cell>
          <cell r="O284">
            <v>0</v>
          </cell>
          <cell r="P284">
            <v>0</v>
          </cell>
          <cell r="Q284" t="str">
            <v>CS</v>
          </cell>
          <cell r="R284">
            <v>1</v>
          </cell>
          <cell r="S284">
            <v>1</v>
          </cell>
          <cell r="T284">
            <v>1.1404000000000001</v>
          </cell>
          <cell r="U284">
            <v>1.1404000000000001</v>
          </cell>
        </row>
        <row r="285">
          <cell r="B285" t="str">
            <v>V17551-PIND-0427-01</v>
          </cell>
          <cell r="C285" t="str">
            <v>PROD/25-26/13830</v>
          </cell>
          <cell r="D285" t="str">
            <v/>
          </cell>
          <cell r="E285" t="str">
            <v>TJ/25-26/184-CS</v>
          </cell>
          <cell r="F285" t="str">
            <v>P5</v>
          </cell>
          <cell r="G285">
            <v>0</v>
          </cell>
          <cell r="H285">
            <v>1</v>
          </cell>
          <cell r="I285" t="str">
            <v>Yes</v>
          </cell>
          <cell r="J285" t="str">
            <v/>
          </cell>
          <cell r="K285" t="str">
            <v>Yes</v>
          </cell>
          <cell r="L285" t="str">
            <v/>
          </cell>
          <cell r="M285" t="str">
            <v/>
          </cell>
          <cell r="N285" t="str">
            <v>Spool</v>
          </cell>
          <cell r="O285">
            <v>0</v>
          </cell>
          <cell r="P285">
            <v>0</v>
          </cell>
          <cell r="Q285" t="str">
            <v>CS</v>
          </cell>
          <cell r="R285">
            <v>1</v>
          </cell>
          <cell r="S285">
            <v>1</v>
          </cell>
          <cell r="T285">
            <v>89.402879999999996</v>
          </cell>
          <cell r="U285">
            <v>89.402879999999996</v>
          </cell>
        </row>
        <row r="286">
          <cell r="B286" t="str">
            <v>V17551-PIND-0428-01</v>
          </cell>
          <cell r="C286" t="str">
            <v>PROD/25-26/13831</v>
          </cell>
          <cell r="D286" t="str">
            <v/>
          </cell>
          <cell r="E286" t="str">
            <v>TJ/25-26/184-CS</v>
          </cell>
          <cell r="F286" t="str">
            <v>P5</v>
          </cell>
          <cell r="G286">
            <v>0</v>
          </cell>
          <cell r="H286">
            <v>1</v>
          </cell>
          <cell r="I286" t="str">
            <v>Yes</v>
          </cell>
          <cell r="J286" t="str">
            <v/>
          </cell>
          <cell r="K286" t="str">
            <v>No</v>
          </cell>
          <cell r="L286" t="str">
            <v/>
          </cell>
          <cell r="M286" t="str">
            <v/>
          </cell>
          <cell r="N286" t="str">
            <v>Spool</v>
          </cell>
          <cell r="O286">
            <v>0</v>
          </cell>
          <cell r="P286">
            <v>0</v>
          </cell>
          <cell r="Q286" t="str">
            <v>CS</v>
          </cell>
          <cell r="R286">
            <v>1</v>
          </cell>
          <cell r="S286">
            <v>1</v>
          </cell>
          <cell r="T286">
            <v>8.0101999999999993</v>
          </cell>
          <cell r="U286">
            <v>8.0101999999999993</v>
          </cell>
        </row>
        <row r="287">
          <cell r="B287" t="str">
            <v>V17551-PIND-0429-01</v>
          </cell>
          <cell r="C287" t="str">
            <v>PROD/25-26/13832</v>
          </cell>
          <cell r="D287" t="str">
            <v/>
          </cell>
          <cell r="E287" t="str">
            <v>TJ/25-26/184-CS</v>
          </cell>
          <cell r="F287" t="str">
            <v>P5</v>
          </cell>
          <cell r="G287">
            <v>0</v>
          </cell>
          <cell r="H287">
            <v>1</v>
          </cell>
          <cell r="I287" t="str">
            <v>Yes</v>
          </cell>
          <cell r="J287" t="str">
            <v/>
          </cell>
          <cell r="K287" t="str">
            <v>No</v>
          </cell>
          <cell r="L287" t="str">
            <v/>
          </cell>
          <cell r="M287" t="str">
            <v/>
          </cell>
          <cell r="N287" t="str">
            <v>Spool</v>
          </cell>
          <cell r="O287">
            <v>0</v>
          </cell>
          <cell r="P287">
            <v>0</v>
          </cell>
          <cell r="Q287" t="str">
            <v>CS</v>
          </cell>
          <cell r="R287">
            <v>1</v>
          </cell>
          <cell r="S287">
            <v>1</v>
          </cell>
          <cell r="T287">
            <v>9.8141599999999993</v>
          </cell>
          <cell r="U287">
            <v>9.8141599999999993</v>
          </cell>
        </row>
        <row r="288">
          <cell r="B288" t="str">
            <v>V17551-PIND-0430-01</v>
          </cell>
          <cell r="C288" t="str">
            <v>PROD/25-26/13833</v>
          </cell>
          <cell r="D288" t="str">
            <v/>
          </cell>
          <cell r="E288" t="str">
            <v>TJ/25-26/184-CS</v>
          </cell>
          <cell r="F288" t="str">
            <v>P5</v>
          </cell>
          <cell r="G288">
            <v>0</v>
          </cell>
          <cell r="H288">
            <v>1</v>
          </cell>
          <cell r="I288" t="str">
            <v>Yes</v>
          </cell>
          <cell r="J288" t="str">
            <v/>
          </cell>
          <cell r="K288" t="str">
            <v>Yes</v>
          </cell>
          <cell r="L288" t="str">
            <v/>
          </cell>
          <cell r="M288" t="str">
            <v/>
          </cell>
          <cell r="N288" t="str">
            <v>Spool</v>
          </cell>
          <cell r="O288">
            <v>0</v>
          </cell>
          <cell r="P288">
            <v>0</v>
          </cell>
          <cell r="Q288" t="str">
            <v>CS</v>
          </cell>
          <cell r="R288">
            <v>1</v>
          </cell>
          <cell r="S288">
            <v>1</v>
          </cell>
          <cell r="T288">
            <v>61.723480000000002</v>
          </cell>
          <cell r="U288">
            <v>61.723480000000002</v>
          </cell>
        </row>
        <row r="289">
          <cell r="B289" t="str">
            <v>V17551-PIND-0431-01</v>
          </cell>
          <cell r="C289" t="str">
            <v>PROD/25-26/13834</v>
          </cell>
          <cell r="D289" t="str">
            <v/>
          </cell>
          <cell r="E289" t="str">
            <v>TJ/25-26/184-CS</v>
          </cell>
          <cell r="F289" t="str">
            <v>P5</v>
          </cell>
          <cell r="G289">
            <v>0</v>
          </cell>
          <cell r="H289">
            <v>1</v>
          </cell>
          <cell r="I289" t="str">
            <v>Yes</v>
          </cell>
          <cell r="J289" t="str">
            <v/>
          </cell>
          <cell r="K289" t="str">
            <v>Yes</v>
          </cell>
          <cell r="L289" t="str">
            <v/>
          </cell>
          <cell r="M289" t="str">
            <v/>
          </cell>
          <cell r="N289" t="str">
            <v>Spool</v>
          </cell>
          <cell r="O289">
            <v>0</v>
          </cell>
          <cell r="P289">
            <v>0</v>
          </cell>
          <cell r="Q289" t="str">
            <v>CS</v>
          </cell>
          <cell r="R289">
            <v>1</v>
          </cell>
          <cell r="S289">
            <v>1</v>
          </cell>
          <cell r="T289">
            <v>15.0352</v>
          </cell>
          <cell r="U289">
            <v>15.0352</v>
          </cell>
        </row>
        <row r="290">
          <cell r="B290" t="str">
            <v>V17551-PIND-0433-01</v>
          </cell>
          <cell r="C290" t="str">
            <v>PROD/25-26/13836</v>
          </cell>
          <cell r="D290" t="str">
            <v/>
          </cell>
          <cell r="E290" t="str">
            <v>TJ/25-26/184-CS</v>
          </cell>
          <cell r="F290" t="str">
            <v>P5</v>
          </cell>
          <cell r="G290">
            <v>0</v>
          </cell>
          <cell r="H290">
            <v>1</v>
          </cell>
          <cell r="I290" t="str">
            <v>Yes</v>
          </cell>
          <cell r="J290" t="str">
            <v/>
          </cell>
          <cell r="K290" t="str">
            <v>Yes</v>
          </cell>
          <cell r="L290" t="str">
            <v/>
          </cell>
          <cell r="M290" t="str">
            <v/>
          </cell>
          <cell r="N290" t="str">
            <v>Spool</v>
          </cell>
          <cell r="O290">
            <v>0</v>
          </cell>
          <cell r="P290">
            <v>0</v>
          </cell>
          <cell r="Q290" t="str">
            <v>CS</v>
          </cell>
          <cell r="R290">
            <v>1</v>
          </cell>
          <cell r="S290">
            <v>1</v>
          </cell>
          <cell r="T290">
            <v>12.74912</v>
          </cell>
          <cell r="U290">
            <v>12.74912</v>
          </cell>
        </row>
        <row r="291">
          <cell r="B291" t="str">
            <v>V17551-PIND-0434-01</v>
          </cell>
          <cell r="C291" t="str">
            <v>PROD/25-26/13837</v>
          </cell>
          <cell r="D291" t="str">
            <v/>
          </cell>
          <cell r="E291" t="str">
            <v>TJ/25-26/184-P11</v>
          </cell>
          <cell r="F291" t="str">
            <v>P5</v>
          </cell>
          <cell r="G291">
            <v>0</v>
          </cell>
          <cell r="H291">
            <v>1</v>
          </cell>
          <cell r="I291" t="str">
            <v>Yes</v>
          </cell>
          <cell r="J291" t="str">
            <v/>
          </cell>
          <cell r="K291" t="str">
            <v>Yes</v>
          </cell>
          <cell r="L291" t="str">
            <v/>
          </cell>
          <cell r="M291" t="str">
            <v/>
          </cell>
          <cell r="N291" t="str">
            <v>Spool</v>
          </cell>
          <cell r="O291">
            <v>0</v>
          </cell>
          <cell r="P291">
            <v>0</v>
          </cell>
          <cell r="Q291" t="str">
            <v>P11</v>
          </cell>
          <cell r="R291">
            <v>1</v>
          </cell>
          <cell r="S291">
            <v>1</v>
          </cell>
          <cell r="T291">
            <v>3.41804</v>
          </cell>
          <cell r="U291">
            <v>3.41804</v>
          </cell>
        </row>
        <row r="292">
          <cell r="B292" t="str">
            <v>V17551-PIND-0435-01</v>
          </cell>
          <cell r="C292" t="str">
            <v>PROD/25-26/13838</v>
          </cell>
          <cell r="D292" t="str">
            <v/>
          </cell>
          <cell r="E292" t="str">
            <v>TJ/25-26/184-CS</v>
          </cell>
          <cell r="F292" t="str">
            <v>P5</v>
          </cell>
          <cell r="G292">
            <v>0</v>
          </cell>
          <cell r="H292">
            <v>1</v>
          </cell>
          <cell r="I292" t="str">
            <v>Yes</v>
          </cell>
          <cell r="J292" t="str">
            <v/>
          </cell>
          <cell r="K292" t="str">
            <v>Yes</v>
          </cell>
          <cell r="L292" t="str">
            <v/>
          </cell>
          <cell r="M292" t="str">
            <v/>
          </cell>
          <cell r="N292" t="str">
            <v>Spool</v>
          </cell>
          <cell r="O292">
            <v>0</v>
          </cell>
          <cell r="P292">
            <v>0</v>
          </cell>
          <cell r="Q292" t="str">
            <v>CS</v>
          </cell>
          <cell r="R292">
            <v>1</v>
          </cell>
          <cell r="S292">
            <v>1</v>
          </cell>
          <cell r="T292">
            <v>26.384879999999999</v>
          </cell>
          <cell r="U292">
            <v>26.384879999999999</v>
          </cell>
        </row>
        <row r="293">
          <cell r="B293" t="str">
            <v>V17551-PIND-0436-01</v>
          </cell>
          <cell r="C293" t="str">
            <v>PROD/25-26/13839</v>
          </cell>
          <cell r="D293" t="str">
            <v/>
          </cell>
          <cell r="E293" t="str">
            <v>TJ/25-26/184-CS</v>
          </cell>
          <cell r="F293" t="str">
            <v>P5</v>
          </cell>
          <cell r="G293">
            <v>0</v>
          </cell>
          <cell r="H293">
            <v>1</v>
          </cell>
          <cell r="I293" t="str">
            <v>Yes</v>
          </cell>
          <cell r="J293" t="str">
            <v/>
          </cell>
          <cell r="K293" t="str">
            <v>Yes</v>
          </cell>
          <cell r="L293" t="str">
            <v/>
          </cell>
          <cell r="M293" t="str">
            <v/>
          </cell>
          <cell r="N293" t="str">
            <v>Spool</v>
          </cell>
          <cell r="O293">
            <v>0</v>
          </cell>
          <cell r="P293">
            <v>0</v>
          </cell>
          <cell r="Q293" t="str">
            <v>CS</v>
          </cell>
          <cell r="R293">
            <v>1</v>
          </cell>
          <cell r="S293">
            <v>1</v>
          </cell>
          <cell r="T293">
            <v>32.719320000000003</v>
          </cell>
          <cell r="U293">
            <v>32.719320000000003</v>
          </cell>
        </row>
        <row r="294">
          <cell r="B294" t="str">
            <v>V17551-PIND-0437-01</v>
          </cell>
          <cell r="C294" t="str">
            <v>PROD/25-26/13840</v>
          </cell>
          <cell r="D294" t="str">
            <v/>
          </cell>
          <cell r="E294" t="str">
            <v>TJ/25-26/184-CS</v>
          </cell>
          <cell r="F294" t="str">
            <v>P5</v>
          </cell>
          <cell r="G294">
            <v>0</v>
          </cell>
          <cell r="H294">
            <v>1</v>
          </cell>
          <cell r="I294" t="str">
            <v>Yes</v>
          </cell>
          <cell r="J294" t="str">
            <v/>
          </cell>
          <cell r="K294" t="str">
            <v>No</v>
          </cell>
          <cell r="L294" t="str">
            <v/>
          </cell>
          <cell r="M294" t="str">
            <v/>
          </cell>
          <cell r="N294" t="str">
            <v>Spool</v>
          </cell>
          <cell r="O294">
            <v>0</v>
          </cell>
          <cell r="P294">
            <v>0</v>
          </cell>
          <cell r="Q294" t="str">
            <v>CS</v>
          </cell>
          <cell r="R294">
            <v>1</v>
          </cell>
          <cell r="S294">
            <v>1</v>
          </cell>
          <cell r="T294">
            <v>2.7427000000000001</v>
          </cell>
          <cell r="U294">
            <v>2.7427000000000001</v>
          </cell>
        </row>
        <row r="295">
          <cell r="B295" t="str">
            <v>V17551-PIND-0438-01</v>
          </cell>
          <cell r="C295" t="str">
            <v>PROD/25-26/13841</v>
          </cell>
          <cell r="D295" t="str">
            <v/>
          </cell>
          <cell r="E295" t="str">
            <v>TJ/25-26/184-CS</v>
          </cell>
          <cell r="F295" t="str">
            <v>P5</v>
          </cell>
          <cell r="G295">
            <v>0</v>
          </cell>
          <cell r="H295">
            <v>1</v>
          </cell>
          <cell r="I295" t="str">
            <v>Yes</v>
          </cell>
          <cell r="J295" t="str">
            <v/>
          </cell>
          <cell r="K295" t="str">
            <v>Yes</v>
          </cell>
          <cell r="L295" t="str">
            <v/>
          </cell>
          <cell r="M295" t="str">
            <v/>
          </cell>
          <cell r="N295" t="str">
            <v>Spool</v>
          </cell>
          <cell r="O295">
            <v>0</v>
          </cell>
          <cell r="P295">
            <v>0</v>
          </cell>
          <cell r="Q295" t="str">
            <v>CS</v>
          </cell>
          <cell r="R295">
            <v>1</v>
          </cell>
          <cell r="S295">
            <v>1</v>
          </cell>
          <cell r="T295">
            <v>6.1609999999999996</v>
          </cell>
          <cell r="U295">
            <v>6.1609999999999996</v>
          </cell>
        </row>
        <row r="296">
          <cell r="B296" t="str">
            <v>V17551-PIND-0439-01</v>
          </cell>
          <cell r="C296" t="str">
            <v>PROD/25-26/13842</v>
          </cell>
          <cell r="D296" t="str">
            <v/>
          </cell>
          <cell r="E296" t="str">
            <v>TJ/25-26/184-CS</v>
          </cell>
          <cell r="F296" t="str">
            <v>P5</v>
          </cell>
          <cell r="G296">
            <v>0</v>
          </cell>
          <cell r="H296">
            <v>1</v>
          </cell>
          <cell r="I296" t="str">
            <v>Yes</v>
          </cell>
          <cell r="J296" t="str">
            <v/>
          </cell>
          <cell r="K296" t="str">
            <v>Yes</v>
          </cell>
          <cell r="L296" t="str">
            <v/>
          </cell>
          <cell r="M296" t="str">
            <v/>
          </cell>
          <cell r="N296" t="str">
            <v>Spool</v>
          </cell>
          <cell r="O296">
            <v>0</v>
          </cell>
          <cell r="P296">
            <v>0</v>
          </cell>
          <cell r="Q296" t="str">
            <v>CS</v>
          </cell>
          <cell r="R296">
            <v>1</v>
          </cell>
          <cell r="S296">
            <v>1</v>
          </cell>
          <cell r="T296">
            <v>1.64316</v>
          </cell>
          <cell r="U296">
            <v>1.64316</v>
          </cell>
        </row>
        <row r="297">
          <cell r="B297" t="str">
            <v>V17551-PIND-0440-01</v>
          </cell>
          <cell r="C297" t="str">
            <v>PROD/25-26/13843</v>
          </cell>
          <cell r="D297" t="str">
            <v/>
          </cell>
          <cell r="E297" t="str">
            <v>TJ/25-26/184-CS</v>
          </cell>
          <cell r="F297" t="str">
            <v>P5</v>
          </cell>
          <cell r="G297">
            <v>0</v>
          </cell>
          <cell r="H297">
            <v>1</v>
          </cell>
          <cell r="I297" t="str">
            <v>Yes</v>
          </cell>
          <cell r="J297" t="str">
            <v/>
          </cell>
          <cell r="K297" t="str">
            <v>Yes</v>
          </cell>
          <cell r="L297" t="str">
            <v/>
          </cell>
          <cell r="M297" t="str">
            <v/>
          </cell>
          <cell r="N297" t="str">
            <v>Spool</v>
          </cell>
          <cell r="O297">
            <v>0</v>
          </cell>
          <cell r="P297">
            <v>0</v>
          </cell>
          <cell r="Q297" t="str">
            <v>CS</v>
          </cell>
          <cell r="R297">
            <v>1</v>
          </cell>
          <cell r="S297">
            <v>1</v>
          </cell>
          <cell r="T297">
            <v>6.1698000000000004</v>
          </cell>
          <cell r="U297">
            <v>6.1698000000000004</v>
          </cell>
        </row>
        <row r="298">
          <cell r="B298" t="str">
            <v>V17551-PIND-0441-01</v>
          </cell>
          <cell r="C298" t="str">
            <v>PROD/25-26/13844</v>
          </cell>
          <cell r="D298" t="str">
            <v/>
          </cell>
          <cell r="E298" t="str">
            <v>TJ/25-26/184-CS</v>
          </cell>
          <cell r="F298" t="str">
            <v>P5</v>
          </cell>
          <cell r="G298">
            <v>0</v>
          </cell>
          <cell r="H298">
            <v>1</v>
          </cell>
          <cell r="I298" t="str">
            <v>Yes</v>
          </cell>
          <cell r="J298" t="str">
            <v/>
          </cell>
          <cell r="K298" t="str">
            <v>Yes</v>
          </cell>
          <cell r="L298" t="str">
            <v/>
          </cell>
          <cell r="M298" t="str">
            <v/>
          </cell>
          <cell r="N298" t="str">
            <v>Spool</v>
          </cell>
          <cell r="O298">
            <v>0</v>
          </cell>
          <cell r="P298">
            <v>0</v>
          </cell>
          <cell r="Q298" t="str">
            <v>CS</v>
          </cell>
          <cell r="R298">
            <v>1</v>
          </cell>
          <cell r="S298">
            <v>1</v>
          </cell>
          <cell r="T298">
            <v>2.50224</v>
          </cell>
          <cell r="U298">
            <v>2.50224</v>
          </cell>
        </row>
        <row r="299">
          <cell r="B299" t="str">
            <v>V17551-PIND-0442-01</v>
          </cell>
          <cell r="C299" t="str">
            <v>PROD/25-26/13845</v>
          </cell>
          <cell r="D299" t="str">
            <v/>
          </cell>
          <cell r="E299" t="str">
            <v>TJ/25-26/184-CS</v>
          </cell>
          <cell r="F299" t="str">
            <v>P5</v>
          </cell>
          <cell r="G299">
            <v>0</v>
          </cell>
          <cell r="H299">
            <v>1</v>
          </cell>
          <cell r="I299" t="str">
            <v>Yes</v>
          </cell>
          <cell r="J299" t="str">
            <v/>
          </cell>
          <cell r="K299" t="str">
            <v>Yes</v>
          </cell>
          <cell r="L299" t="str">
            <v/>
          </cell>
          <cell r="M299" t="str">
            <v/>
          </cell>
          <cell r="N299" t="str">
            <v>Spool</v>
          </cell>
          <cell r="O299">
            <v>0</v>
          </cell>
          <cell r="P299">
            <v>0</v>
          </cell>
          <cell r="Q299" t="str">
            <v>CS</v>
          </cell>
          <cell r="R299">
            <v>1</v>
          </cell>
          <cell r="S299">
            <v>1</v>
          </cell>
          <cell r="T299">
            <v>105.96675999999999</v>
          </cell>
          <cell r="U299">
            <v>105.96675999999999</v>
          </cell>
        </row>
        <row r="300">
          <cell r="B300" t="str">
            <v>V17551-PIND-0443-01</v>
          </cell>
          <cell r="C300" t="str">
            <v>PROD/25-26/13846</v>
          </cell>
          <cell r="D300" t="str">
            <v/>
          </cell>
          <cell r="E300" t="str">
            <v>TJ/25-26/184-CS</v>
          </cell>
          <cell r="F300" t="str">
            <v>P5</v>
          </cell>
          <cell r="G300">
            <v>0</v>
          </cell>
          <cell r="H300">
            <v>1</v>
          </cell>
          <cell r="I300" t="str">
            <v>Yes</v>
          </cell>
          <cell r="J300" t="str">
            <v/>
          </cell>
          <cell r="K300" t="str">
            <v>Yes</v>
          </cell>
          <cell r="L300" t="str">
            <v/>
          </cell>
          <cell r="M300" t="str">
            <v/>
          </cell>
          <cell r="N300" t="str">
            <v>Spool</v>
          </cell>
          <cell r="O300">
            <v>0</v>
          </cell>
          <cell r="P300">
            <v>0</v>
          </cell>
          <cell r="Q300" t="str">
            <v>CS</v>
          </cell>
          <cell r="R300">
            <v>1</v>
          </cell>
          <cell r="S300">
            <v>1</v>
          </cell>
          <cell r="T300">
            <v>9.3615600000000008</v>
          </cell>
          <cell r="U300">
            <v>9.3615600000000008</v>
          </cell>
        </row>
        <row r="301">
          <cell r="B301" t="str">
            <v>V17551-PIND-0444-01</v>
          </cell>
          <cell r="C301" t="str">
            <v>PROD/25-26/13847</v>
          </cell>
          <cell r="D301" t="str">
            <v/>
          </cell>
          <cell r="E301" t="str">
            <v>TJ/25-26/184-CS</v>
          </cell>
          <cell r="F301" t="str">
            <v>P5</v>
          </cell>
          <cell r="G301">
            <v>0</v>
          </cell>
          <cell r="H301">
            <v>1</v>
          </cell>
          <cell r="I301" t="str">
            <v>Yes</v>
          </cell>
          <cell r="J301" t="str">
            <v/>
          </cell>
          <cell r="K301" t="str">
            <v>Yes</v>
          </cell>
          <cell r="L301" t="str">
            <v/>
          </cell>
          <cell r="M301" t="str">
            <v/>
          </cell>
          <cell r="N301" t="str">
            <v>Spool</v>
          </cell>
          <cell r="O301">
            <v>0</v>
          </cell>
          <cell r="P301">
            <v>0</v>
          </cell>
          <cell r="Q301" t="str">
            <v>CS</v>
          </cell>
          <cell r="R301">
            <v>1</v>
          </cell>
          <cell r="S301">
            <v>1</v>
          </cell>
          <cell r="T301">
            <v>9.3615600000000008</v>
          </cell>
          <cell r="U301">
            <v>9.3615600000000008</v>
          </cell>
        </row>
        <row r="302">
          <cell r="B302" t="str">
            <v>V17551-PIND-0445-01</v>
          </cell>
          <cell r="C302" t="str">
            <v>PROD/25-26/13848</v>
          </cell>
          <cell r="D302" t="str">
            <v/>
          </cell>
          <cell r="E302" t="str">
            <v>TJ/25-26/184-CS</v>
          </cell>
          <cell r="F302" t="str">
            <v>P5</v>
          </cell>
          <cell r="G302">
            <v>0</v>
          </cell>
          <cell r="H302">
            <v>1</v>
          </cell>
          <cell r="I302" t="str">
            <v>Yes</v>
          </cell>
          <cell r="J302" t="str">
            <v/>
          </cell>
          <cell r="K302" t="str">
            <v>Yes</v>
          </cell>
          <cell r="L302" t="str">
            <v/>
          </cell>
          <cell r="M302" t="str">
            <v/>
          </cell>
          <cell r="N302" t="str">
            <v>Spool</v>
          </cell>
          <cell r="O302">
            <v>0</v>
          </cell>
          <cell r="P302">
            <v>0</v>
          </cell>
          <cell r="Q302" t="str">
            <v>CS</v>
          </cell>
          <cell r="R302">
            <v>1</v>
          </cell>
          <cell r="S302">
            <v>1</v>
          </cell>
          <cell r="T302">
            <v>5.9118000000000004</v>
          </cell>
          <cell r="U302">
            <v>5.9118000000000004</v>
          </cell>
        </row>
        <row r="303">
          <cell r="B303" t="str">
            <v>V17551-PIND-0446-01</v>
          </cell>
          <cell r="C303" t="str">
            <v>PROD/25-26/14191</v>
          </cell>
          <cell r="D303" t="str">
            <v/>
          </cell>
          <cell r="E303" t="str">
            <v>TJ/25-26/184-CS</v>
          </cell>
          <cell r="F303" t="str">
            <v>P5</v>
          </cell>
          <cell r="G303">
            <v>0</v>
          </cell>
          <cell r="H303">
            <v>1</v>
          </cell>
          <cell r="I303" t="str">
            <v>Yes</v>
          </cell>
          <cell r="J303" t="str">
            <v/>
          </cell>
          <cell r="K303" t="str">
            <v>No</v>
          </cell>
          <cell r="L303" t="str">
            <v/>
          </cell>
          <cell r="M303" t="str">
            <v/>
          </cell>
          <cell r="N303" t="str">
            <v>Spool</v>
          </cell>
          <cell r="O303">
            <v>0</v>
          </cell>
          <cell r="P303">
            <v>0</v>
          </cell>
          <cell r="Q303" t="str">
            <v>CS</v>
          </cell>
          <cell r="R303">
            <v>1</v>
          </cell>
          <cell r="S303">
            <v>1</v>
          </cell>
          <cell r="T303">
            <v>6.7173999999999996</v>
          </cell>
          <cell r="U303">
            <v>6.7173999999999996</v>
          </cell>
        </row>
        <row r="304">
          <cell r="B304" t="str">
            <v>V17551-PIND-0447-01</v>
          </cell>
          <cell r="C304" t="str">
            <v>PROD/25-26/13850</v>
          </cell>
          <cell r="D304" t="str">
            <v/>
          </cell>
          <cell r="E304" t="str">
            <v>TJ/25-26/184-CS</v>
          </cell>
          <cell r="F304" t="str">
            <v>P5</v>
          </cell>
          <cell r="G304">
            <v>0</v>
          </cell>
          <cell r="H304">
            <v>1</v>
          </cell>
          <cell r="I304" t="str">
            <v>Yes</v>
          </cell>
          <cell r="J304" t="str">
            <v/>
          </cell>
          <cell r="K304" t="str">
            <v>Yes</v>
          </cell>
          <cell r="L304" t="str">
            <v/>
          </cell>
          <cell r="M304" t="str">
            <v/>
          </cell>
          <cell r="N304" t="str">
            <v>Spool</v>
          </cell>
          <cell r="O304">
            <v>0</v>
          </cell>
          <cell r="P304">
            <v>0</v>
          </cell>
          <cell r="Q304" t="str">
            <v>CS</v>
          </cell>
          <cell r="R304">
            <v>1</v>
          </cell>
          <cell r="S304">
            <v>1</v>
          </cell>
          <cell r="T304">
            <v>18.07572</v>
          </cell>
          <cell r="U304">
            <v>18.07572</v>
          </cell>
        </row>
        <row r="305">
          <cell r="B305" t="str">
            <v>V17551-PIND-0448-01</v>
          </cell>
          <cell r="C305" t="str">
            <v>PROD/25-26/14190</v>
          </cell>
          <cell r="D305" t="str">
            <v/>
          </cell>
          <cell r="E305" t="str">
            <v>TJ/25-26/184-CS</v>
          </cell>
          <cell r="F305" t="str">
            <v>P5</v>
          </cell>
          <cell r="G305">
            <v>0</v>
          </cell>
          <cell r="H305">
            <v>1</v>
          </cell>
          <cell r="I305" t="str">
            <v>Yes</v>
          </cell>
          <cell r="J305" t="str">
            <v/>
          </cell>
          <cell r="K305" t="str">
            <v>Yes</v>
          </cell>
          <cell r="L305" t="str">
            <v/>
          </cell>
          <cell r="M305" t="str">
            <v/>
          </cell>
          <cell r="N305" t="str">
            <v>Spool</v>
          </cell>
          <cell r="O305">
            <v>0</v>
          </cell>
          <cell r="P305">
            <v>0</v>
          </cell>
          <cell r="Q305" t="str">
            <v>CS</v>
          </cell>
          <cell r="R305">
            <v>1</v>
          </cell>
          <cell r="S305">
            <v>1</v>
          </cell>
          <cell r="T305">
            <v>6.5568</v>
          </cell>
          <cell r="U305">
            <v>6.5568</v>
          </cell>
        </row>
        <row r="306">
          <cell r="B306" t="str">
            <v>V17551-PIND-0449-01</v>
          </cell>
          <cell r="C306" t="str">
            <v>PROD/25-26/13852</v>
          </cell>
          <cell r="D306" t="str">
            <v/>
          </cell>
          <cell r="E306" t="str">
            <v>TJ/25-26/184-CS</v>
          </cell>
          <cell r="F306" t="str">
            <v>P5</v>
          </cell>
          <cell r="G306">
            <v>0</v>
          </cell>
          <cell r="H306">
            <v>1</v>
          </cell>
          <cell r="I306" t="str">
            <v>Yes</v>
          </cell>
          <cell r="J306" t="str">
            <v/>
          </cell>
          <cell r="K306" t="str">
            <v>Yes</v>
          </cell>
          <cell r="L306" t="str">
            <v/>
          </cell>
          <cell r="M306" t="str">
            <v/>
          </cell>
          <cell r="N306" t="str">
            <v>Spool</v>
          </cell>
          <cell r="O306">
            <v>0</v>
          </cell>
          <cell r="P306">
            <v>0</v>
          </cell>
          <cell r="Q306" t="str">
            <v>CS</v>
          </cell>
          <cell r="R306">
            <v>1</v>
          </cell>
          <cell r="S306">
            <v>1</v>
          </cell>
          <cell r="T306">
            <v>9.3615600000000008</v>
          </cell>
          <cell r="U306">
            <v>9.3615600000000008</v>
          </cell>
        </row>
        <row r="307">
          <cell r="B307" t="str">
            <v>V17551-PIND-0450-01</v>
          </cell>
          <cell r="C307" t="str">
            <v>PROD/25-26/13853</v>
          </cell>
          <cell r="D307" t="str">
            <v/>
          </cell>
          <cell r="E307" t="str">
            <v>TJ/25-26/184-CS</v>
          </cell>
          <cell r="F307" t="str">
            <v>P5</v>
          </cell>
          <cell r="G307">
            <v>0</v>
          </cell>
          <cell r="H307">
            <v>1</v>
          </cell>
          <cell r="I307" t="str">
            <v>Yes</v>
          </cell>
          <cell r="J307" t="str">
            <v/>
          </cell>
          <cell r="K307" t="str">
            <v>Yes</v>
          </cell>
          <cell r="L307" t="str">
            <v/>
          </cell>
          <cell r="M307" t="str">
            <v/>
          </cell>
          <cell r="N307" t="str">
            <v>Spool</v>
          </cell>
          <cell r="O307">
            <v>0</v>
          </cell>
          <cell r="P307">
            <v>0</v>
          </cell>
          <cell r="Q307" t="str">
            <v>CS</v>
          </cell>
          <cell r="R307">
            <v>1</v>
          </cell>
          <cell r="S307">
            <v>1</v>
          </cell>
          <cell r="T307">
            <v>7.1558400000000004</v>
          </cell>
          <cell r="U307">
            <v>7.1558400000000004</v>
          </cell>
        </row>
        <row r="308">
          <cell r="B308" t="str">
            <v>V17551-PIND-0451-01</v>
          </cell>
          <cell r="C308" t="str">
            <v>PROD/25-26/13854</v>
          </cell>
          <cell r="D308" t="str">
            <v/>
          </cell>
          <cell r="E308" t="str">
            <v>TJ/25-26/184-CS</v>
          </cell>
          <cell r="F308" t="str">
            <v>P5</v>
          </cell>
          <cell r="G308">
            <v>0</v>
          </cell>
          <cell r="H308">
            <v>1</v>
          </cell>
          <cell r="I308" t="str">
            <v>Yes</v>
          </cell>
          <cell r="J308" t="str">
            <v/>
          </cell>
          <cell r="K308" t="str">
            <v>Yes</v>
          </cell>
          <cell r="L308" t="str">
            <v/>
          </cell>
          <cell r="M308" t="str">
            <v/>
          </cell>
          <cell r="N308" t="str">
            <v>Spool</v>
          </cell>
          <cell r="O308">
            <v>0</v>
          </cell>
          <cell r="P308">
            <v>0</v>
          </cell>
          <cell r="Q308" t="str">
            <v>CS</v>
          </cell>
          <cell r="R308">
            <v>1</v>
          </cell>
          <cell r="S308">
            <v>1</v>
          </cell>
          <cell r="T308">
            <v>5.84328</v>
          </cell>
          <cell r="U308">
            <v>5.84328</v>
          </cell>
        </row>
        <row r="309">
          <cell r="B309" t="str">
            <v>V17551-PIND-0452-01</v>
          </cell>
          <cell r="C309" t="str">
            <v>PROD/25-26/13855</v>
          </cell>
          <cell r="D309" t="str">
            <v/>
          </cell>
          <cell r="E309" t="str">
            <v>TJ/25-26/184-CS</v>
          </cell>
          <cell r="F309" t="str">
            <v>P5</v>
          </cell>
          <cell r="G309">
            <v>0</v>
          </cell>
          <cell r="H309">
            <v>1</v>
          </cell>
          <cell r="I309" t="str">
            <v>Yes</v>
          </cell>
          <cell r="J309" t="str">
            <v/>
          </cell>
          <cell r="K309" t="str">
            <v>Yes</v>
          </cell>
          <cell r="L309" t="str">
            <v/>
          </cell>
          <cell r="M309" t="str">
            <v/>
          </cell>
          <cell r="N309" t="str">
            <v>Spool</v>
          </cell>
          <cell r="O309">
            <v>0</v>
          </cell>
          <cell r="P309">
            <v>0</v>
          </cell>
          <cell r="Q309" t="str">
            <v>CS</v>
          </cell>
          <cell r="R309">
            <v>1</v>
          </cell>
          <cell r="S309">
            <v>1</v>
          </cell>
          <cell r="T309">
            <v>8.4297599999999999</v>
          </cell>
          <cell r="U309">
            <v>8.4297599999999999</v>
          </cell>
        </row>
        <row r="310">
          <cell r="B310" t="str">
            <v>V17551-PIND-0453-01</v>
          </cell>
          <cell r="C310" t="str">
            <v>PROD/25-26/13856</v>
          </cell>
          <cell r="D310" t="str">
            <v/>
          </cell>
          <cell r="E310" t="str">
            <v>TJ/25-26/184-CS</v>
          </cell>
          <cell r="F310" t="str">
            <v>P5</v>
          </cell>
          <cell r="G310">
            <v>0</v>
          </cell>
          <cell r="H310">
            <v>1</v>
          </cell>
          <cell r="I310" t="str">
            <v>Yes</v>
          </cell>
          <cell r="J310" t="str">
            <v/>
          </cell>
          <cell r="K310" t="str">
            <v>Yes</v>
          </cell>
          <cell r="L310" t="str">
            <v/>
          </cell>
          <cell r="M310" t="str">
            <v/>
          </cell>
          <cell r="N310" t="str">
            <v>Spool</v>
          </cell>
          <cell r="O310">
            <v>0</v>
          </cell>
          <cell r="P310">
            <v>0</v>
          </cell>
          <cell r="Q310" t="str">
            <v>CS</v>
          </cell>
          <cell r="R310">
            <v>1</v>
          </cell>
          <cell r="S310">
            <v>1</v>
          </cell>
          <cell r="T310">
            <v>4.6093200000000003</v>
          </cell>
          <cell r="U310">
            <v>4.6093200000000003</v>
          </cell>
        </row>
        <row r="311">
          <cell r="B311" t="str">
            <v>V17551-PIND-0454-01</v>
          </cell>
          <cell r="C311" t="str">
            <v>PROD/25-26/13857</v>
          </cell>
          <cell r="D311" t="str">
            <v/>
          </cell>
          <cell r="E311" t="str">
            <v>TJ/25-26/184-CS</v>
          </cell>
          <cell r="F311" t="str">
            <v>P5</v>
          </cell>
          <cell r="G311">
            <v>0</v>
          </cell>
          <cell r="H311">
            <v>1</v>
          </cell>
          <cell r="I311" t="str">
            <v>Yes</v>
          </cell>
          <cell r="J311" t="str">
            <v/>
          </cell>
          <cell r="K311" t="str">
            <v>Yes</v>
          </cell>
          <cell r="L311" t="str">
            <v/>
          </cell>
          <cell r="M311" t="str">
            <v/>
          </cell>
          <cell r="N311" t="str">
            <v>Spool</v>
          </cell>
          <cell r="O311">
            <v>0</v>
          </cell>
          <cell r="P311">
            <v>0</v>
          </cell>
          <cell r="Q311" t="str">
            <v>CS</v>
          </cell>
          <cell r="R311">
            <v>1</v>
          </cell>
          <cell r="S311">
            <v>1</v>
          </cell>
          <cell r="T311">
            <v>5.6785199999999998</v>
          </cell>
          <cell r="U311">
            <v>5.6785199999999998</v>
          </cell>
        </row>
        <row r="312">
          <cell r="B312" t="str">
            <v>V17551-PIND-0455-01</v>
          </cell>
          <cell r="C312" t="str">
            <v>PROD/25-26/13858</v>
          </cell>
          <cell r="D312" t="str">
            <v/>
          </cell>
          <cell r="E312" t="str">
            <v>TJ/25-26/184-CS</v>
          </cell>
          <cell r="F312" t="str">
            <v>P5</v>
          </cell>
          <cell r="G312">
            <v>0</v>
          </cell>
          <cell r="H312">
            <v>1</v>
          </cell>
          <cell r="I312" t="str">
            <v>Yes</v>
          </cell>
          <cell r="J312" t="str">
            <v/>
          </cell>
          <cell r="K312" t="str">
            <v>Yes</v>
          </cell>
          <cell r="L312" t="str">
            <v/>
          </cell>
          <cell r="M312" t="str">
            <v/>
          </cell>
          <cell r="N312" t="str">
            <v>Spool</v>
          </cell>
          <cell r="O312">
            <v>0</v>
          </cell>
          <cell r="P312">
            <v>0</v>
          </cell>
          <cell r="Q312" t="str">
            <v>CS</v>
          </cell>
          <cell r="R312">
            <v>1</v>
          </cell>
          <cell r="S312">
            <v>1</v>
          </cell>
          <cell r="T312">
            <v>5.9118000000000004</v>
          </cell>
          <cell r="U312">
            <v>5.9118000000000004</v>
          </cell>
        </row>
        <row r="313">
          <cell r="B313" t="str">
            <v>V17551-PIND-0456-01</v>
          </cell>
          <cell r="C313" t="str">
            <v>PROD/25-26/13859</v>
          </cell>
          <cell r="D313" t="str">
            <v/>
          </cell>
          <cell r="E313" t="str">
            <v>TJ/25-26/184-CS</v>
          </cell>
          <cell r="F313" t="str">
            <v>P5</v>
          </cell>
          <cell r="G313">
            <v>0</v>
          </cell>
          <cell r="H313">
            <v>1</v>
          </cell>
          <cell r="I313" t="str">
            <v>Yes</v>
          </cell>
          <cell r="J313" t="str">
            <v/>
          </cell>
          <cell r="K313" t="str">
            <v>Yes</v>
          </cell>
          <cell r="L313" t="str">
            <v/>
          </cell>
          <cell r="M313" t="str">
            <v/>
          </cell>
          <cell r="N313" t="str">
            <v>Spool</v>
          </cell>
          <cell r="O313">
            <v>0</v>
          </cell>
          <cell r="P313">
            <v>0</v>
          </cell>
          <cell r="Q313" t="str">
            <v>CS</v>
          </cell>
          <cell r="R313">
            <v>1</v>
          </cell>
          <cell r="S313">
            <v>1</v>
          </cell>
          <cell r="T313">
            <v>5.9118000000000004</v>
          </cell>
          <cell r="U313">
            <v>5.9118000000000004</v>
          </cell>
        </row>
        <row r="314">
          <cell r="B314" t="str">
            <v>V17551-PIND-0457-01</v>
          </cell>
          <cell r="C314" t="str">
            <v>PROD/25-26/13860</v>
          </cell>
          <cell r="D314" t="str">
            <v/>
          </cell>
          <cell r="E314" t="str">
            <v>TJ/25-26/184-CS</v>
          </cell>
          <cell r="F314" t="str">
            <v>P5</v>
          </cell>
          <cell r="G314">
            <v>0</v>
          </cell>
          <cell r="H314">
            <v>1</v>
          </cell>
          <cell r="I314" t="str">
            <v>Yes</v>
          </cell>
          <cell r="J314" t="str">
            <v/>
          </cell>
          <cell r="K314" t="str">
            <v>No</v>
          </cell>
          <cell r="L314" t="str">
            <v/>
          </cell>
          <cell r="M314" t="str">
            <v/>
          </cell>
          <cell r="N314" t="str">
            <v>Spool</v>
          </cell>
          <cell r="O314">
            <v>0</v>
          </cell>
          <cell r="P314">
            <v>0</v>
          </cell>
          <cell r="Q314" t="str">
            <v>CS</v>
          </cell>
          <cell r="R314">
            <v>1</v>
          </cell>
          <cell r="S314">
            <v>1</v>
          </cell>
          <cell r="T314">
            <v>5.9118000000000004</v>
          </cell>
          <cell r="U314">
            <v>5.9118000000000004</v>
          </cell>
        </row>
        <row r="315">
          <cell r="B315" t="str">
            <v>V17551-PIND-0458-01</v>
          </cell>
          <cell r="C315" t="str">
            <v>PROD/25-26/14105</v>
          </cell>
          <cell r="D315" t="str">
            <v/>
          </cell>
          <cell r="E315" t="str">
            <v>TJ/25-26/184-CS</v>
          </cell>
          <cell r="F315" t="str">
            <v>P5</v>
          </cell>
          <cell r="G315">
            <v>0</v>
          </cell>
          <cell r="H315">
            <v>1</v>
          </cell>
          <cell r="I315" t="str">
            <v>Yes</v>
          </cell>
          <cell r="J315" t="str">
            <v/>
          </cell>
          <cell r="K315" t="str">
            <v>No</v>
          </cell>
          <cell r="L315" t="str">
            <v/>
          </cell>
          <cell r="M315" t="str">
            <v/>
          </cell>
          <cell r="N315" t="str">
            <v>Spool</v>
          </cell>
          <cell r="O315">
            <v>0</v>
          </cell>
          <cell r="P315">
            <v>0</v>
          </cell>
          <cell r="Q315" t="str">
            <v>CS</v>
          </cell>
          <cell r="R315">
            <v>1</v>
          </cell>
          <cell r="S315">
            <v>1</v>
          </cell>
          <cell r="T315">
            <v>9.4296000000000006</v>
          </cell>
          <cell r="U315">
            <v>9.4296000000000006</v>
          </cell>
        </row>
        <row r="316">
          <cell r="B316" t="str">
            <v>V17551-PIND-0459-01</v>
          </cell>
          <cell r="C316" t="str">
            <v>PROD/25-26/14106</v>
          </cell>
          <cell r="D316" t="str">
            <v/>
          </cell>
          <cell r="E316" t="str">
            <v>TJ/25-26/184-CS</v>
          </cell>
          <cell r="F316" t="str">
            <v>P5</v>
          </cell>
          <cell r="G316">
            <v>0</v>
          </cell>
          <cell r="H316">
            <v>1</v>
          </cell>
          <cell r="I316" t="str">
            <v>Yes</v>
          </cell>
          <cell r="J316" t="str">
            <v/>
          </cell>
          <cell r="K316" t="str">
            <v>No</v>
          </cell>
          <cell r="L316" t="str">
            <v/>
          </cell>
          <cell r="M316" t="str">
            <v/>
          </cell>
          <cell r="N316" t="str">
            <v>Spool</v>
          </cell>
          <cell r="O316">
            <v>0</v>
          </cell>
          <cell r="P316">
            <v>0</v>
          </cell>
          <cell r="Q316" t="str">
            <v>CS</v>
          </cell>
          <cell r="R316">
            <v>1</v>
          </cell>
          <cell r="S316">
            <v>1</v>
          </cell>
          <cell r="T316">
            <v>9.3615600000000008</v>
          </cell>
          <cell r="U316">
            <v>9.3615600000000008</v>
          </cell>
        </row>
        <row r="317">
          <cell r="B317" t="str">
            <v>V17551-PIND-0460-01</v>
          </cell>
          <cell r="C317" t="str">
            <v>PROD/25-26/14107</v>
          </cell>
          <cell r="D317" t="str">
            <v/>
          </cell>
          <cell r="E317" t="str">
            <v>TJ/25-26/184-CS</v>
          </cell>
          <cell r="F317" t="str">
            <v>P5</v>
          </cell>
          <cell r="G317">
            <v>0</v>
          </cell>
          <cell r="H317">
            <v>1</v>
          </cell>
          <cell r="I317" t="str">
            <v>Yes</v>
          </cell>
          <cell r="J317" t="str">
            <v/>
          </cell>
          <cell r="K317" t="str">
            <v>Yes</v>
          </cell>
          <cell r="L317" t="str">
            <v/>
          </cell>
          <cell r="M317" t="str">
            <v/>
          </cell>
          <cell r="N317" t="str">
            <v>Spool</v>
          </cell>
          <cell r="O317">
            <v>0</v>
          </cell>
          <cell r="P317">
            <v>0</v>
          </cell>
          <cell r="Q317" t="str">
            <v>CS</v>
          </cell>
          <cell r="R317">
            <v>1</v>
          </cell>
          <cell r="S317">
            <v>1</v>
          </cell>
          <cell r="T317">
            <v>204.209</v>
          </cell>
          <cell r="U317">
            <v>204.209</v>
          </cell>
        </row>
        <row r="318">
          <cell r="B318" t="str">
            <v>V17551-PIND-0461-01</v>
          </cell>
          <cell r="C318" t="str">
            <v>PROD/25-26/14189</v>
          </cell>
          <cell r="D318" t="str">
            <v/>
          </cell>
          <cell r="E318" t="str">
            <v>TJ/25-26/184-CS</v>
          </cell>
          <cell r="F318" t="str">
            <v>P5</v>
          </cell>
          <cell r="G318">
            <v>0</v>
          </cell>
          <cell r="H318">
            <v>1</v>
          </cell>
          <cell r="I318" t="str">
            <v>Yes</v>
          </cell>
          <cell r="J318" t="str">
            <v/>
          </cell>
          <cell r="K318" t="str">
            <v>Yes</v>
          </cell>
          <cell r="L318" t="str">
            <v/>
          </cell>
          <cell r="M318" t="str">
            <v/>
          </cell>
          <cell r="N318" t="str">
            <v>Spool</v>
          </cell>
          <cell r="O318">
            <v>0</v>
          </cell>
          <cell r="P318">
            <v>0</v>
          </cell>
          <cell r="Q318" t="str">
            <v>CS</v>
          </cell>
          <cell r="R318">
            <v>1</v>
          </cell>
          <cell r="S318">
            <v>1</v>
          </cell>
          <cell r="T318">
            <v>29.768799999999999</v>
          </cell>
          <cell r="U318">
            <v>29.768799999999999</v>
          </cell>
        </row>
        <row r="319">
          <cell r="B319" t="str">
            <v>V17551-PIND-0462-01</v>
          </cell>
          <cell r="C319" t="str">
            <v>PROD/25-26/14188</v>
          </cell>
          <cell r="D319" t="str">
            <v/>
          </cell>
          <cell r="E319" t="str">
            <v>TJ/25-26/184-CS</v>
          </cell>
          <cell r="F319" t="str">
            <v>P5</v>
          </cell>
          <cell r="G319">
            <v>0</v>
          </cell>
          <cell r="H319">
            <v>1</v>
          </cell>
          <cell r="I319" t="str">
            <v>Yes</v>
          </cell>
          <cell r="J319" t="str">
            <v/>
          </cell>
          <cell r="K319" t="str">
            <v>Yes</v>
          </cell>
          <cell r="L319" t="str">
            <v/>
          </cell>
          <cell r="M319" t="str">
            <v/>
          </cell>
          <cell r="N319" t="str">
            <v>Spool</v>
          </cell>
          <cell r="O319">
            <v>0</v>
          </cell>
          <cell r="P319">
            <v>0</v>
          </cell>
          <cell r="Q319" t="str">
            <v>CS</v>
          </cell>
          <cell r="R319">
            <v>1</v>
          </cell>
          <cell r="S319">
            <v>1</v>
          </cell>
          <cell r="T319">
            <v>19.648800000000001</v>
          </cell>
          <cell r="U319">
            <v>19.648800000000001</v>
          </cell>
        </row>
        <row r="320">
          <cell r="B320" t="str">
            <v>V17551-PIND-0463-01</v>
          </cell>
          <cell r="C320" t="str">
            <v>PROD/25-26/14108</v>
          </cell>
          <cell r="D320" t="str">
            <v/>
          </cell>
          <cell r="E320" t="str">
            <v>TJ/25-26/184-CS</v>
          </cell>
          <cell r="F320" t="str">
            <v>P5</v>
          </cell>
          <cell r="G320">
            <v>0</v>
          </cell>
          <cell r="H320">
            <v>1</v>
          </cell>
          <cell r="I320" t="str">
            <v>Yes</v>
          </cell>
          <cell r="J320" t="str">
            <v/>
          </cell>
          <cell r="K320" t="str">
            <v>Yes</v>
          </cell>
          <cell r="L320" t="str">
            <v/>
          </cell>
          <cell r="M320" t="str">
            <v/>
          </cell>
          <cell r="N320" t="str">
            <v>Spool</v>
          </cell>
          <cell r="O320">
            <v>0</v>
          </cell>
          <cell r="P320">
            <v>0</v>
          </cell>
          <cell r="Q320" t="str">
            <v>CS</v>
          </cell>
          <cell r="R320">
            <v>1</v>
          </cell>
          <cell r="S320">
            <v>1</v>
          </cell>
          <cell r="T320">
            <v>5.0714399999999999</v>
          </cell>
          <cell r="U320">
            <v>5.0714399999999999</v>
          </cell>
        </row>
        <row r="321">
          <cell r="B321" t="str">
            <v>V17551-PIND-0464-01</v>
          </cell>
          <cell r="C321" t="str">
            <v>PROD/25-26/14109</v>
          </cell>
          <cell r="D321" t="str">
            <v/>
          </cell>
          <cell r="E321" t="str">
            <v>TJ/25-26/184-CS</v>
          </cell>
          <cell r="F321" t="str">
            <v>P5</v>
          </cell>
          <cell r="G321">
            <v>0</v>
          </cell>
          <cell r="H321">
            <v>1</v>
          </cell>
          <cell r="I321" t="str">
            <v>Yes</v>
          </cell>
          <cell r="J321" t="str">
            <v/>
          </cell>
          <cell r="K321" t="str">
            <v>No</v>
          </cell>
          <cell r="L321" t="str">
            <v/>
          </cell>
          <cell r="M321" t="str">
            <v/>
          </cell>
          <cell r="N321" t="str">
            <v>Spool</v>
          </cell>
          <cell r="O321">
            <v>0</v>
          </cell>
          <cell r="P321">
            <v>0</v>
          </cell>
          <cell r="Q321" t="str">
            <v>CS</v>
          </cell>
          <cell r="R321">
            <v>1</v>
          </cell>
          <cell r="S321">
            <v>1</v>
          </cell>
          <cell r="T321">
            <v>22.543880000000001</v>
          </cell>
          <cell r="U321">
            <v>22.543880000000001</v>
          </cell>
        </row>
        <row r="322">
          <cell r="B322" t="str">
            <v>V17551-PIND-0465-01</v>
          </cell>
          <cell r="C322" t="str">
            <v>PROD/25-26/14110</v>
          </cell>
          <cell r="D322" t="str">
            <v/>
          </cell>
          <cell r="E322" t="str">
            <v>TJ/25-26/184-CS</v>
          </cell>
          <cell r="F322" t="str">
            <v>P5</v>
          </cell>
          <cell r="G322">
            <v>0</v>
          </cell>
          <cell r="H322">
            <v>1</v>
          </cell>
          <cell r="I322" t="str">
            <v>Yes</v>
          </cell>
          <cell r="J322" t="str">
            <v/>
          </cell>
          <cell r="K322" t="str">
            <v>No</v>
          </cell>
          <cell r="L322" t="str">
            <v/>
          </cell>
          <cell r="M322" t="str">
            <v/>
          </cell>
          <cell r="N322" t="str">
            <v>Spool</v>
          </cell>
          <cell r="O322">
            <v>0</v>
          </cell>
          <cell r="P322">
            <v>0</v>
          </cell>
          <cell r="Q322" t="str">
            <v>CS</v>
          </cell>
          <cell r="R322">
            <v>1</v>
          </cell>
          <cell r="S322">
            <v>1</v>
          </cell>
          <cell r="T322">
            <v>22.705880000000001</v>
          </cell>
          <cell r="U322">
            <v>22.705880000000001</v>
          </cell>
        </row>
        <row r="323">
          <cell r="B323" t="str">
            <v>V17551-PIND-0466-01</v>
          </cell>
          <cell r="C323" t="str">
            <v>PROD/25-26/13863</v>
          </cell>
          <cell r="D323" t="str">
            <v/>
          </cell>
          <cell r="E323" t="str">
            <v>TJ/25-26/184-CS</v>
          </cell>
          <cell r="F323" t="str">
            <v>P5</v>
          </cell>
          <cell r="G323">
            <v>0</v>
          </cell>
          <cell r="H323">
            <v>1</v>
          </cell>
          <cell r="I323" t="str">
            <v>Yes</v>
          </cell>
          <cell r="J323" t="str">
            <v/>
          </cell>
          <cell r="K323" t="str">
            <v>Yes</v>
          </cell>
          <cell r="L323" t="str">
            <v/>
          </cell>
          <cell r="M323" t="str">
            <v/>
          </cell>
          <cell r="N323" t="str">
            <v>Spool</v>
          </cell>
          <cell r="O323">
            <v>0</v>
          </cell>
          <cell r="P323">
            <v>0</v>
          </cell>
          <cell r="Q323" t="str">
            <v>CS</v>
          </cell>
          <cell r="R323">
            <v>1</v>
          </cell>
          <cell r="S323">
            <v>1</v>
          </cell>
          <cell r="T323">
            <v>8.3864400000000003</v>
          </cell>
          <cell r="U323">
            <v>8.3864400000000003</v>
          </cell>
        </row>
        <row r="324">
          <cell r="B324" t="str">
            <v>V17551-PIND-0467-01</v>
          </cell>
          <cell r="C324" t="str">
            <v>PROD/25-26/13864</v>
          </cell>
          <cell r="D324" t="str">
            <v/>
          </cell>
          <cell r="E324" t="str">
            <v>TJ/25-26/184-CS</v>
          </cell>
          <cell r="F324" t="str">
            <v>P5</v>
          </cell>
          <cell r="G324">
            <v>0</v>
          </cell>
          <cell r="H324">
            <v>1</v>
          </cell>
          <cell r="I324" t="str">
            <v>Yes</v>
          </cell>
          <cell r="J324" t="str">
            <v/>
          </cell>
          <cell r="K324" t="str">
            <v>Yes</v>
          </cell>
          <cell r="L324" t="str">
            <v/>
          </cell>
          <cell r="M324" t="str">
            <v/>
          </cell>
          <cell r="N324" t="str">
            <v>Spool</v>
          </cell>
          <cell r="O324">
            <v>0</v>
          </cell>
          <cell r="P324">
            <v>0</v>
          </cell>
          <cell r="Q324" t="str">
            <v>CS</v>
          </cell>
          <cell r="R324">
            <v>1</v>
          </cell>
          <cell r="S324">
            <v>1</v>
          </cell>
          <cell r="T324">
            <v>3.9689199999999998</v>
          </cell>
          <cell r="U324">
            <v>3.9689199999999998</v>
          </cell>
        </row>
        <row r="325">
          <cell r="B325" t="str">
            <v>V17551-PIND-0468-01</v>
          </cell>
          <cell r="C325" t="str">
            <v>PROD/25-26/13865</v>
          </cell>
          <cell r="D325" t="str">
            <v/>
          </cell>
          <cell r="E325" t="str">
            <v>TJ/25-26/184-CS</v>
          </cell>
          <cell r="F325" t="str">
            <v>P5</v>
          </cell>
          <cell r="G325">
            <v>0</v>
          </cell>
          <cell r="H325">
            <v>1</v>
          </cell>
          <cell r="I325" t="str">
            <v>Yes</v>
          </cell>
          <cell r="J325" t="str">
            <v/>
          </cell>
          <cell r="K325" t="str">
            <v>Yes</v>
          </cell>
          <cell r="L325" t="str">
            <v/>
          </cell>
          <cell r="M325" t="str">
            <v/>
          </cell>
          <cell r="N325" t="str">
            <v>Spool</v>
          </cell>
          <cell r="O325">
            <v>0</v>
          </cell>
          <cell r="P325">
            <v>0</v>
          </cell>
          <cell r="Q325" t="str">
            <v>CS</v>
          </cell>
          <cell r="R325">
            <v>1</v>
          </cell>
          <cell r="S325">
            <v>1</v>
          </cell>
          <cell r="T325">
            <v>0.95672000000000001</v>
          </cell>
          <cell r="U325">
            <v>0.95672000000000001</v>
          </cell>
        </row>
        <row r="326">
          <cell r="B326" t="str">
            <v>V17551-PIND-0469-01</v>
          </cell>
          <cell r="C326" t="str">
            <v>PROD/25-26/13866</v>
          </cell>
          <cell r="D326" t="str">
            <v/>
          </cell>
          <cell r="E326" t="str">
            <v>TJ/25-26/184-CS</v>
          </cell>
          <cell r="F326" t="str">
            <v>P5</v>
          </cell>
          <cell r="G326">
            <v>0</v>
          </cell>
          <cell r="H326">
            <v>1</v>
          </cell>
          <cell r="I326" t="str">
            <v>Yes</v>
          </cell>
          <cell r="J326" t="str">
            <v/>
          </cell>
          <cell r="K326" t="str">
            <v>No</v>
          </cell>
          <cell r="L326" t="str">
            <v/>
          </cell>
          <cell r="M326" t="str">
            <v/>
          </cell>
          <cell r="N326" t="str">
            <v>Spool</v>
          </cell>
          <cell r="O326">
            <v>0</v>
          </cell>
          <cell r="P326">
            <v>0</v>
          </cell>
          <cell r="Q326" t="str">
            <v>CS</v>
          </cell>
          <cell r="R326">
            <v>1</v>
          </cell>
          <cell r="S326">
            <v>1</v>
          </cell>
          <cell r="T326">
            <v>0.95996000000000004</v>
          </cell>
          <cell r="U326">
            <v>0.95996000000000004</v>
          </cell>
        </row>
        <row r="327">
          <cell r="B327" t="str">
            <v>V17551-PIND-0470-01</v>
          </cell>
          <cell r="C327" t="str">
            <v>PROD/25-26/13867</v>
          </cell>
          <cell r="D327" t="str">
            <v/>
          </cell>
          <cell r="E327" t="str">
            <v>TJ/25-26/184-CS</v>
          </cell>
          <cell r="F327" t="str">
            <v>P5</v>
          </cell>
          <cell r="G327">
            <v>0</v>
          </cell>
          <cell r="H327">
            <v>1</v>
          </cell>
          <cell r="I327" t="str">
            <v>Yes</v>
          </cell>
          <cell r="J327" t="str">
            <v/>
          </cell>
          <cell r="K327" t="str">
            <v>No</v>
          </cell>
          <cell r="L327" t="str">
            <v/>
          </cell>
          <cell r="M327" t="str">
            <v/>
          </cell>
          <cell r="N327" t="str">
            <v>Spool</v>
          </cell>
          <cell r="O327">
            <v>0</v>
          </cell>
          <cell r="P327">
            <v>0</v>
          </cell>
          <cell r="Q327" t="str">
            <v>CS</v>
          </cell>
          <cell r="R327">
            <v>1</v>
          </cell>
          <cell r="S327">
            <v>1</v>
          </cell>
          <cell r="T327">
            <v>3.74702</v>
          </cell>
          <cell r="U327">
            <v>3.74702</v>
          </cell>
        </row>
        <row r="328">
          <cell r="B328" t="str">
            <v>V17551-PIND-0471-01</v>
          </cell>
          <cell r="C328" t="str">
            <v>PROD/25-26/13868</v>
          </cell>
          <cell r="D328" t="str">
            <v/>
          </cell>
          <cell r="E328" t="str">
            <v>TJ/25-26/184-CS</v>
          </cell>
          <cell r="F328" t="str">
            <v>P5</v>
          </cell>
          <cell r="G328">
            <v>0</v>
          </cell>
          <cell r="H328">
            <v>1</v>
          </cell>
          <cell r="I328" t="str">
            <v>Yes</v>
          </cell>
          <cell r="J328" t="str">
            <v/>
          </cell>
          <cell r="K328" t="str">
            <v>Yes</v>
          </cell>
          <cell r="L328" t="str">
            <v/>
          </cell>
          <cell r="M328" t="str">
            <v/>
          </cell>
          <cell r="N328" t="str">
            <v>Spool</v>
          </cell>
          <cell r="O328">
            <v>0</v>
          </cell>
          <cell r="P328">
            <v>0</v>
          </cell>
          <cell r="Q328" t="str">
            <v>P22</v>
          </cell>
          <cell r="R328">
            <v>1</v>
          </cell>
          <cell r="S328">
            <v>1</v>
          </cell>
          <cell r="T328">
            <v>1.6389199999999999</v>
          </cell>
          <cell r="U328">
            <v>1.6389199999999999</v>
          </cell>
        </row>
        <row r="329">
          <cell r="B329" t="str">
            <v>V17551-PIND-0472-01</v>
          </cell>
          <cell r="C329" t="str">
            <v>PROD/25-26/13869</v>
          </cell>
          <cell r="D329" t="str">
            <v/>
          </cell>
          <cell r="E329" t="str">
            <v>TJ/25-26/184-P22</v>
          </cell>
          <cell r="F329" t="str">
            <v>P5</v>
          </cell>
          <cell r="G329">
            <v>0</v>
          </cell>
          <cell r="H329">
            <v>1</v>
          </cell>
          <cell r="I329" t="str">
            <v>Yes</v>
          </cell>
          <cell r="J329" t="str">
            <v/>
          </cell>
          <cell r="K329" t="str">
            <v>Yes</v>
          </cell>
          <cell r="L329" t="str">
            <v/>
          </cell>
          <cell r="M329" t="str">
            <v/>
          </cell>
          <cell r="N329" t="str">
            <v>Spool</v>
          </cell>
          <cell r="O329">
            <v>0</v>
          </cell>
          <cell r="P329">
            <v>0</v>
          </cell>
          <cell r="Q329" t="str">
            <v>P22</v>
          </cell>
          <cell r="R329">
            <v>1</v>
          </cell>
          <cell r="S329">
            <v>1</v>
          </cell>
          <cell r="T329">
            <v>1.3380799999999999</v>
          </cell>
          <cell r="U329">
            <v>1.3380799999999999</v>
          </cell>
        </row>
        <row r="330">
          <cell r="B330" t="str">
            <v>V17551-PIND-0473-01</v>
          </cell>
          <cell r="C330" t="str">
            <v>PROD/25-26/13870</v>
          </cell>
          <cell r="D330" t="str">
            <v/>
          </cell>
          <cell r="E330" t="str">
            <v>TJ/25-26/184-CS</v>
          </cell>
          <cell r="F330" t="str">
            <v>P5</v>
          </cell>
          <cell r="G330">
            <v>0</v>
          </cell>
          <cell r="H330">
            <v>1</v>
          </cell>
          <cell r="I330" t="str">
            <v>Yes</v>
          </cell>
          <cell r="J330" t="str">
            <v/>
          </cell>
          <cell r="K330" t="str">
            <v>No</v>
          </cell>
          <cell r="L330" t="str">
            <v/>
          </cell>
          <cell r="M330" t="str">
            <v/>
          </cell>
          <cell r="N330" t="str">
            <v>Spool</v>
          </cell>
          <cell r="O330">
            <v>0</v>
          </cell>
          <cell r="P330">
            <v>0</v>
          </cell>
          <cell r="Q330" t="str">
            <v>CS</v>
          </cell>
          <cell r="R330">
            <v>1</v>
          </cell>
          <cell r="S330">
            <v>1</v>
          </cell>
          <cell r="T330">
            <v>40.709960000000002</v>
          </cell>
          <cell r="U330">
            <v>40.709960000000002</v>
          </cell>
        </row>
        <row r="331">
          <cell r="B331" t="str">
            <v>V17551-PIND-0474-01</v>
          </cell>
          <cell r="C331" t="str">
            <v>PROD/25-26/14111</v>
          </cell>
          <cell r="D331" t="str">
            <v/>
          </cell>
          <cell r="E331" t="str">
            <v>TJ/25-26/184-CS</v>
          </cell>
          <cell r="F331" t="str">
            <v>P5</v>
          </cell>
          <cell r="G331">
            <v>0</v>
          </cell>
          <cell r="H331">
            <v>1</v>
          </cell>
          <cell r="I331" t="str">
            <v>Yes</v>
          </cell>
          <cell r="J331" t="str">
            <v/>
          </cell>
          <cell r="K331" t="str">
            <v>Yes</v>
          </cell>
          <cell r="L331" t="str">
            <v/>
          </cell>
          <cell r="M331" t="str">
            <v/>
          </cell>
          <cell r="N331" t="str">
            <v>Spool</v>
          </cell>
          <cell r="O331">
            <v>0</v>
          </cell>
          <cell r="P331">
            <v>0</v>
          </cell>
          <cell r="Q331" t="str">
            <v>CS</v>
          </cell>
          <cell r="R331">
            <v>1</v>
          </cell>
          <cell r="S331">
            <v>1</v>
          </cell>
          <cell r="T331">
            <v>28.773679999999999</v>
          </cell>
          <cell r="U331">
            <v>28.773679999999999</v>
          </cell>
        </row>
        <row r="332">
          <cell r="B332" t="str">
            <v>V17551-PIND-0475-01</v>
          </cell>
          <cell r="C332" t="str">
            <v>PROD/25-26/13872</v>
          </cell>
          <cell r="D332" t="str">
            <v/>
          </cell>
          <cell r="E332" t="str">
            <v>TJ/25-26/184-CS</v>
          </cell>
          <cell r="F332" t="str">
            <v>P5</v>
          </cell>
          <cell r="G332">
            <v>0</v>
          </cell>
          <cell r="H332">
            <v>1</v>
          </cell>
          <cell r="I332" t="str">
            <v>Yes</v>
          </cell>
          <cell r="J332" t="str">
            <v/>
          </cell>
          <cell r="K332" t="str">
            <v>No</v>
          </cell>
          <cell r="L332" t="str">
            <v/>
          </cell>
          <cell r="M332" t="str">
            <v/>
          </cell>
          <cell r="N332" t="str">
            <v>Spool</v>
          </cell>
          <cell r="O332">
            <v>0</v>
          </cell>
          <cell r="P332">
            <v>0</v>
          </cell>
          <cell r="Q332" t="str">
            <v>CS</v>
          </cell>
          <cell r="R332">
            <v>1</v>
          </cell>
          <cell r="S332">
            <v>1</v>
          </cell>
          <cell r="T332">
            <v>12.93268</v>
          </cell>
          <cell r="U332">
            <v>12.93268</v>
          </cell>
        </row>
        <row r="333">
          <cell r="B333" t="str">
            <v>V17551-PIND-0476-01</v>
          </cell>
          <cell r="C333" t="str">
            <v>PROD/25-26/13645</v>
          </cell>
          <cell r="D333" t="str">
            <v/>
          </cell>
          <cell r="E333" t="str">
            <v>TJ/25-26/184-CS</v>
          </cell>
          <cell r="F333" t="str">
            <v>P5</v>
          </cell>
          <cell r="G333">
            <v>0</v>
          </cell>
          <cell r="H333">
            <v>1</v>
          </cell>
          <cell r="I333" t="str">
            <v>Yes</v>
          </cell>
          <cell r="J333" t="str">
            <v/>
          </cell>
          <cell r="K333" t="str">
            <v>Yes</v>
          </cell>
          <cell r="L333" t="str">
            <v/>
          </cell>
          <cell r="M333" t="str">
            <v/>
          </cell>
          <cell r="N333" t="str">
            <v>Spool</v>
          </cell>
          <cell r="O333">
            <v>0</v>
          </cell>
          <cell r="P333">
            <v>0</v>
          </cell>
          <cell r="Q333" t="str">
            <v>CS</v>
          </cell>
          <cell r="R333">
            <v>1</v>
          </cell>
          <cell r="S333">
            <v>1</v>
          </cell>
          <cell r="T333">
            <v>20.8748</v>
          </cell>
          <cell r="U333">
            <v>20.8748</v>
          </cell>
        </row>
        <row r="334">
          <cell r="B334" t="str">
            <v>V17551-PIND-0477-01</v>
          </cell>
          <cell r="C334" t="str">
            <v>PROD/25-26/13873</v>
          </cell>
          <cell r="D334" t="str">
            <v/>
          </cell>
          <cell r="E334" t="str">
            <v>TJ/25-26/184-P22</v>
          </cell>
          <cell r="F334" t="str">
            <v>P5</v>
          </cell>
          <cell r="G334">
            <v>0</v>
          </cell>
          <cell r="H334">
            <v>1</v>
          </cell>
          <cell r="I334" t="str">
            <v>Yes</v>
          </cell>
          <cell r="J334" t="str">
            <v/>
          </cell>
          <cell r="K334" t="str">
            <v>Yes</v>
          </cell>
          <cell r="L334" t="str">
            <v/>
          </cell>
          <cell r="M334" t="str">
            <v/>
          </cell>
          <cell r="N334" t="str">
            <v>Spool</v>
          </cell>
          <cell r="O334">
            <v>0</v>
          </cell>
          <cell r="P334">
            <v>0</v>
          </cell>
          <cell r="Q334" t="str">
            <v>P22</v>
          </cell>
          <cell r="R334">
            <v>1</v>
          </cell>
          <cell r="S334">
            <v>1</v>
          </cell>
          <cell r="T334">
            <v>31.469799999999999</v>
          </cell>
          <cell r="U334">
            <v>31.469799999999999</v>
          </cell>
        </row>
        <row r="335">
          <cell r="B335" t="str">
            <v>V17551-PIND-0478-01</v>
          </cell>
          <cell r="C335" t="str">
            <v>PROD/25-26/13874</v>
          </cell>
          <cell r="D335" t="str">
            <v/>
          </cell>
          <cell r="E335" t="str">
            <v>TJ/25-26/184-P11</v>
          </cell>
          <cell r="F335" t="str">
            <v>P5</v>
          </cell>
          <cell r="G335">
            <v>0</v>
          </cell>
          <cell r="H335">
            <v>1</v>
          </cell>
          <cell r="I335" t="str">
            <v>Yes</v>
          </cell>
          <cell r="J335" t="str">
            <v/>
          </cell>
          <cell r="K335" t="str">
            <v>Yes</v>
          </cell>
          <cell r="L335" t="str">
            <v/>
          </cell>
          <cell r="M335" t="str">
            <v/>
          </cell>
          <cell r="N335" t="str">
            <v>Spool</v>
          </cell>
          <cell r="O335">
            <v>0</v>
          </cell>
          <cell r="P335">
            <v>0</v>
          </cell>
          <cell r="Q335" t="str">
            <v>P11</v>
          </cell>
          <cell r="R335">
            <v>1</v>
          </cell>
          <cell r="S335">
            <v>1</v>
          </cell>
          <cell r="T335">
            <v>10.81804</v>
          </cell>
          <cell r="U335">
            <v>10.81804</v>
          </cell>
        </row>
        <row r="336">
          <cell r="B336" t="str">
            <v>V17551-PIND-0479-01</v>
          </cell>
          <cell r="C336" t="str">
            <v>PROD/25-26/14113</v>
          </cell>
          <cell r="D336" t="str">
            <v/>
          </cell>
          <cell r="E336" t="str">
            <v>TJ/25-26/184-P22</v>
          </cell>
          <cell r="F336" t="str">
            <v>P5</v>
          </cell>
          <cell r="G336">
            <v>0</v>
          </cell>
          <cell r="H336">
            <v>1</v>
          </cell>
          <cell r="I336" t="str">
            <v>Yes</v>
          </cell>
          <cell r="J336" t="str">
            <v/>
          </cell>
          <cell r="K336" t="str">
            <v>Yes</v>
          </cell>
          <cell r="L336" t="str">
            <v/>
          </cell>
          <cell r="M336" t="str">
            <v/>
          </cell>
          <cell r="N336" t="str">
            <v>Spool</v>
          </cell>
          <cell r="O336">
            <v>0</v>
          </cell>
          <cell r="P336">
            <v>0</v>
          </cell>
          <cell r="Q336" t="str">
            <v>P22</v>
          </cell>
          <cell r="R336">
            <v>1</v>
          </cell>
          <cell r="S336">
            <v>1</v>
          </cell>
          <cell r="T336">
            <v>8.7811199999999996</v>
          </cell>
          <cell r="U336">
            <v>8.7811199999999996</v>
          </cell>
        </row>
        <row r="337">
          <cell r="B337" t="str">
            <v>V17551-PIND-0480-01</v>
          </cell>
          <cell r="C337" t="str">
            <v>PROD/25-26/13875</v>
          </cell>
          <cell r="D337" t="str">
            <v/>
          </cell>
          <cell r="E337" t="str">
            <v>TJ/25-26/184-P22</v>
          </cell>
          <cell r="F337" t="str">
            <v>P5</v>
          </cell>
          <cell r="G337">
            <v>0</v>
          </cell>
          <cell r="H337">
            <v>1</v>
          </cell>
          <cell r="I337" t="str">
            <v>Yes</v>
          </cell>
          <cell r="J337" t="str">
            <v/>
          </cell>
          <cell r="K337" t="str">
            <v>Yes</v>
          </cell>
          <cell r="L337" t="str">
            <v/>
          </cell>
          <cell r="M337" t="str">
            <v/>
          </cell>
          <cell r="N337" t="str">
            <v>Spool</v>
          </cell>
          <cell r="O337">
            <v>0</v>
          </cell>
          <cell r="P337">
            <v>0</v>
          </cell>
          <cell r="Q337" t="str">
            <v>P22</v>
          </cell>
          <cell r="R337">
            <v>1</v>
          </cell>
          <cell r="S337">
            <v>1</v>
          </cell>
          <cell r="T337">
            <v>9.7785200000000003</v>
          </cell>
          <cell r="U337">
            <v>9.7785200000000003</v>
          </cell>
        </row>
        <row r="338">
          <cell r="B338" t="str">
            <v>V17551-PIND-0481-01</v>
          </cell>
          <cell r="C338" t="str">
            <v>PROD/25-26/13876</v>
          </cell>
          <cell r="D338" t="str">
            <v/>
          </cell>
          <cell r="E338" t="str">
            <v>TJ/25-26/184-CS</v>
          </cell>
          <cell r="F338" t="str">
            <v>P5</v>
          </cell>
          <cell r="G338">
            <v>0</v>
          </cell>
          <cell r="H338">
            <v>1</v>
          </cell>
          <cell r="I338" t="str">
            <v>Yes</v>
          </cell>
          <cell r="J338" t="str">
            <v/>
          </cell>
          <cell r="K338" t="str">
            <v>Yes</v>
          </cell>
          <cell r="L338" t="str">
            <v/>
          </cell>
          <cell r="M338" t="str">
            <v/>
          </cell>
          <cell r="N338" t="str">
            <v>Spool</v>
          </cell>
          <cell r="O338">
            <v>0</v>
          </cell>
          <cell r="P338">
            <v>0</v>
          </cell>
          <cell r="Q338" t="str">
            <v>CS</v>
          </cell>
          <cell r="R338">
            <v>1</v>
          </cell>
          <cell r="S338">
            <v>1</v>
          </cell>
          <cell r="T338">
            <v>2.0611199999999998</v>
          </cell>
          <cell r="U338">
            <v>2.0611199999999998</v>
          </cell>
        </row>
        <row r="339">
          <cell r="B339" t="str">
            <v>V17551-PIND-0482-01</v>
          </cell>
          <cell r="C339" t="str">
            <v>PROD/25-26/13877</v>
          </cell>
          <cell r="D339" t="str">
            <v/>
          </cell>
          <cell r="E339" t="str">
            <v>TJ/25-26/184-CS</v>
          </cell>
          <cell r="F339" t="str">
            <v>P5</v>
          </cell>
          <cell r="G339">
            <v>0</v>
          </cell>
          <cell r="H339">
            <v>1</v>
          </cell>
          <cell r="I339" t="str">
            <v>Yes</v>
          </cell>
          <cell r="J339" t="str">
            <v/>
          </cell>
          <cell r="K339" t="str">
            <v>Yes</v>
          </cell>
          <cell r="L339" t="str">
            <v/>
          </cell>
          <cell r="M339" t="str">
            <v/>
          </cell>
          <cell r="N339" t="str">
            <v>Spool</v>
          </cell>
          <cell r="O339">
            <v>0</v>
          </cell>
          <cell r="P339">
            <v>0</v>
          </cell>
          <cell r="Q339" t="str">
            <v>CS</v>
          </cell>
          <cell r="R339">
            <v>1</v>
          </cell>
          <cell r="S339">
            <v>1</v>
          </cell>
          <cell r="T339">
            <v>0.38718000000000002</v>
          </cell>
          <cell r="U339">
            <v>0.38718000000000002</v>
          </cell>
        </row>
        <row r="340">
          <cell r="B340" t="str">
            <v>V17551-PIND-0483-01</v>
          </cell>
          <cell r="C340" t="str">
            <v>PROD/25-26/13878</v>
          </cell>
          <cell r="D340" t="str">
            <v/>
          </cell>
          <cell r="E340" t="str">
            <v>TJ/25-26/184-CS</v>
          </cell>
          <cell r="F340" t="str">
            <v>P5</v>
          </cell>
          <cell r="G340">
            <v>0</v>
          </cell>
          <cell r="H340">
            <v>1</v>
          </cell>
          <cell r="I340" t="str">
            <v>Yes</v>
          </cell>
          <cell r="J340" t="str">
            <v/>
          </cell>
          <cell r="K340" t="str">
            <v>Yes</v>
          </cell>
          <cell r="L340" t="str">
            <v/>
          </cell>
          <cell r="M340" t="str">
            <v/>
          </cell>
          <cell r="N340" t="str">
            <v>Spool</v>
          </cell>
          <cell r="O340">
            <v>0</v>
          </cell>
          <cell r="P340">
            <v>0</v>
          </cell>
          <cell r="Q340" t="str">
            <v>CS</v>
          </cell>
          <cell r="R340">
            <v>1</v>
          </cell>
          <cell r="S340">
            <v>1</v>
          </cell>
          <cell r="T340">
            <v>9.83</v>
          </cell>
          <cell r="U340">
            <v>9.83</v>
          </cell>
        </row>
        <row r="341">
          <cell r="B341" t="str">
            <v>V17551-PIND-0484-01</v>
          </cell>
          <cell r="C341" t="str">
            <v>PROD/25-26/13879</v>
          </cell>
          <cell r="D341" t="str">
            <v/>
          </cell>
          <cell r="E341" t="str">
            <v>TJ/25-26/184-91</v>
          </cell>
          <cell r="F341" t="str">
            <v>P5</v>
          </cell>
          <cell r="G341">
            <v>0</v>
          </cell>
          <cell r="H341">
            <v>1</v>
          </cell>
          <cell r="I341" t="str">
            <v>Yes</v>
          </cell>
          <cell r="J341" t="str">
            <v/>
          </cell>
          <cell r="K341" t="str">
            <v>Yes</v>
          </cell>
          <cell r="L341" t="str">
            <v/>
          </cell>
          <cell r="M341" t="str">
            <v/>
          </cell>
          <cell r="N341" t="str">
            <v>Spool</v>
          </cell>
          <cell r="O341">
            <v>0</v>
          </cell>
          <cell r="P341">
            <v>0</v>
          </cell>
          <cell r="Q341" t="str">
            <v>CS</v>
          </cell>
          <cell r="R341">
            <v>1</v>
          </cell>
          <cell r="S341">
            <v>1</v>
          </cell>
          <cell r="T341">
            <v>5.7313999999999998</v>
          </cell>
          <cell r="U341">
            <v>5.7313999999999998</v>
          </cell>
        </row>
        <row r="342">
          <cell r="B342" t="str">
            <v>V17551-PIND-0485-01</v>
          </cell>
          <cell r="C342" t="str">
            <v>PROD/25-26/13880</v>
          </cell>
          <cell r="D342" t="str">
            <v/>
          </cell>
          <cell r="E342" t="str">
            <v>TJ/25-26/184-CS</v>
          </cell>
          <cell r="F342" t="str">
            <v>P5</v>
          </cell>
          <cell r="G342">
            <v>0</v>
          </cell>
          <cell r="H342">
            <v>1</v>
          </cell>
          <cell r="I342" t="str">
            <v>Yes</v>
          </cell>
          <cell r="J342" t="str">
            <v/>
          </cell>
          <cell r="K342" t="str">
            <v>Yes</v>
          </cell>
          <cell r="L342" t="str">
            <v/>
          </cell>
          <cell r="M342" t="str">
            <v/>
          </cell>
          <cell r="N342" t="str">
            <v>Spool</v>
          </cell>
          <cell r="O342">
            <v>0</v>
          </cell>
          <cell r="P342">
            <v>0</v>
          </cell>
          <cell r="Q342" t="str">
            <v>CS</v>
          </cell>
          <cell r="R342">
            <v>1</v>
          </cell>
          <cell r="S342">
            <v>1</v>
          </cell>
          <cell r="T342">
            <v>9.83</v>
          </cell>
          <cell r="U342">
            <v>9.83</v>
          </cell>
        </row>
        <row r="343">
          <cell r="B343" t="str">
            <v>V17551-PIND-0486-01</v>
          </cell>
          <cell r="C343" t="str">
            <v>PROD/25-26/13881</v>
          </cell>
          <cell r="D343" t="str">
            <v/>
          </cell>
          <cell r="E343" t="str">
            <v>TJ/25-26/184-CS</v>
          </cell>
          <cell r="F343" t="str">
            <v>P5</v>
          </cell>
          <cell r="G343">
            <v>0</v>
          </cell>
          <cell r="H343">
            <v>1</v>
          </cell>
          <cell r="I343" t="str">
            <v>Yes</v>
          </cell>
          <cell r="J343" t="str">
            <v/>
          </cell>
          <cell r="K343" t="str">
            <v>No</v>
          </cell>
          <cell r="L343" t="str">
            <v/>
          </cell>
          <cell r="M343" t="str">
            <v/>
          </cell>
          <cell r="N343" t="str">
            <v>Spool</v>
          </cell>
          <cell r="O343">
            <v>0</v>
          </cell>
          <cell r="P343">
            <v>0</v>
          </cell>
          <cell r="Q343" t="str">
            <v>CS</v>
          </cell>
          <cell r="R343">
            <v>1</v>
          </cell>
          <cell r="S343">
            <v>1</v>
          </cell>
          <cell r="T343">
            <v>0.89192000000000005</v>
          </cell>
          <cell r="U343">
            <v>0.89192000000000005</v>
          </cell>
        </row>
        <row r="344">
          <cell r="B344" t="str">
            <v>V17551-PIND-0487-01</v>
          </cell>
          <cell r="C344" t="str">
            <v>PROD/25-26/13882</v>
          </cell>
          <cell r="D344" t="str">
            <v/>
          </cell>
          <cell r="E344" t="str">
            <v>TJ/25-26/184-91</v>
          </cell>
          <cell r="F344" t="str">
            <v>P5</v>
          </cell>
          <cell r="G344">
            <v>0</v>
          </cell>
          <cell r="H344">
            <v>1</v>
          </cell>
          <cell r="I344" t="str">
            <v>Yes</v>
          </cell>
          <cell r="J344" t="str">
            <v/>
          </cell>
          <cell r="K344" t="str">
            <v>Yes</v>
          </cell>
          <cell r="L344" t="str">
            <v/>
          </cell>
          <cell r="M344" t="str">
            <v/>
          </cell>
          <cell r="N344" t="str">
            <v>Spool</v>
          </cell>
          <cell r="O344">
            <v>0</v>
          </cell>
          <cell r="P344">
            <v>0</v>
          </cell>
          <cell r="Q344" t="str">
            <v>CS</v>
          </cell>
          <cell r="R344">
            <v>1</v>
          </cell>
          <cell r="S344">
            <v>1</v>
          </cell>
          <cell r="T344">
            <v>1.0976600000000001</v>
          </cell>
          <cell r="U344">
            <v>1.0976600000000001</v>
          </cell>
        </row>
        <row r="345">
          <cell r="B345" t="str">
            <v>V17551-PIND-0488-01</v>
          </cell>
          <cell r="C345" t="str">
            <v>PROD/25-26/13883</v>
          </cell>
          <cell r="D345" t="str">
            <v/>
          </cell>
          <cell r="E345" t="str">
            <v>TJ/25-26/184-CS</v>
          </cell>
          <cell r="F345" t="str">
            <v>P5</v>
          </cell>
          <cell r="G345">
            <v>0</v>
          </cell>
          <cell r="H345">
            <v>1</v>
          </cell>
          <cell r="I345" t="str">
            <v>Yes</v>
          </cell>
          <cell r="J345" t="str">
            <v/>
          </cell>
          <cell r="K345" t="str">
            <v>Yes</v>
          </cell>
          <cell r="L345" t="str">
            <v/>
          </cell>
          <cell r="M345" t="str">
            <v/>
          </cell>
          <cell r="N345" t="str">
            <v>Spool</v>
          </cell>
          <cell r="O345">
            <v>0</v>
          </cell>
          <cell r="P345">
            <v>0</v>
          </cell>
          <cell r="Q345" t="str">
            <v>CS</v>
          </cell>
          <cell r="R345">
            <v>1</v>
          </cell>
          <cell r="S345">
            <v>1</v>
          </cell>
          <cell r="T345">
            <v>2.2575400000000001</v>
          </cell>
          <cell r="U345">
            <v>2.2575400000000001</v>
          </cell>
        </row>
        <row r="346">
          <cell r="B346" t="str">
            <v>V17551-PIND-0489-01</v>
          </cell>
          <cell r="C346" t="str">
            <v>PROD/25-26/13884</v>
          </cell>
          <cell r="D346" t="str">
            <v/>
          </cell>
          <cell r="E346" t="str">
            <v>TJ/25-26/184-CS</v>
          </cell>
          <cell r="F346" t="str">
            <v>P5</v>
          </cell>
          <cell r="G346">
            <v>0</v>
          </cell>
          <cell r="H346">
            <v>1</v>
          </cell>
          <cell r="I346" t="str">
            <v>Yes</v>
          </cell>
          <cell r="J346" t="str">
            <v/>
          </cell>
          <cell r="K346" t="str">
            <v>No</v>
          </cell>
          <cell r="L346" t="str">
            <v/>
          </cell>
          <cell r="M346" t="str">
            <v/>
          </cell>
          <cell r="N346" t="str">
            <v>Spool</v>
          </cell>
          <cell r="O346">
            <v>0</v>
          </cell>
          <cell r="P346">
            <v>0</v>
          </cell>
          <cell r="Q346" t="str">
            <v>CS</v>
          </cell>
          <cell r="R346">
            <v>1</v>
          </cell>
          <cell r="S346">
            <v>1</v>
          </cell>
          <cell r="T346">
            <v>11.373900000000001</v>
          </cell>
          <cell r="U346">
            <v>11.373900000000001</v>
          </cell>
        </row>
        <row r="347">
          <cell r="B347" t="str">
            <v>V17551-PIND-0490-01</v>
          </cell>
          <cell r="C347" t="str">
            <v>PROD/25-26/13885</v>
          </cell>
          <cell r="D347" t="str">
            <v/>
          </cell>
          <cell r="E347" t="str">
            <v>TJ/25-26/184-P22</v>
          </cell>
          <cell r="F347" t="str">
            <v>P5</v>
          </cell>
          <cell r="G347">
            <v>0</v>
          </cell>
          <cell r="H347">
            <v>1</v>
          </cell>
          <cell r="I347" t="str">
            <v>Yes</v>
          </cell>
          <cell r="J347" t="str">
            <v/>
          </cell>
          <cell r="K347" t="str">
            <v>Yes</v>
          </cell>
          <cell r="L347" t="str">
            <v/>
          </cell>
          <cell r="M347" t="str">
            <v/>
          </cell>
          <cell r="N347" t="str">
            <v>Spool</v>
          </cell>
          <cell r="O347">
            <v>0</v>
          </cell>
          <cell r="P347">
            <v>0</v>
          </cell>
          <cell r="Q347" t="str">
            <v>P22</v>
          </cell>
          <cell r="R347">
            <v>1</v>
          </cell>
          <cell r="S347">
            <v>1</v>
          </cell>
          <cell r="T347">
            <v>0.82874000000000003</v>
          </cell>
          <cell r="U347">
            <v>0.82874000000000003</v>
          </cell>
        </row>
        <row r="348">
          <cell r="B348" t="str">
            <v>V17551-PIND-0491-01</v>
          </cell>
          <cell r="C348" t="str">
            <v>PROD/25-26/13886</v>
          </cell>
          <cell r="D348" t="str">
            <v/>
          </cell>
          <cell r="E348" t="str">
            <v>TJ/25-26/184-P22</v>
          </cell>
          <cell r="F348" t="str">
            <v>P5</v>
          </cell>
          <cell r="G348">
            <v>0</v>
          </cell>
          <cell r="H348">
            <v>1</v>
          </cell>
          <cell r="I348" t="str">
            <v>Yes</v>
          </cell>
          <cell r="J348" t="str">
            <v/>
          </cell>
          <cell r="K348" t="str">
            <v>No</v>
          </cell>
          <cell r="L348" t="str">
            <v/>
          </cell>
          <cell r="M348" t="str">
            <v/>
          </cell>
          <cell r="N348" t="str">
            <v>Spool</v>
          </cell>
          <cell r="O348">
            <v>0</v>
          </cell>
          <cell r="P348">
            <v>0</v>
          </cell>
          <cell r="Q348" t="str">
            <v>P22</v>
          </cell>
          <cell r="R348">
            <v>1</v>
          </cell>
          <cell r="S348">
            <v>1</v>
          </cell>
          <cell r="T348">
            <v>0.8579</v>
          </cell>
          <cell r="U348">
            <v>0.8579</v>
          </cell>
        </row>
        <row r="349">
          <cell r="B349" t="str">
            <v>V17551-PIND-0492-01</v>
          </cell>
          <cell r="C349" t="str">
            <v>PROD/25-26/13887</v>
          </cell>
          <cell r="D349" t="str">
            <v/>
          </cell>
          <cell r="E349" t="str">
            <v>TJ/25-26/184-91</v>
          </cell>
          <cell r="F349" t="str">
            <v>P5</v>
          </cell>
          <cell r="G349">
            <v>0</v>
          </cell>
          <cell r="H349">
            <v>1</v>
          </cell>
          <cell r="I349" t="str">
            <v>Yes</v>
          </cell>
          <cell r="J349" t="str">
            <v/>
          </cell>
          <cell r="K349" t="str">
            <v>No</v>
          </cell>
          <cell r="L349" t="str">
            <v/>
          </cell>
          <cell r="M349" t="str">
            <v/>
          </cell>
          <cell r="N349" t="str">
            <v>Spool</v>
          </cell>
          <cell r="O349">
            <v>0</v>
          </cell>
          <cell r="P349">
            <v>0</v>
          </cell>
          <cell r="Q349" t="str">
            <v>CS</v>
          </cell>
          <cell r="R349">
            <v>1</v>
          </cell>
          <cell r="S349">
            <v>1</v>
          </cell>
          <cell r="T349">
            <v>2.5579399999999999</v>
          </cell>
          <cell r="U349">
            <v>2.5579399999999999</v>
          </cell>
        </row>
        <row r="350">
          <cell r="B350" t="str">
            <v>V17551-PIND-0493-01</v>
          </cell>
          <cell r="C350" t="str">
            <v>PROD/25-26/13888</v>
          </cell>
          <cell r="D350" t="str">
            <v/>
          </cell>
          <cell r="E350" t="str">
            <v>TJ/25-26/184-P22</v>
          </cell>
          <cell r="F350" t="str">
            <v>P5</v>
          </cell>
          <cell r="G350">
            <v>0</v>
          </cell>
          <cell r="H350">
            <v>1</v>
          </cell>
          <cell r="I350" t="str">
            <v>Yes</v>
          </cell>
          <cell r="J350" t="str">
            <v/>
          </cell>
          <cell r="K350" t="str">
            <v>Yes</v>
          </cell>
          <cell r="L350" t="str">
            <v/>
          </cell>
          <cell r="M350" t="str">
            <v/>
          </cell>
          <cell r="N350" t="str">
            <v>Spool</v>
          </cell>
          <cell r="O350">
            <v>0</v>
          </cell>
          <cell r="P350">
            <v>0</v>
          </cell>
          <cell r="Q350" t="str">
            <v>P22</v>
          </cell>
          <cell r="R350">
            <v>1</v>
          </cell>
          <cell r="S350">
            <v>1</v>
          </cell>
          <cell r="T350">
            <v>0.26729999999999998</v>
          </cell>
          <cell r="U350">
            <v>0.26729999999999998</v>
          </cell>
        </row>
        <row r="351">
          <cell r="B351" t="str">
            <v>V17551-PIND-0494-01</v>
          </cell>
          <cell r="C351" t="str">
            <v>PROD/25-26/13889</v>
          </cell>
          <cell r="D351" t="str">
            <v/>
          </cell>
          <cell r="E351" t="str">
            <v>TJ/25-26/184-P22</v>
          </cell>
          <cell r="F351" t="str">
            <v>P5</v>
          </cell>
          <cell r="G351">
            <v>0</v>
          </cell>
          <cell r="H351">
            <v>1</v>
          </cell>
          <cell r="I351" t="str">
            <v>Yes</v>
          </cell>
          <cell r="J351" t="str">
            <v/>
          </cell>
          <cell r="K351" t="str">
            <v>Yes</v>
          </cell>
          <cell r="L351" t="str">
            <v/>
          </cell>
          <cell r="M351" t="str">
            <v/>
          </cell>
          <cell r="N351" t="str">
            <v>Spool</v>
          </cell>
          <cell r="O351">
            <v>0</v>
          </cell>
          <cell r="P351">
            <v>0</v>
          </cell>
          <cell r="Q351" t="str">
            <v>P22</v>
          </cell>
          <cell r="R351">
            <v>1</v>
          </cell>
          <cell r="S351">
            <v>1</v>
          </cell>
          <cell r="T351">
            <v>10.891019999999999</v>
          </cell>
          <cell r="U351">
            <v>10.891019999999999</v>
          </cell>
        </row>
        <row r="352">
          <cell r="B352" t="str">
            <v>V17551-PIND-0495-01</v>
          </cell>
          <cell r="C352" t="str">
            <v>PROD/25-26/13890</v>
          </cell>
          <cell r="D352" t="str">
            <v/>
          </cell>
          <cell r="E352" t="str">
            <v>TJ/25-26/184-CS</v>
          </cell>
          <cell r="F352" t="str">
            <v>P5</v>
          </cell>
          <cell r="G352">
            <v>0</v>
          </cell>
          <cell r="H352">
            <v>1</v>
          </cell>
          <cell r="I352" t="str">
            <v>Yes</v>
          </cell>
          <cell r="J352" t="str">
            <v/>
          </cell>
          <cell r="K352" t="str">
            <v>Yes</v>
          </cell>
          <cell r="L352" t="str">
            <v/>
          </cell>
          <cell r="M352" t="str">
            <v/>
          </cell>
          <cell r="N352" t="str">
            <v>Spool</v>
          </cell>
          <cell r="O352">
            <v>0</v>
          </cell>
          <cell r="P352">
            <v>0</v>
          </cell>
          <cell r="Q352" t="str">
            <v>CS</v>
          </cell>
          <cell r="R352">
            <v>1</v>
          </cell>
          <cell r="S352">
            <v>1</v>
          </cell>
          <cell r="T352">
            <v>2.0319600000000002</v>
          </cell>
          <cell r="U352">
            <v>2.0319600000000002</v>
          </cell>
        </row>
        <row r="353">
          <cell r="B353" t="str">
            <v>V17551-PIND-0496-01</v>
          </cell>
          <cell r="C353" t="str">
            <v>PROD/25-26/13891</v>
          </cell>
          <cell r="D353" t="str">
            <v/>
          </cell>
          <cell r="E353" t="str">
            <v>TJ/25-26/184-CS</v>
          </cell>
          <cell r="F353" t="str">
            <v>P5</v>
          </cell>
          <cell r="G353">
            <v>0</v>
          </cell>
          <cell r="H353">
            <v>1</v>
          </cell>
          <cell r="I353" t="str">
            <v>Yes</v>
          </cell>
          <cell r="J353" t="str">
            <v/>
          </cell>
          <cell r="K353" t="str">
            <v>Yes</v>
          </cell>
          <cell r="L353" t="str">
            <v/>
          </cell>
          <cell r="M353" t="str">
            <v/>
          </cell>
          <cell r="N353" t="str">
            <v>Spool</v>
          </cell>
          <cell r="O353">
            <v>0</v>
          </cell>
          <cell r="P353">
            <v>0</v>
          </cell>
          <cell r="Q353" t="str">
            <v>CS</v>
          </cell>
          <cell r="R353">
            <v>1</v>
          </cell>
          <cell r="S353">
            <v>1</v>
          </cell>
          <cell r="T353">
            <v>7.5586799999999998</v>
          </cell>
          <cell r="U353">
            <v>7.5586799999999998</v>
          </cell>
        </row>
        <row r="354">
          <cell r="B354" t="str">
            <v>V17551-PIND-0497-01</v>
          </cell>
          <cell r="C354" t="str">
            <v>PROD/25-26/13892</v>
          </cell>
          <cell r="D354" t="str">
            <v/>
          </cell>
          <cell r="E354" t="str">
            <v>TJ/25-26/184-CS</v>
          </cell>
          <cell r="F354" t="str">
            <v>P5</v>
          </cell>
          <cell r="G354">
            <v>0</v>
          </cell>
          <cell r="H354">
            <v>1</v>
          </cell>
          <cell r="I354" t="str">
            <v>Yes</v>
          </cell>
          <cell r="J354" t="str">
            <v/>
          </cell>
          <cell r="K354" t="str">
            <v>No</v>
          </cell>
          <cell r="L354" t="str">
            <v/>
          </cell>
          <cell r="M354" t="str">
            <v/>
          </cell>
          <cell r="N354" t="str">
            <v>Spool</v>
          </cell>
          <cell r="O354">
            <v>0</v>
          </cell>
          <cell r="P354">
            <v>0</v>
          </cell>
          <cell r="Q354" t="str">
            <v>CS</v>
          </cell>
          <cell r="R354">
            <v>1</v>
          </cell>
          <cell r="S354">
            <v>1</v>
          </cell>
          <cell r="T354">
            <v>4.8998400000000002</v>
          </cell>
          <cell r="U354">
            <v>4.8998400000000002</v>
          </cell>
        </row>
        <row r="355">
          <cell r="B355" t="str">
            <v>V17551-PIND-0498-01</v>
          </cell>
          <cell r="C355" t="str">
            <v>PROD/25-26/13893</v>
          </cell>
          <cell r="D355" t="str">
            <v/>
          </cell>
          <cell r="E355" t="str">
            <v>TJ/25-26/184-CS</v>
          </cell>
          <cell r="F355" t="str">
            <v>P5</v>
          </cell>
          <cell r="G355">
            <v>0</v>
          </cell>
          <cell r="H355">
            <v>1</v>
          </cell>
          <cell r="I355" t="str">
            <v>Yes</v>
          </cell>
          <cell r="J355" t="str">
            <v/>
          </cell>
          <cell r="K355" t="str">
            <v>No</v>
          </cell>
          <cell r="L355" t="str">
            <v/>
          </cell>
          <cell r="M355" t="str">
            <v/>
          </cell>
          <cell r="N355" t="str">
            <v>Spool</v>
          </cell>
          <cell r="O355">
            <v>0</v>
          </cell>
          <cell r="P355">
            <v>0</v>
          </cell>
          <cell r="Q355" t="str">
            <v>CS</v>
          </cell>
          <cell r="R355">
            <v>1</v>
          </cell>
          <cell r="S355">
            <v>1</v>
          </cell>
          <cell r="T355">
            <v>6.3253199999999996</v>
          </cell>
          <cell r="U355">
            <v>6.3253199999999996</v>
          </cell>
        </row>
        <row r="356">
          <cell r="B356" t="str">
            <v>V17551-PIND-0499-01</v>
          </cell>
          <cell r="C356" t="str">
            <v>PROD/25-26/13894</v>
          </cell>
          <cell r="D356" t="str">
            <v/>
          </cell>
          <cell r="E356" t="str">
            <v>TJ/25-26/184-CS</v>
          </cell>
          <cell r="F356" t="str">
            <v>P5</v>
          </cell>
          <cell r="G356">
            <v>0</v>
          </cell>
          <cell r="H356">
            <v>1</v>
          </cell>
          <cell r="I356" t="str">
            <v>Yes</v>
          </cell>
          <cell r="J356" t="str">
            <v/>
          </cell>
          <cell r="K356" t="str">
            <v>Yes</v>
          </cell>
          <cell r="L356" t="str">
            <v/>
          </cell>
          <cell r="M356" t="str">
            <v/>
          </cell>
          <cell r="N356" t="str">
            <v>Spool</v>
          </cell>
          <cell r="O356">
            <v>0</v>
          </cell>
          <cell r="P356">
            <v>0</v>
          </cell>
          <cell r="Q356" t="str">
            <v>CS</v>
          </cell>
          <cell r="R356">
            <v>1</v>
          </cell>
          <cell r="S356">
            <v>1</v>
          </cell>
          <cell r="T356">
            <v>1.90608</v>
          </cell>
          <cell r="U356">
            <v>1.90608</v>
          </cell>
        </row>
        <row r="357">
          <cell r="B357" t="str">
            <v>V17551-PIND-0500-01</v>
          </cell>
          <cell r="C357" t="str">
            <v>PROD/25-26/13895</v>
          </cell>
          <cell r="D357" t="str">
            <v/>
          </cell>
          <cell r="E357" t="str">
            <v>TJ/25-26/184-CS</v>
          </cell>
          <cell r="F357" t="str">
            <v>P5</v>
          </cell>
          <cell r="G357">
            <v>0</v>
          </cell>
          <cell r="H357">
            <v>1</v>
          </cell>
          <cell r="I357" t="str">
            <v>Yes</v>
          </cell>
          <cell r="J357" t="str">
            <v/>
          </cell>
          <cell r="K357" t="str">
            <v>No</v>
          </cell>
          <cell r="L357" t="str">
            <v/>
          </cell>
          <cell r="M357" t="str">
            <v/>
          </cell>
          <cell r="N357" t="str">
            <v>Spool</v>
          </cell>
          <cell r="O357">
            <v>0</v>
          </cell>
          <cell r="P357">
            <v>0</v>
          </cell>
          <cell r="Q357" t="str">
            <v>CS</v>
          </cell>
          <cell r="R357">
            <v>1</v>
          </cell>
          <cell r="S357">
            <v>1</v>
          </cell>
          <cell r="T357">
            <v>13.35984</v>
          </cell>
          <cell r="U357">
            <v>13.35984</v>
          </cell>
        </row>
        <row r="358">
          <cell r="B358" t="str">
            <v>V17551-PIND-0501-01</v>
          </cell>
          <cell r="C358" t="str">
            <v>PROD/25-26/13896</v>
          </cell>
          <cell r="D358" t="str">
            <v/>
          </cell>
          <cell r="E358" t="str">
            <v>TJ/25-26/184-CS</v>
          </cell>
          <cell r="F358" t="str">
            <v>P5</v>
          </cell>
          <cell r="G358">
            <v>0</v>
          </cell>
          <cell r="H358">
            <v>1</v>
          </cell>
          <cell r="I358" t="str">
            <v>Yes</v>
          </cell>
          <cell r="J358" t="str">
            <v/>
          </cell>
          <cell r="K358" t="str">
            <v>Yes</v>
          </cell>
          <cell r="L358" t="str">
            <v/>
          </cell>
          <cell r="M358" t="str">
            <v/>
          </cell>
          <cell r="N358" t="str">
            <v>Spool</v>
          </cell>
          <cell r="O358">
            <v>0</v>
          </cell>
          <cell r="P358">
            <v>0</v>
          </cell>
          <cell r="Q358" t="str">
            <v>CS</v>
          </cell>
          <cell r="R358">
            <v>1</v>
          </cell>
          <cell r="S358">
            <v>1</v>
          </cell>
          <cell r="T358">
            <v>7.3551599999999997</v>
          </cell>
          <cell r="U358">
            <v>7.3551599999999997</v>
          </cell>
        </row>
        <row r="359">
          <cell r="B359" t="str">
            <v>V17551-PIND-0502-01</v>
          </cell>
          <cell r="C359" t="str">
            <v>PROD/25-26/13897</v>
          </cell>
          <cell r="D359" t="str">
            <v/>
          </cell>
          <cell r="E359" t="str">
            <v>TJ/25-26/184-CS</v>
          </cell>
          <cell r="F359" t="str">
            <v>P5</v>
          </cell>
          <cell r="G359">
            <v>0</v>
          </cell>
          <cell r="H359">
            <v>1</v>
          </cell>
          <cell r="I359" t="str">
            <v>Yes</v>
          </cell>
          <cell r="J359" t="str">
            <v/>
          </cell>
          <cell r="K359" t="str">
            <v>Yes</v>
          </cell>
          <cell r="L359" t="str">
            <v/>
          </cell>
          <cell r="M359" t="str">
            <v/>
          </cell>
          <cell r="N359" t="str">
            <v>Spool</v>
          </cell>
          <cell r="O359">
            <v>0</v>
          </cell>
          <cell r="P359">
            <v>0</v>
          </cell>
          <cell r="Q359" t="str">
            <v>CS</v>
          </cell>
          <cell r="R359">
            <v>1</v>
          </cell>
          <cell r="S359">
            <v>1</v>
          </cell>
          <cell r="T359">
            <v>6.86388</v>
          </cell>
          <cell r="U359">
            <v>6.86388</v>
          </cell>
        </row>
        <row r="360">
          <cell r="B360" t="str">
            <v>V17551-PIND-0503-01</v>
          </cell>
          <cell r="C360" t="str">
            <v>PROD/25-26/13898</v>
          </cell>
          <cell r="D360" t="str">
            <v/>
          </cell>
          <cell r="E360" t="str">
            <v>TJ/25-26/184-CS</v>
          </cell>
          <cell r="F360" t="str">
            <v>P5</v>
          </cell>
          <cell r="G360">
            <v>0</v>
          </cell>
          <cell r="H360">
            <v>1</v>
          </cell>
          <cell r="I360" t="str">
            <v>Yes</v>
          </cell>
          <cell r="J360" t="str">
            <v/>
          </cell>
          <cell r="K360" t="str">
            <v>No</v>
          </cell>
          <cell r="L360" t="str">
            <v/>
          </cell>
          <cell r="M360" t="str">
            <v/>
          </cell>
          <cell r="N360" t="str">
            <v>Spool</v>
          </cell>
          <cell r="O360">
            <v>0</v>
          </cell>
          <cell r="P360">
            <v>0</v>
          </cell>
          <cell r="Q360" t="str">
            <v>CS</v>
          </cell>
          <cell r="R360">
            <v>1</v>
          </cell>
          <cell r="S360">
            <v>1</v>
          </cell>
          <cell r="T360">
            <v>5.3994</v>
          </cell>
          <cell r="U360">
            <v>5.3994</v>
          </cell>
        </row>
        <row r="361">
          <cell r="B361" t="str">
            <v>V17551-PIND-0504-01</v>
          </cell>
          <cell r="C361" t="str">
            <v>PROD/25-26/13899</v>
          </cell>
          <cell r="D361" t="str">
            <v/>
          </cell>
          <cell r="E361" t="str">
            <v>TJ/25-26/184-CS</v>
          </cell>
          <cell r="F361" t="str">
            <v>P5</v>
          </cell>
          <cell r="G361">
            <v>0</v>
          </cell>
          <cell r="H361">
            <v>1</v>
          </cell>
          <cell r="I361" t="str">
            <v>Yes</v>
          </cell>
          <cell r="J361" t="str">
            <v/>
          </cell>
          <cell r="K361" t="str">
            <v>No</v>
          </cell>
          <cell r="L361" t="str">
            <v/>
          </cell>
          <cell r="M361" t="str">
            <v/>
          </cell>
          <cell r="N361" t="str">
            <v>Spool</v>
          </cell>
          <cell r="O361">
            <v>0</v>
          </cell>
          <cell r="P361">
            <v>0</v>
          </cell>
          <cell r="Q361" t="str">
            <v>CS</v>
          </cell>
          <cell r="R361">
            <v>1</v>
          </cell>
          <cell r="S361">
            <v>1</v>
          </cell>
          <cell r="T361">
            <v>4.3922400000000001</v>
          </cell>
          <cell r="U361">
            <v>4.3922400000000001</v>
          </cell>
        </row>
        <row r="362">
          <cell r="B362" t="str">
            <v>V17551-PIND-0505-01</v>
          </cell>
          <cell r="C362" t="str">
            <v>PROD/25-26/13900</v>
          </cell>
          <cell r="D362" t="str">
            <v/>
          </cell>
          <cell r="E362" t="str">
            <v>TJ/25-26/184-CS</v>
          </cell>
          <cell r="F362" t="str">
            <v>P5</v>
          </cell>
          <cell r="G362">
            <v>0</v>
          </cell>
          <cell r="H362">
            <v>1</v>
          </cell>
          <cell r="I362" t="str">
            <v>Yes</v>
          </cell>
          <cell r="J362" t="str">
            <v/>
          </cell>
          <cell r="K362" t="str">
            <v>No</v>
          </cell>
          <cell r="L362" t="str">
            <v/>
          </cell>
          <cell r="M362" t="str">
            <v/>
          </cell>
          <cell r="N362" t="str">
            <v>Spool</v>
          </cell>
          <cell r="O362">
            <v>0</v>
          </cell>
          <cell r="P362">
            <v>0</v>
          </cell>
          <cell r="Q362" t="str">
            <v>CS</v>
          </cell>
          <cell r="R362">
            <v>1</v>
          </cell>
          <cell r="S362">
            <v>1</v>
          </cell>
          <cell r="T362">
            <v>8.1958800000000007</v>
          </cell>
          <cell r="U362">
            <v>8.1958800000000007</v>
          </cell>
        </row>
        <row r="363">
          <cell r="B363" t="str">
            <v>V17551-PIND-0506-01</v>
          </cell>
          <cell r="C363" t="str">
            <v>PROD/25-26/13901</v>
          </cell>
          <cell r="D363" t="str">
            <v/>
          </cell>
          <cell r="E363" t="str">
            <v>TJ/25-26/184-CS</v>
          </cell>
          <cell r="F363" t="str">
            <v>P5</v>
          </cell>
          <cell r="G363">
            <v>0</v>
          </cell>
          <cell r="H363">
            <v>1</v>
          </cell>
          <cell r="I363" t="str">
            <v>Yes</v>
          </cell>
          <cell r="J363" t="str">
            <v/>
          </cell>
          <cell r="K363" t="str">
            <v>No</v>
          </cell>
          <cell r="L363" t="str">
            <v/>
          </cell>
          <cell r="M363" t="str">
            <v/>
          </cell>
          <cell r="N363" t="str">
            <v>Spool</v>
          </cell>
          <cell r="O363">
            <v>0</v>
          </cell>
          <cell r="P363">
            <v>0</v>
          </cell>
          <cell r="Q363" t="str">
            <v>CS</v>
          </cell>
          <cell r="R363">
            <v>1</v>
          </cell>
          <cell r="S363">
            <v>1</v>
          </cell>
          <cell r="T363">
            <v>40.571719999999999</v>
          </cell>
          <cell r="U363">
            <v>40.571719999999999</v>
          </cell>
        </row>
        <row r="364">
          <cell r="B364" t="str">
            <v>V17551-PIND-0507-01</v>
          </cell>
          <cell r="C364" t="str">
            <v>PROD/25-26/13902</v>
          </cell>
          <cell r="D364" t="str">
            <v/>
          </cell>
          <cell r="E364" t="str">
            <v>TJ/25-26/184-CS</v>
          </cell>
          <cell r="F364" t="str">
            <v>P5</v>
          </cell>
          <cell r="G364">
            <v>0</v>
          </cell>
          <cell r="H364">
            <v>1</v>
          </cell>
          <cell r="I364" t="str">
            <v>Yes</v>
          </cell>
          <cell r="J364" t="str">
            <v/>
          </cell>
          <cell r="K364" t="str">
            <v>Yes</v>
          </cell>
          <cell r="L364" t="str">
            <v/>
          </cell>
          <cell r="M364" t="str">
            <v/>
          </cell>
          <cell r="N364" t="str">
            <v>Spool</v>
          </cell>
          <cell r="O364">
            <v>0</v>
          </cell>
          <cell r="P364">
            <v>0</v>
          </cell>
          <cell r="Q364" t="str">
            <v>CS</v>
          </cell>
          <cell r="R364">
            <v>1</v>
          </cell>
          <cell r="S364">
            <v>1</v>
          </cell>
          <cell r="T364">
            <v>39.060760000000002</v>
          </cell>
          <cell r="U364">
            <v>39.060760000000002</v>
          </cell>
        </row>
        <row r="365">
          <cell r="B365" t="str">
            <v>V17551-PIND-0508-01</v>
          </cell>
          <cell r="C365" t="str">
            <v>PROD/25-26/13903</v>
          </cell>
          <cell r="D365" t="str">
            <v/>
          </cell>
          <cell r="E365" t="str">
            <v>TJ/25-26/184-P11</v>
          </cell>
          <cell r="F365" t="str">
            <v>P5</v>
          </cell>
          <cell r="G365">
            <v>0</v>
          </cell>
          <cell r="H365">
            <v>1</v>
          </cell>
          <cell r="I365" t="str">
            <v>Yes</v>
          </cell>
          <cell r="J365" t="str">
            <v/>
          </cell>
          <cell r="K365" t="str">
            <v>No</v>
          </cell>
          <cell r="L365" t="str">
            <v/>
          </cell>
          <cell r="M365" t="str">
            <v/>
          </cell>
          <cell r="N365" t="str">
            <v>Spool</v>
          </cell>
          <cell r="O365">
            <v>0</v>
          </cell>
          <cell r="P365">
            <v>0</v>
          </cell>
          <cell r="Q365" t="str">
            <v>P11</v>
          </cell>
          <cell r="R365">
            <v>1</v>
          </cell>
          <cell r="S365">
            <v>1</v>
          </cell>
          <cell r="T365">
            <v>2.46556</v>
          </cell>
          <cell r="U365">
            <v>2.46556</v>
          </cell>
        </row>
        <row r="366">
          <cell r="B366" t="str">
            <v>V17551-PIND-0509-01</v>
          </cell>
          <cell r="C366" t="str">
            <v>PROD/25-26/13904</v>
          </cell>
          <cell r="D366" t="str">
            <v/>
          </cell>
          <cell r="E366" t="str">
            <v>TJ/25-26/184-P11</v>
          </cell>
          <cell r="F366" t="str">
            <v>P5</v>
          </cell>
          <cell r="G366">
            <v>0</v>
          </cell>
          <cell r="H366">
            <v>1</v>
          </cell>
          <cell r="I366" t="str">
            <v>Yes</v>
          </cell>
          <cell r="J366" t="str">
            <v/>
          </cell>
          <cell r="K366" t="str">
            <v>Yes</v>
          </cell>
          <cell r="L366" t="str">
            <v/>
          </cell>
          <cell r="M366" t="str">
            <v/>
          </cell>
          <cell r="N366" t="str">
            <v>Spool</v>
          </cell>
          <cell r="O366">
            <v>0</v>
          </cell>
          <cell r="P366">
            <v>0</v>
          </cell>
          <cell r="Q366" t="str">
            <v>P11</v>
          </cell>
          <cell r="R366">
            <v>1</v>
          </cell>
          <cell r="S366">
            <v>1</v>
          </cell>
          <cell r="T366">
            <v>8.1746400000000001</v>
          </cell>
          <cell r="U366">
            <v>8.1746400000000001</v>
          </cell>
        </row>
        <row r="367">
          <cell r="B367" t="str">
            <v>V17551-PIND-0510-01</v>
          </cell>
          <cell r="C367" t="str">
            <v>PROD/25-26/13905</v>
          </cell>
          <cell r="D367" t="str">
            <v/>
          </cell>
          <cell r="E367" t="str">
            <v>TJ/25-26/184-CS</v>
          </cell>
          <cell r="F367" t="str">
            <v>P5</v>
          </cell>
          <cell r="G367">
            <v>0</v>
          </cell>
          <cell r="H367">
            <v>1</v>
          </cell>
          <cell r="I367" t="str">
            <v>Yes</v>
          </cell>
          <cell r="J367" t="str">
            <v/>
          </cell>
          <cell r="K367" t="str">
            <v>No</v>
          </cell>
          <cell r="L367" t="str">
            <v/>
          </cell>
          <cell r="M367" t="str">
            <v/>
          </cell>
          <cell r="N367" t="str">
            <v>Spool</v>
          </cell>
          <cell r="O367">
            <v>0</v>
          </cell>
          <cell r="P367">
            <v>0</v>
          </cell>
          <cell r="Q367" t="str">
            <v>CS</v>
          </cell>
          <cell r="R367">
            <v>1</v>
          </cell>
          <cell r="S367">
            <v>1</v>
          </cell>
          <cell r="T367">
            <v>4.4721599999999997</v>
          </cell>
          <cell r="U367">
            <v>4.4721599999999997</v>
          </cell>
        </row>
        <row r="368">
          <cell r="B368" t="str">
            <v>V17551-PIND-0511-01</v>
          </cell>
          <cell r="C368" t="str">
            <v>PROD/25-26/13906</v>
          </cell>
          <cell r="D368" t="str">
            <v/>
          </cell>
          <cell r="E368" t="str">
            <v>TJ/25-26/184-CS</v>
          </cell>
          <cell r="F368" t="str">
            <v>P5</v>
          </cell>
          <cell r="G368">
            <v>0</v>
          </cell>
          <cell r="H368">
            <v>1</v>
          </cell>
          <cell r="I368" t="str">
            <v>Yes</v>
          </cell>
          <cell r="J368" t="str">
            <v/>
          </cell>
          <cell r="K368" t="str">
            <v>Yes</v>
          </cell>
          <cell r="L368" t="str">
            <v/>
          </cell>
          <cell r="M368" t="str">
            <v/>
          </cell>
          <cell r="N368" t="str">
            <v>Spool</v>
          </cell>
          <cell r="O368">
            <v>0</v>
          </cell>
          <cell r="P368">
            <v>0</v>
          </cell>
          <cell r="Q368" t="str">
            <v>CS</v>
          </cell>
          <cell r="R368">
            <v>1</v>
          </cell>
          <cell r="S368">
            <v>1</v>
          </cell>
          <cell r="T368">
            <v>5.5093199999999998</v>
          </cell>
          <cell r="U368">
            <v>5.5093199999999998</v>
          </cell>
        </row>
        <row r="369">
          <cell r="B369" t="str">
            <v>V17551-PIND-0512-01</v>
          </cell>
          <cell r="C369" t="str">
            <v>PROD/25-26/13907</v>
          </cell>
          <cell r="D369" t="str">
            <v/>
          </cell>
          <cell r="E369" t="str">
            <v>TJ/25-26/184-CS</v>
          </cell>
          <cell r="F369" t="str">
            <v>P5</v>
          </cell>
          <cell r="G369">
            <v>0</v>
          </cell>
          <cell r="H369">
            <v>1</v>
          </cell>
          <cell r="I369" t="str">
            <v>Yes</v>
          </cell>
          <cell r="J369" t="str">
            <v/>
          </cell>
          <cell r="K369" t="str">
            <v>Yes</v>
          </cell>
          <cell r="L369" t="str">
            <v/>
          </cell>
          <cell r="M369" t="str">
            <v/>
          </cell>
          <cell r="N369" t="str">
            <v>Spool</v>
          </cell>
          <cell r="O369">
            <v>0</v>
          </cell>
          <cell r="P369">
            <v>0</v>
          </cell>
          <cell r="Q369" t="str">
            <v>CS</v>
          </cell>
          <cell r="R369">
            <v>1</v>
          </cell>
          <cell r="S369">
            <v>1</v>
          </cell>
          <cell r="T369">
            <v>49.261200000000002</v>
          </cell>
          <cell r="U369">
            <v>49.261200000000002</v>
          </cell>
        </row>
        <row r="370">
          <cell r="B370" t="str">
            <v>V17551-PIND-0513-01</v>
          </cell>
          <cell r="C370" t="str">
            <v>PROD/25-26/13908</v>
          </cell>
          <cell r="D370" t="str">
            <v/>
          </cell>
          <cell r="E370" t="str">
            <v>TJ/25-26/184-CS</v>
          </cell>
          <cell r="F370" t="str">
            <v>P5</v>
          </cell>
          <cell r="G370">
            <v>0</v>
          </cell>
          <cell r="H370">
            <v>1</v>
          </cell>
          <cell r="I370" t="str">
            <v>Yes</v>
          </cell>
          <cell r="J370" t="str">
            <v/>
          </cell>
          <cell r="K370" t="str">
            <v>Yes</v>
          </cell>
          <cell r="L370" t="str">
            <v/>
          </cell>
          <cell r="M370" t="str">
            <v/>
          </cell>
          <cell r="N370" t="str">
            <v>Spool</v>
          </cell>
          <cell r="O370">
            <v>0</v>
          </cell>
          <cell r="P370">
            <v>0</v>
          </cell>
          <cell r="Q370" t="str">
            <v>CS</v>
          </cell>
          <cell r="R370">
            <v>1</v>
          </cell>
          <cell r="S370">
            <v>1</v>
          </cell>
          <cell r="T370">
            <v>53.089399999999998</v>
          </cell>
          <cell r="U370">
            <v>53.089399999999998</v>
          </cell>
        </row>
        <row r="371">
          <cell r="B371" t="str">
            <v>V17551-PIND-0514-01</v>
          </cell>
          <cell r="C371" t="str">
            <v>PROD/25-26/13909</v>
          </cell>
          <cell r="D371" t="str">
            <v/>
          </cell>
          <cell r="E371" t="str">
            <v>TJ/25-26/184-CS</v>
          </cell>
          <cell r="F371" t="str">
            <v>P5</v>
          </cell>
          <cell r="G371">
            <v>0</v>
          </cell>
          <cell r="H371">
            <v>1</v>
          </cell>
          <cell r="I371" t="str">
            <v>Yes</v>
          </cell>
          <cell r="J371" t="str">
            <v/>
          </cell>
          <cell r="K371" t="str">
            <v>Yes</v>
          </cell>
          <cell r="L371" t="str">
            <v/>
          </cell>
          <cell r="M371" t="str">
            <v/>
          </cell>
          <cell r="N371" t="str">
            <v>Spool</v>
          </cell>
          <cell r="O371">
            <v>0</v>
          </cell>
          <cell r="P371">
            <v>0</v>
          </cell>
          <cell r="Q371" t="str">
            <v>CS</v>
          </cell>
          <cell r="R371">
            <v>1</v>
          </cell>
          <cell r="S371">
            <v>1</v>
          </cell>
          <cell r="T371">
            <v>10.5738</v>
          </cell>
          <cell r="U371">
            <v>10.5738</v>
          </cell>
        </row>
        <row r="372">
          <cell r="B372" t="str">
            <v>V17551-PIND-0515-01</v>
          </cell>
          <cell r="C372" t="str">
            <v>PROD/25-26/13910</v>
          </cell>
          <cell r="D372" t="str">
            <v/>
          </cell>
          <cell r="E372" t="str">
            <v>TJ/25-26/184-CS</v>
          </cell>
          <cell r="F372" t="str">
            <v>P5</v>
          </cell>
          <cell r="G372">
            <v>0</v>
          </cell>
          <cell r="H372">
            <v>1</v>
          </cell>
          <cell r="I372" t="str">
            <v>Yes</v>
          </cell>
          <cell r="J372" t="str">
            <v/>
          </cell>
          <cell r="K372" t="str">
            <v>Yes</v>
          </cell>
          <cell r="L372" t="str">
            <v/>
          </cell>
          <cell r="M372" t="str">
            <v/>
          </cell>
          <cell r="N372" t="str">
            <v>Spool</v>
          </cell>
          <cell r="O372">
            <v>0</v>
          </cell>
          <cell r="P372">
            <v>0</v>
          </cell>
          <cell r="Q372" t="str">
            <v>CS</v>
          </cell>
          <cell r="R372">
            <v>1</v>
          </cell>
          <cell r="S372">
            <v>1</v>
          </cell>
          <cell r="T372">
            <v>21.81672</v>
          </cell>
          <cell r="U372">
            <v>21.81672</v>
          </cell>
        </row>
        <row r="373">
          <cell r="B373" t="str">
            <v>V17551-PIND-0516-01</v>
          </cell>
          <cell r="C373" t="str">
            <v>PROD/25-26/13911</v>
          </cell>
          <cell r="D373" t="str">
            <v/>
          </cell>
          <cell r="E373" t="str">
            <v>TJ/25-26/184-CS</v>
          </cell>
          <cell r="F373" t="str">
            <v>P5</v>
          </cell>
          <cell r="G373">
            <v>0</v>
          </cell>
          <cell r="H373">
            <v>1</v>
          </cell>
          <cell r="I373" t="str">
            <v>Yes</v>
          </cell>
          <cell r="J373" t="str">
            <v/>
          </cell>
          <cell r="K373" t="str">
            <v>No</v>
          </cell>
          <cell r="L373" t="str">
            <v/>
          </cell>
          <cell r="M373" t="str">
            <v/>
          </cell>
          <cell r="N373" t="str">
            <v>Spool</v>
          </cell>
          <cell r="O373">
            <v>0</v>
          </cell>
          <cell r="P373">
            <v>0</v>
          </cell>
          <cell r="Q373" t="str">
            <v>CS</v>
          </cell>
          <cell r="R373">
            <v>1</v>
          </cell>
          <cell r="S373">
            <v>1</v>
          </cell>
          <cell r="T373">
            <v>8.8103999999999996</v>
          </cell>
          <cell r="U373">
            <v>8.8103999999999996</v>
          </cell>
        </row>
        <row r="374">
          <cell r="B374" t="str">
            <v>V17551-PIND-0517-01</v>
          </cell>
          <cell r="C374" t="str">
            <v>PROD/25-26/13912</v>
          </cell>
          <cell r="D374" t="str">
            <v/>
          </cell>
          <cell r="E374" t="str">
            <v>TJ/25-26/184-CS</v>
          </cell>
          <cell r="F374" t="str">
            <v>P5</v>
          </cell>
          <cell r="G374">
            <v>0</v>
          </cell>
          <cell r="H374">
            <v>1</v>
          </cell>
          <cell r="I374" t="str">
            <v>Yes</v>
          </cell>
          <cell r="J374" t="str">
            <v/>
          </cell>
          <cell r="K374" t="str">
            <v>No</v>
          </cell>
          <cell r="L374" t="str">
            <v/>
          </cell>
          <cell r="M374" t="str">
            <v/>
          </cell>
          <cell r="N374" t="str">
            <v>Spool</v>
          </cell>
          <cell r="O374">
            <v>0</v>
          </cell>
          <cell r="P374">
            <v>0</v>
          </cell>
          <cell r="Q374" t="str">
            <v>CS</v>
          </cell>
          <cell r="R374">
            <v>1</v>
          </cell>
          <cell r="S374">
            <v>1</v>
          </cell>
          <cell r="T374">
            <v>2.61564</v>
          </cell>
          <cell r="U374">
            <v>2.61564</v>
          </cell>
        </row>
        <row r="375">
          <cell r="B375" t="str">
            <v>V17551-PIND-0518-01</v>
          </cell>
          <cell r="C375" t="str">
            <v>PROD/25-26/13913</v>
          </cell>
          <cell r="D375" t="str">
            <v/>
          </cell>
          <cell r="E375" t="str">
            <v>TJ/25-26/184-CS</v>
          </cell>
          <cell r="F375" t="str">
            <v>P5</v>
          </cell>
          <cell r="G375">
            <v>0</v>
          </cell>
          <cell r="H375">
            <v>1</v>
          </cell>
          <cell r="I375" t="str">
            <v>Yes</v>
          </cell>
          <cell r="J375" t="str">
            <v/>
          </cell>
          <cell r="K375" t="str">
            <v>Yes</v>
          </cell>
          <cell r="L375" t="str">
            <v/>
          </cell>
          <cell r="M375" t="str">
            <v/>
          </cell>
          <cell r="N375" t="str">
            <v>Spool</v>
          </cell>
          <cell r="O375">
            <v>0</v>
          </cell>
          <cell r="P375">
            <v>0</v>
          </cell>
          <cell r="Q375" t="str">
            <v>CS</v>
          </cell>
          <cell r="R375">
            <v>1</v>
          </cell>
          <cell r="S375">
            <v>1</v>
          </cell>
          <cell r="T375">
            <v>11.700240000000001</v>
          </cell>
          <cell r="U375">
            <v>11.700240000000001</v>
          </cell>
        </row>
        <row r="376">
          <cell r="B376" t="str">
            <v>V17551-PIND-0519-01</v>
          </cell>
          <cell r="C376" t="str">
            <v>PROD/25-26/13914</v>
          </cell>
          <cell r="D376" t="str">
            <v/>
          </cell>
          <cell r="E376" t="str">
            <v>TJ/25-26/184-P11</v>
          </cell>
          <cell r="F376" t="str">
            <v>P5</v>
          </cell>
          <cell r="G376">
            <v>0</v>
          </cell>
          <cell r="H376">
            <v>1</v>
          </cell>
          <cell r="I376" t="str">
            <v>Yes</v>
          </cell>
          <cell r="J376" t="str">
            <v/>
          </cell>
          <cell r="K376" t="str">
            <v>Yes</v>
          </cell>
          <cell r="L376" t="str">
            <v/>
          </cell>
          <cell r="M376" t="str">
            <v/>
          </cell>
          <cell r="N376" t="str">
            <v>Spool</v>
          </cell>
          <cell r="O376">
            <v>0</v>
          </cell>
          <cell r="P376">
            <v>0</v>
          </cell>
          <cell r="Q376" t="str">
            <v>P11</v>
          </cell>
          <cell r="R376">
            <v>1</v>
          </cell>
          <cell r="S376">
            <v>1</v>
          </cell>
          <cell r="T376">
            <v>6.3146000000000004</v>
          </cell>
          <cell r="U376">
            <v>6.3146000000000004</v>
          </cell>
        </row>
        <row r="377">
          <cell r="B377" t="str">
            <v>V17551-PIND-0520-01</v>
          </cell>
          <cell r="C377" t="str">
            <v>PROD/25-26/13915</v>
          </cell>
          <cell r="D377" t="str">
            <v/>
          </cell>
          <cell r="E377" t="str">
            <v>TJ/25-26/184-CS</v>
          </cell>
          <cell r="F377" t="str">
            <v>P5</v>
          </cell>
          <cell r="G377">
            <v>0</v>
          </cell>
          <cell r="H377">
            <v>1</v>
          </cell>
          <cell r="I377" t="str">
            <v>Yes</v>
          </cell>
          <cell r="J377" t="str">
            <v/>
          </cell>
          <cell r="K377" t="str">
            <v>Yes</v>
          </cell>
          <cell r="L377" t="str">
            <v/>
          </cell>
          <cell r="M377" t="str">
            <v/>
          </cell>
          <cell r="N377" t="str">
            <v>Spool</v>
          </cell>
          <cell r="O377">
            <v>0</v>
          </cell>
          <cell r="P377">
            <v>0</v>
          </cell>
          <cell r="Q377" t="str">
            <v>CS</v>
          </cell>
          <cell r="R377">
            <v>1</v>
          </cell>
          <cell r="S377">
            <v>1</v>
          </cell>
          <cell r="T377">
            <v>6.6397199999999996</v>
          </cell>
          <cell r="U377">
            <v>6.6397199999999996</v>
          </cell>
        </row>
        <row r="378">
          <cell r="B378" t="str">
            <v>V17551-PIND-0521-01</v>
          </cell>
          <cell r="C378" t="str">
            <v>PROD/25-26/13916</v>
          </cell>
          <cell r="D378" t="str">
            <v/>
          </cell>
          <cell r="E378" t="str">
            <v>TJ/25-26/184-CS</v>
          </cell>
          <cell r="F378" t="str">
            <v>P5</v>
          </cell>
          <cell r="G378">
            <v>0</v>
          </cell>
          <cell r="H378">
            <v>1</v>
          </cell>
          <cell r="I378" t="str">
            <v>Yes</v>
          </cell>
          <cell r="J378" t="str">
            <v/>
          </cell>
          <cell r="K378" t="str">
            <v>Yes</v>
          </cell>
          <cell r="L378" t="str">
            <v/>
          </cell>
          <cell r="M378" t="str">
            <v/>
          </cell>
          <cell r="N378" t="str">
            <v>Spool</v>
          </cell>
          <cell r="O378">
            <v>0</v>
          </cell>
          <cell r="P378">
            <v>0</v>
          </cell>
          <cell r="Q378" t="str">
            <v>CS</v>
          </cell>
          <cell r="R378">
            <v>1</v>
          </cell>
          <cell r="S378">
            <v>1</v>
          </cell>
          <cell r="T378">
            <v>7.06128</v>
          </cell>
          <cell r="U378">
            <v>7.06128</v>
          </cell>
        </row>
        <row r="379">
          <cell r="B379" t="str">
            <v>V17551-PIND-0522-01</v>
          </cell>
          <cell r="C379" t="str">
            <v>PROD/25-26/13917</v>
          </cell>
          <cell r="D379" t="str">
            <v/>
          </cell>
          <cell r="E379" t="str">
            <v>TJ/25-26/184-CS</v>
          </cell>
          <cell r="F379" t="str">
            <v>P5</v>
          </cell>
          <cell r="G379">
            <v>0</v>
          </cell>
          <cell r="H379">
            <v>1</v>
          </cell>
          <cell r="I379" t="str">
            <v>Yes</v>
          </cell>
          <cell r="J379" t="str">
            <v/>
          </cell>
          <cell r="K379" t="str">
            <v>No</v>
          </cell>
          <cell r="L379" t="str">
            <v/>
          </cell>
          <cell r="M379" t="str">
            <v/>
          </cell>
          <cell r="N379" t="str">
            <v>Spool</v>
          </cell>
          <cell r="O379">
            <v>0</v>
          </cell>
          <cell r="P379">
            <v>0</v>
          </cell>
          <cell r="Q379" t="str">
            <v>CS</v>
          </cell>
          <cell r="R379">
            <v>1</v>
          </cell>
          <cell r="S379">
            <v>1</v>
          </cell>
          <cell r="T379">
            <v>6.0860399999999997</v>
          </cell>
          <cell r="U379">
            <v>6.0860399999999997</v>
          </cell>
        </row>
        <row r="380">
          <cell r="B380" t="str">
            <v>V17551-PIND-0523-01</v>
          </cell>
          <cell r="C380" t="str">
            <v>PROD/25-26/13918</v>
          </cell>
          <cell r="D380" t="str">
            <v/>
          </cell>
          <cell r="E380" t="str">
            <v>TJ/25-26/184-CS</v>
          </cell>
          <cell r="F380" t="str">
            <v>P5</v>
          </cell>
          <cell r="G380">
            <v>0</v>
          </cell>
          <cell r="H380">
            <v>1</v>
          </cell>
          <cell r="I380" t="str">
            <v>Yes</v>
          </cell>
          <cell r="J380" t="str">
            <v/>
          </cell>
          <cell r="K380" t="str">
            <v>Yes</v>
          </cell>
          <cell r="L380" t="str">
            <v/>
          </cell>
          <cell r="M380" t="str">
            <v/>
          </cell>
          <cell r="N380" t="str">
            <v>Spool</v>
          </cell>
          <cell r="O380">
            <v>0</v>
          </cell>
          <cell r="P380">
            <v>0</v>
          </cell>
          <cell r="Q380" t="str">
            <v>CS</v>
          </cell>
          <cell r="R380">
            <v>1</v>
          </cell>
          <cell r="S380">
            <v>1</v>
          </cell>
          <cell r="T380">
            <v>0.26406000000000002</v>
          </cell>
          <cell r="U380">
            <v>0.26406000000000002</v>
          </cell>
        </row>
        <row r="381">
          <cell r="B381" t="str">
            <v>V17551-PIND-0524-01</v>
          </cell>
          <cell r="C381" t="str">
            <v>PROD/25-26/13919</v>
          </cell>
          <cell r="D381" t="str">
            <v/>
          </cell>
          <cell r="E381" t="str">
            <v>TJ/25-26/184-CS</v>
          </cell>
          <cell r="F381" t="str">
            <v>P5</v>
          </cell>
          <cell r="G381">
            <v>0</v>
          </cell>
          <cell r="H381">
            <v>1</v>
          </cell>
          <cell r="I381" t="str">
            <v>Yes</v>
          </cell>
          <cell r="J381" t="str">
            <v/>
          </cell>
          <cell r="K381" t="str">
            <v>Yes</v>
          </cell>
          <cell r="L381" t="str">
            <v/>
          </cell>
          <cell r="M381" t="str">
            <v/>
          </cell>
          <cell r="N381" t="str">
            <v>Spool</v>
          </cell>
          <cell r="O381">
            <v>0</v>
          </cell>
          <cell r="P381">
            <v>0</v>
          </cell>
          <cell r="Q381" t="str">
            <v>CS</v>
          </cell>
          <cell r="R381">
            <v>1</v>
          </cell>
          <cell r="S381">
            <v>1</v>
          </cell>
          <cell r="T381">
            <v>1.2450399999999999</v>
          </cell>
          <cell r="U381">
            <v>1.2450399999999999</v>
          </cell>
        </row>
        <row r="382">
          <cell r="B382" t="str">
            <v>V17551-PIND-0525-01</v>
          </cell>
          <cell r="C382" t="str">
            <v>PROD/25-26/13920</v>
          </cell>
          <cell r="D382" t="str">
            <v/>
          </cell>
          <cell r="E382" t="str">
            <v>TJ/25-26/184-CS</v>
          </cell>
          <cell r="F382" t="str">
            <v>P5</v>
          </cell>
          <cell r="G382">
            <v>0</v>
          </cell>
          <cell r="H382">
            <v>1</v>
          </cell>
          <cell r="I382" t="str">
            <v>Yes</v>
          </cell>
          <cell r="J382" t="str">
            <v/>
          </cell>
          <cell r="K382" t="str">
            <v>Yes</v>
          </cell>
          <cell r="L382" t="str">
            <v/>
          </cell>
          <cell r="M382" t="str">
            <v/>
          </cell>
          <cell r="N382" t="str">
            <v>Spool</v>
          </cell>
          <cell r="O382">
            <v>0</v>
          </cell>
          <cell r="P382">
            <v>0</v>
          </cell>
          <cell r="Q382" t="str">
            <v>CS</v>
          </cell>
          <cell r="R382">
            <v>1</v>
          </cell>
          <cell r="S382">
            <v>1</v>
          </cell>
          <cell r="T382">
            <v>2.46976</v>
          </cell>
          <cell r="U382">
            <v>2.46976</v>
          </cell>
        </row>
        <row r="383">
          <cell r="B383" t="str">
            <v>V17551-PIND-0526-01</v>
          </cell>
          <cell r="C383" t="str">
            <v>PROD/25-26/13921</v>
          </cell>
          <cell r="D383" t="str">
            <v/>
          </cell>
          <cell r="E383" t="str">
            <v>TJ/25-26/184-CS</v>
          </cell>
          <cell r="F383" t="str">
            <v>P5</v>
          </cell>
          <cell r="G383">
            <v>0</v>
          </cell>
          <cell r="H383">
            <v>1</v>
          </cell>
          <cell r="I383" t="str">
            <v>Yes</v>
          </cell>
          <cell r="J383" t="str">
            <v/>
          </cell>
          <cell r="K383" t="str">
            <v>Yes</v>
          </cell>
          <cell r="L383" t="str">
            <v/>
          </cell>
          <cell r="M383" t="str">
            <v/>
          </cell>
          <cell r="N383" t="str">
            <v>Spool</v>
          </cell>
          <cell r="O383">
            <v>0</v>
          </cell>
          <cell r="P383">
            <v>0</v>
          </cell>
          <cell r="Q383" t="str">
            <v>CS</v>
          </cell>
          <cell r="R383">
            <v>1</v>
          </cell>
          <cell r="S383">
            <v>1</v>
          </cell>
          <cell r="T383">
            <v>2.4956800000000001</v>
          </cell>
          <cell r="U383">
            <v>2.4956800000000001</v>
          </cell>
        </row>
        <row r="384">
          <cell r="B384" t="str">
            <v>V17551-PIND-0527-01</v>
          </cell>
          <cell r="C384" t="str">
            <v>PROD/25-26/13922</v>
          </cell>
          <cell r="D384" t="str">
            <v/>
          </cell>
          <cell r="E384" t="str">
            <v>TJ/25-26/184-CS</v>
          </cell>
          <cell r="F384" t="str">
            <v>P5</v>
          </cell>
          <cell r="G384">
            <v>0</v>
          </cell>
          <cell r="H384">
            <v>1</v>
          </cell>
          <cell r="I384" t="str">
            <v>Yes</v>
          </cell>
          <cell r="J384" t="str">
            <v/>
          </cell>
          <cell r="K384" t="str">
            <v>Yes</v>
          </cell>
          <cell r="L384" t="str">
            <v/>
          </cell>
          <cell r="M384" t="str">
            <v/>
          </cell>
          <cell r="N384" t="str">
            <v>Spool</v>
          </cell>
          <cell r="O384">
            <v>0</v>
          </cell>
          <cell r="P384">
            <v>0</v>
          </cell>
          <cell r="Q384" t="str">
            <v>CS</v>
          </cell>
          <cell r="R384">
            <v>1</v>
          </cell>
          <cell r="S384">
            <v>1</v>
          </cell>
          <cell r="T384">
            <v>3.5826600000000002</v>
          </cell>
          <cell r="U384">
            <v>3.5826600000000002</v>
          </cell>
        </row>
        <row r="385">
          <cell r="B385" t="str">
            <v>V17551-PIND-0528-01</v>
          </cell>
          <cell r="C385" t="str">
            <v>PROD/25-26/13923</v>
          </cell>
          <cell r="D385" t="str">
            <v/>
          </cell>
          <cell r="E385" t="str">
            <v>TJ/25-26/184-91</v>
          </cell>
          <cell r="F385" t="str">
            <v>P1</v>
          </cell>
          <cell r="G385">
            <v>0</v>
          </cell>
          <cell r="H385">
            <v>1</v>
          </cell>
          <cell r="I385" t="str">
            <v>Yes</v>
          </cell>
          <cell r="J385" t="str">
            <v/>
          </cell>
          <cell r="K385" t="str">
            <v>Yes</v>
          </cell>
          <cell r="L385" t="str">
            <v/>
          </cell>
          <cell r="M385" t="str">
            <v/>
          </cell>
          <cell r="N385" t="str">
            <v>Spool</v>
          </cell>
          <cell r="O385">
            <v>0</v>
          </cell>
          <cell r="P385">
            <v>0</v>
          </cell>
          <cell r="Q385" t="str">
            <v>CS</v>
          </cell>
          <cell r="R385">
            <v>1</v>
          </cell>
          <cell r="S385">
            <v>1</v>
          </cell>
          <cell r="T385">
            <v>9.6091999999999995</v>
          </cell>
          <cell r="U385">
            <v>9.6091999999999995</v>
          </cell>
        </row>
        <row r="386">
          <cell r="B386" t="str">
            <v>V17551-PIND-0529-01</v>
          </cell>
          <cell r="C386" t="str">
            <v>PROD/25-26/13924</v>
          </cell>
          <cell r="D386" t="str">
            <v/>
          </cell>
          <cell r="E386" t="str">
            <v>TJ/25-26/184-CS</v>
          </cell>
          <cell r="F386" t="str">
            <v>P1</v>
          </cell>
          <cell r="G386">
            <v>0</v>
          </cell>
          <cell r="H386">
            <v>1</v>
          </cell>
          <cell r="I386" t="str">
            <v>Yes</v>
          </cell>
          <cell r="J386" t="str">
            <v/>
          </cell>
          <cell r="K386" t="str">
            <v>Yes</v>
          </cell>
          <cell r="L386" t="str">
            <v/>
          </cell>
          <cell r="M386" t="str">
            <v/>
          </cell>
          <cell r="N386" t="str">
            <v>Spool</v>
          </cell>
          <cell r="O386">
            <v>0</v>
          </cell>
          <cell r="P386">
            <v>0</v>
          </cell>
          <cell r="Q386" t="str">
            <v>CS</v>
          </cell>
          <cell r="R386">
            <v>1</v>
          </cell>
          <cell r="S386">
            <v>1</v>
          </cell>
          <cell r="T386">
            <v>2.17658</v>
          </cell>
          <cell r="U386">
            <v>2.17658</v>
          </cell>
        </row>
        <row r="387">
          <cell r="B387" t="str">
            <v>V17551-PIND-0530-01</v>
          </cell>
          <cell r="C387" t="str">
            <v>PROD/25-26/13925</v>
          </cell>
          <cell r="D387" t="str">
            <v/>
          </cell>
          <cell r="E387" t="str">
            <v>TJ/25-26/184-CS</v>
          </cell>
          <cell r="F387" t="str">
            <v>P1</v>
          </cell>
          <cell r="G387">
            <v>0</v>
          </cell>
          <cell r="H387">
            <v>1</v>
          </cell>
          <cell r="I387" t="str">
            <v>Yes</v>
          </cell>
          <cell r="J387" t="str">
            <v/>
          </cell>
          <cell r="K387" t="str">
            <v>Yes</v>
          </cell>
          <cell r="L387" t="str">
            <v/>
          </cell>
          <cell r="M387" t="str">
            <v/>
          </cell>
          <cell r="N387" t="str">
            <v>Spool</v>
          </cell>
          <cell r="O387">
            <v>0</v>
          </cell>
          <cell r="P387">
            <v>0</v>
          </cell>
          <cell r="Q387" t="str">
            <v>CS</v>
          </cell>
          <cell r="R387">
            <v>1</v>
          </cell>
          <cell r="S387">
            <v>1</v>
          </cell>
          <cell r="T387">
            <v>7.0803200000000004</v>
          </cell>
          <cell r="U387">
            <v>7.0803200000000004</v>
          </cell>
        </row>
        <row r="388">
          <cell r="B388" t="str">
            <v>V17551-PIND-0536-01</v>
          </cell>
          <cell r="C388" t="str">
            <v>PROD/25-26/13926</v>
          </cell>
          <cell r="D388" t="str">
            <v/>
          </cell>
          <cell r="E388" t="str">
            <v>TJ/25-26/184-CS</v>
          </cell>
          <cell r="F388" t="str">
            <v>P5</v>
          </cell>
          <cell r="G388">
            <v>0</v>
          </cell>
          <cell r="H388">
            <v>1</v>
          </cell>
          <cell r="I388" t="str">
            <v>Yes</v>
          </cell>
          <cell r="J388" t="str">
            <v/>
          </cell>
          <cell r="K388" t="str">
            <v>Yes</v>
          </cell>
          <cell r="L388" t="str">
            <v/>
          </cell>
          <cell r="M388" t="str">
            <v/>
          </cell>
          <cell r="N388" t="str">
            <v>Spool</v>
          </cell>
          <cell r="O388">
            <v>0</v>
          </cell>
          <cell r="P388">
            <v>0</v>
          </cell>
          <cell r="Q388" t="str">
            <v>CS</v>
          </cell>
          <cell r="R388">
            <v>1</v>
          </cell>
          <cell r="S388">
            <v>1</v>
          </cell>
          <cell r="T388">
            <v>3.2174200000000002</v>
          </cell>
          <cell r="U388">
            <v>3.2174200000000002</v>
          </cell>
        </row>
        <row r="389">
          <cell r="B389" t="str">
            <v>V17551-PIND-0537-01</v>
          </cell>
          <cell r="C389" t="str">
            <v>PROD/25-26/13927</v>
          </cell>
          <cell r="D389" t="str">
            <v/>
          </cell>
          <cell r="E389" t="str">
            <v>TJ/25-26/184-CS</v>
          </cell>
          <cell r="F389" t="str">
            <v>P5</v>
          </cell>
          <cell r="G389">
            <v>0</v>
          </cell>
          <cell r="H389">
            <v>1</v>
          </cell>
          <cell r="I389" t="str">
            <v>Yes</v>
          </cell>
          <cell r="J389" t="str">
            <v/>
          </cell>
          <cell r="K389" t="str">
            <v>No</v>
          </cell>
          <cell r="L389" t="str">
            <v/>
          </cell>
          <cell r="M389" t="str">
            <v/>
          </cell>
          <cell r="N389" t="str">
            <v>Spool</v>
          </cell>
          <cell r="O389">
            <v>0</v>
          </cell>
          <cell r="P389">
            <v>0</v>
          </cell>
          <cell r="Q389" t="str">
            <v>CS</v>
          </cell>
          <cell r="R389">
            <v>1</v>
          </cell>
          <cell r="S389">
            <v>1</v>
          </cell>
          <cell r="T389">
            <v>4.0397400000000001</v>
          </cell>
          <cell r="U389">
            <v>4.0397400000000001</v>
          </cell>
        </row>
        <row r="390">
          <cell r="B390" t="str">
            <v>V17551-PIND-0538-01</v>
          </cell>
          <cell r="C390" t="str">
            <v>PROD/25-26/13928</v>
          </cell>
          <cell r="D390" t="str">
            <v/>
          </cell>
          <cell r="E390" t="str">
            <v>TJ/25-26/184-P22</v>
          </cell>
          <cell r="F390" t="str">
            <v>P5</v>
          </cell>
          <cell r="G390">
            <v>0</v>
          </cell>
          <cell r="H390">
            <v>1</v>
          </cell>
          <cell r="I390" t="str">
            <v>Yes</v>
          </cell>
          <cell r="J390" t="str">
            <v/>
          </cell>
          <cell r="K390" t="str">
            <v>Yes</v>
          </cell>
          <cell r="L390" t="str">
            <v/>
          </cell>
          <cell r="M390" t="str">
            <v/>
          </cell>
          <cell r="N390" t="str">
            <v>Spool</v>
          </cell>
          <cell r="O390">
            <v>0</v>
          </cell>
          <cell r="P390">
            <v>0</v>
          </cell>
          <cell r="Q390" t="str">
            <v>P22</v>
          </cell>
          <cell r="R390">
            <v>1</v>
          </cell>
          <cell r="S390">
            <v>1</v>
          </cell>
          <cell r="T390">
            <v>3.7938399999999999</v>
          </cell>
          <cell r="U390">
            <v>3.7938399999999999</v>
          </cell>
        </row>
        <row r="391">
          <cell r="B391" t="str">
            <v>V17551-PIND-0539-01</v>
          </cell>
          <cell r="C391" t="str">
            <v>PROD/25-26/13929</v>
          </cell>
          <cell r="D391" t="str">
            <v/>
          </cell>
          <cell r="E391" t="str">
            <v>TJ/25-26/184-P22</v>
          </cell>
          <cell r="F391" t="str">
            <v>P5</v>
          </cell>
          <cell r="G391">
            <v>0</v>
          </cell>
          <cell r="H391">
            <v>1</v>
          </cell>
          <cell r="I391" t="str">
            <v>Yes</v>
          </cell>
          <cell r="J391" t="str">
            <v/>
          </cell>
          <cell r="K391" t="str">
            <v>Yes</v>
          </cell>
          <cell r="L391" t="str">
            <v/>
          </cell>
          <cell r="M391" t="str">
            <v/>
          </cell>
          <cell r="N391" t="str">
            <v>Spool</v>
          </cell>
          <cell r="O391">
            <v>0</v>
          </cell>
          <cell r="P391">
            <v>0</v>
          </cell>
          <cell r="Q391" t="str">
            <v>P22</v>
          </cell>
          <cell r="R391">
            <v>1</v>
          </cell>
          <cell r="S391">
            <v>1</v>
          </cell>
          <cell r="T391">
            <v>9.6167999999999996</v>
          </cell>
          <cell r="U391">
            <v>9.6167999999999996</v>
          </cell>
        </row>
        <row r="392">
          <cell r="B392" t="str">
            <v>V17551-PIND-0540-01</v>
          </cell>
          <cell r="C392" t="str">
            <v>PROD/25-26/14580</v>
          </cell>
          <cell r="D392" t="str">
            <v/>
          </cell>
          <cell r="E392" t="str">
            <v>TJ/25-26/184-CS</v>
          </cell>
          <cell r="F392" t="str">
            <v>P5</v>
          </cell>
          <cell r="G392">
            <v>0</v>
          </cell>
          <cell r="H392">
            <v>1</v>
          </cell>
          <cell r="I392" t="str">
            <v>Yes</v>
          </cell>
          <cell r="J392" t="str">
            <v/>
          </cell>
          <cell r="K392" t="str">
            <v>Yes</v>
          </cell>
          <cell r="L392" t="str">
            <v/>
          </cell>
          <cell r="M392" t="str">
            <v/>
          </cell>
          <cell r="N392" t="str">
            <v>Spool</v>
          </cell>
          <cell r="O392">
            <v>0</v>
          </cell>
          <cell r="P392">
            <v>0</v>
          </cell>
          <cell r="Q392" t="str">
            <v>P22</v>
          </cell>
          <cell r="R392">
            <v>1</v>
          </cell>
          <cell r="S392">
            <v>1</v>
          </cell>
          <cell r="T392">
            <v>13.760759999999999</v>
          </cell>
          <cell r="U392">
            <v>13.760759999999999</v>
          </cell>
        </row>
        <row r="393">
          <cell r="B393" t="str">
            <v>V17551-PIND-0541-01</v>
          </cell>
          <cell r="C393" t="str">
            <v>PROD/25-26/14186</v>
          </cell>
          <cell r="D393" t="str">
            <v/>
          </cell>
          <cell r="E393" t="str">
            <v>TJ/25-26/184-CS</v>
          </cell>
          <cell r="F393" t="str">
            <v>P5</v>
          </cell>
          <cell r="G393">
            <v>0</v>
          </cell>
          <cell r="H393">
            <v>1</v>
          </cell>
          <cell r="I393" t="str">
            <v>Yes</v>
          </cell>
          <cell r="J393" t="str">
            <v/>
          </cell>
          <cell r="K393" t="str">
            <v>No</v>
          </cell>
          <cell r="L393" t="str">
            <v/>
          </cell>
          <cell r="M393" t="str">
            <v/>
          </cell>
          <cell r="N393" t="str">
            <v>Spool</v>
          </cell>
          <cell r="O393">
            <v>0</v>
          </cell>
          <cell r="P393">
            <v>0</v>
          </cell>
          <cell r="Q393" t="str">
            <v>P22</v>
          </cell>
          <cell r="R393">
            <v>1</v>
          </cell>
          <cell r="S393">
            <v>1</v>
          </cell>
          <cell r="T393">
            <v>5.944</v>
          </cell>
          <cell r="U393">
            <v>5.944</v>
          </cell>
        </row>
        <row r="394">
          <cell r="B394" t="str">
            <v>V17551-PIND-0542-01</v>
          </cell>
          <cell r="C394" t="str">
            <v>PROD/25-26/13930</v>
          </cell>
          <cell r="D394" t="str">
            <v/>
          </cell>
          <cell r="E394" t="str">
            <v>TJ/25-26/184-P91</v>
          </cell>
          <cell r="F394" t="str">
            <v>P5</v>
          </cell>
          <cell r="G394">
            <v>0</v>
          </cell>
          <cell r="H394">
            <v>1</v>
          </cell>
          <cell r="I394" t="str">
            <v>Yes</v>
          </cell>
          <cell r="J394" t="str">
            <v/>
          </cell>
          <cell r="K394" t="str">
            <v>Yes</v>
          </cell>
          <cell r="L394" t="str">
            <v/>
          </cell>
          <cell r="M394" t="str">
            <v/>
          </cell>
          <cell r="N394" t="str">
            <v>Spool</v>
          </cell>
          <cell r="O394">
            <v>0</v>
          </cell>
          <cell r="P394">
            <v>0</v>
          </cell>
          <cell r="Q394" t="str">
            <v>P91</v>
          </cell>
          <cell r="R394">
            <v>1</v>
          </cell>
          <cell r="S394">
            <v>1</v>
          </cell>
          <cell r="T394">
            <v>6.0561999999999996</v>
          </cell>
          <cell r="U394">
            <v>6.0561999999999996</v>
          </cell>
        </row>
        <row r="395">
          <cell r="B395" t="str">
            <v>V17551-PIND-0543-01</v>
          </cell>
          <cell r="C395" t="str">
            <v>PROD/25-26/13931</v>
          </cell>
          <cell r="D395" t="str">
            <v/>
          </cell>
          <cell r="E395" t="str">
            <v>TJ/25-26/184-P91</v>
          </cell>
          <cell r="F395" t="str">
            <v>P5</v>
          </cell>
          <cell r="G395">
            <v>0</v>
          </cell>
          <cell r="H395">
            <v>1</v>
          </cell>
          <cell r="I395" t="str">
            <v>Yes</v>
          </cell>
          <cell r="J395" t="str">
            <v/>
          </cell>
          <cell r="K395" t="str">
            <v>Yes</v>
          </cell>
          <cell r="L395" t="str">
            <v/>
          </cell>
          <cell r="M395" t="str">
            <v/>
          </cell>
          <cell r="N395" t="str">
            <v>Spool</v>
          </cell>
          <cell r="O395">
            <v>0</v>
          </cell>
          <cell r="P395">
            <v>0</v>
          </cell>
          <cell r="Q395" t="str">
            <v>P91</v>
          </cell>
          <cell r="R395">
            <v>1</v>
          </cell>
          <cell r="S395">
            <v>1</v>
          </cell>
          <cell r="T395">
            <v>6.5648</v>
          </cell>
          <cell r="U395">
            <v>6.5648</v>
          </cell>
        </row>
        <row r="396">
          <cell r="B396" t="str">
            <v>V17551-PIND-0544-01</v>
          </cell>
          <cell r="C396" t="str">
            <v>PROD/25-26/14124</v>
          </cell>
          <cell r="D396" t="str">
            <v/>
          </cell>
          <cell r="E396" t="str">
            <v>TJ/25-26/184-P91</v>
          </cell>
          <cell r="F396" t="str">
            <v>P5</v>
          </cell>
          <cell r="G396">
            <v>0</v>
          </cell>
          <cell r="H396">
            <v>1</v>
          </cell>
          <cell r="I396" t="str">
            <v>Yes</v>
          </cell>
          <cell r="J396" t="str">
            <v/>
          </cell>
          <cell r="K396" t="str">
            <v>Yes</v>
          </cell>
          <cell r="L396" t="str">
            <v/>
          </cell>
          <cell r="M396" t="str">
            <v/>
          </cell>
          <cell r="N396" t="str">
            <v>Spool</v>
          </cell>
          <cell r="O396">
            <v>0</v>
          </cell>
          <cell r="P396">
            <v>0</v>
          </cell>
          <cell r="Q396" t="str">
            <v>P91</v>
          </cell>
          <cell r="R396">
            <v>1</v>
          </cell>
          <cell r="S396">
            <v>1</v>
          </cell>
          <cell r="T396">
            <v>19.64536</v>
          </cell>
          <cell r="U396">
            <v>19.64536</v>
          </cell>
        </row>
        <row r="397">
          <cell r="B397" t="str">
            <v>V17551-PIND-0545-01</v>
          </cell>
          <cell r="C397" t="str">
            <v>PROD/25-26/13933</v>
          </cell>
          <cell r="D397" t="str">
            <v/>
          </cell>
          <cell r="E397" t="str">
            <v>TJ/25-26/184-CS</v>
          </cell>
          <cell r="F397" t="str">
            <v>P5</v>
          </cell>
          <cell r="G397">
            <v>0</v>
          </cell>
          <cell r="H397">
            <v>1</v>
          </cell>
          <cell r="I397" t="str">
            <v>Yes</v>
          </cell>
          <cell r="J397" t="str">
            <v/>
          </cell>
          <cell r="K397" t="str">
            <v>Yes</v>
          </cell>
          <cell r="L397" t="str">
            <v/>
          </cell>
          <cell r="M397" t="str">
            <v/>
          </cell>
          <cell r="N397" t="str">
            <v>Spool</v>
          </cell>
          <cell r="O397">
            <v>0</v>
          </cell>
          <cell r="P397">
            <v>0</v>
          </cell>
          <cell r="Q397" t="str">
            <v>CS</v>
          </cell>
          <cell r="R397">
            <v>1</v>
          </cell>
          <cell r="S397">
            <v>1</v>
          </cell>
          <cell r="T397">
            <v>0.25272</v>
          </cell>
          <cell r="U397">
            <v>0.25272</v>
          </cell>
        </row>
        <row r="398">
          <cell r="B398" t="str">
            <v>V17551-PIND-0546-01</v>
          </cell>
          <cell r="C398" t="str">
            <v>PROD/25-26/13934</v>
          </cell>
          <cell r="D398" t="str">
            <v/>
          </cell>
          <cell r="E398" t="str">
            <v>TJ/25-26/184-CS</v>
          </cell>
          <cell r="F398" t="str">
            <v>P5</v>
          </cell>
          <cell r="G398">
            <v>0</v>
          </cell>
          <cell r="H398">
            <v>1</v>
          </cell>
          <cell r="I398" t="str">
            <v>Yes</v>
          </cell>
          <cell r="J398" t="str">
            <v/>
          </cell>
          <cell r="K398" t="str">
            <v>Yes</v>
          </cell>
          <cell r="L398" t="str">
            <v/>
          </cell>
          <cell r="M398" t="str">
            <v/>
          </cell>
          <cell r="N398" t="str">
            <v>Spool</v>
          </cell>
          <cell r="O398">
            <v>0</v>
          </cell>
          <cell r="P398">
            <v>0</v>
          </cell>
          <cell r="Q398" t="str">
            <v>CS</v>
          </cell>
          <cell r="R398">
            <v>1</v>
          </cell>
          <cell r="S398">
            <v>1</v>
          </cell>
          <cell r="T398">
            <v>8.4777199999999997</v>
          </cell>
          <cell r="U398">
            <v>8.4777199999999997</v>
          </cell>
        </row>
        <row r="399">
          <cell r="B399" t="str">
            <v>V17551-PIND-0547-01</v>
          </cell>
          <cell r="C399" t="str">
            <v>PROD/25-26/13935</v>
          </cell>
          <cell r="D399" t="str">
            <v/>
          </cell>
          <cell r="E399" t="str">
            <v>TJ/25-26/184-CS</v>
          </cell>
          <cell r="F399" t="str">
            <v>P5</v>
          </cell>
          <cell r="G399">
            <v>0</v>
          </cell>
          <cell r="H399">
            <v>1</v>
          </cell>
          <cell r="I399" t="str">
            <v>Yes</v>
          </cell>
          <cell r="J399" t="str">
            <v/>
          </cell>
          <cell r="K399" t="str">
            <v>Yes</v>
          </cell>
          <cell r="L399" t="str">
            <v/>
          </cell>
          <cell r="M399" t="str">
            <v/>
          </cell>
          <cell r="N399" t="str">
            <v>Spool</v>
          </cell>
          <cell r="O399">
            <v>0</v>
          </cell>
          <cell r="P399">
            <v>0</v>
          </cell>
          <cell r="Q399" t="str">
            <v>CS</v>
          </cell>
          <cell r="R399">
            <v>1</v>
          </cell>
          <cell r="S399">
            <v>1</v>
          </cell>
          <cell r="T399">
            <v>8.4096799999999998</v>
          </cell>
          <cell r="U399">
            <v>8.4096799999999998</v>
          </cell>
        </row>
        <row r="400">
          <cell r="B400" t="str">
            <v>V17551-PIND-0548-01</v>
          </cell>
          <cell r="C400" t="str">
            <v>PROD/25-26/13936</v>
          </cell>
          <cell r="D400" t="str">
            <v/>
          </cell>
          <cell r="E400" t="str">
            <v>TJ/25-26/184-CS</v>
          </cell>
          <cell r="F400" t="str">
            <v>P5</v>
          </cell>
          <cell r="G400">
            <v>0</v>
          </cell>
          <cell r="H400">
            <v>1</v>
          </cell>
          <cell r="I400" t="str">
            <v>Yes</v>
          </cell>
          <cell r="J400" t="str">
            <v/>
          </cell>
          <cell r="K400" t="str">
            <v>No</v>
          </cell>
          <cell r="L400" t="str">
            <v/>
          </cell>
          <cell r="M400" t="str">
            <v/>
          </cell>
          <cell r="N400" t="str">
            <v>Spool</v>
          </cell>
          <cell r="O400">
            <v>0</v>
          </cell>
          <cell r="P400">
            <v>0</v>
          </cell>
          <cell r="Q400" t="str">
            <v>CS</v>
          </cell>
          <cell r="R400">
            <v>1</v>
          </cell>
          <cell r="S400">
            <v>1</v>
          </cell>
          <cell r="T400">
            <v>9.7121600000000008</v>
          </cell>
          <cell r="U400">
            <v>9.7121600000000008</v>
          </cell>
        </row>
        <row r="401">
          <cell r="B401" t="str">
            <v>V17551-PIND-0549-01</v>
          </cell>
          <cell r="C401" t="str">
            <v>PROD/25-26/13937</v>
          </cell>
          <cell r="D401" t="str">
            <v/>
          </cell>
          <cell r="E401" t="str">
            <v>TJ/25-26/184-CS</v>
          </cell>
          <cell r="F401" t="str">
            <v>P5</v>
          </cell>
          <cell r="G401">
            <v>0</v>
          </cell>
          <cell r="H401">
            <v>1</v>
          </cell>
          <cell r="I401" t="str">
            <v>Yes</v>
          </cell>
          <cell r="J401" t="str">
            <v/>
          </cell>
          <cell r="K401" t="str">
            <v>No</v>
          </cell>
          <cell r="L401" t="str">
            <v/>
          </cell>
          <cell r="M401" t="str">
            <v/>
          </cell>
          <cell r="N401" t="str">
            <v>Spool</v>
          </cell>
          <cell r="O401">
            <v>0</v>
          </cell>
          <cell r="P401">
            <v>0</v>
          </cell>
          <cell r="Q401" t="str">
            <v>CS</v>
          </cell>
          <cell r="R401">
            <v>1</v>
          </cell>
          <cell r="S401">
            <v>1</v>
          </cell>
          <cell r="T401">
            <v>12.79664</v>
          </cell>
          <cell r="U401">
            <v>12.79664</v>
          </cell>
        </row>
        <row r="402">
          <cell r="B402" t="str">
            <v>V17551-PIND-0550-01</v>
          </cell>
          <cell r="C402" t="str">
            <v>PROD/25-26/13938</v>
          </cell>
          <cell r="D402" t="str">
            <v/>
          </cell>
          <cell r="E402" t="str">
            <v>TJ/25-26/184-CS</v>
          </cell>
          <cell r="F402" t="str">
            <v>P5</v>
          </cell>
          <cell r="G402">
            <v>0</v>
          </cell>
          <cell r="H402">
            <v>1</v>
          </cell>
          <cell r="I402" t="str">
            <v>Yes</v>
          </cell>
          <cell r="J402" t="str">
            <v/>
          </cell>
          <cell r="K402" t="str">
            <v>No</v>
          </cell>
          <cell r="L402" t="str">
            <v/>
          </cell>
          <cell r="M402" t="str">
            <v/>
          </cell>
          <cell r="N402" t="str">
            <v>Spool</v>
          </cell>
          <cell r="O402">
            <v>0</v>
          </cell>
          <cell r="P402">
            <v>0</v>
          </cell>
          <cell r="Q402" t="str">
            <v>CS</v>
          </cell>
          <cell r="R402">
            <v>1</v>
          </cell>
          <cell r="S402">
            <v>1</v>
          </cell>
          <cell r="T402">
            <v>12.90992</v>
          </cell>
          <cell r="U402">
            <v>12.90992</v>
          </cell>
        </row>
        <row r="403">
          <cell r="B403" t="str">
            <v>V17551-PIND-0551-01</v>
          </cell>
          <cell r="C403" t="str">
            <v>PROD/25-26/13939</v>
          </cell>
          <cell r="D403" t="str">
            <v/>
          </cell>
          <cell r="E403" t="str">
            <v>TJ/25-26/184-CS</v>
          </cell>
          <cell r="F403" t="str">
            <v>P5</v>
          </cell>
          <cell r="G403">
            <v>0</v>
          </cell>
          <cell r="H403">
            <v>1</v>
          </cell>
          <cell r="I403" t="str">
            <v>Yes</v>
          </cell>
          <cell r="J403" t="str">
            <v/>
          </cell>
          <cell r="K403" t="str">
            <v>No</v>
          </cell>
          <cell r="L403" t="str">
            <v/>
          </cell>
          <cell r="M403" t="str">
            <v/>
          </cell>
          <cell r="N403" t="str">
            <v>Spool</v>
          </cell>
          <cell r="O403">
            <v>0</v>
          </cell>
          <cell r="P403">
            <v>0</v>
          </cell>
          <cell r="Q403" t="str">
            <v>CS</v>
          </cell>
          <cell r="R403">
            <v>1</v>
          </cell>
          <cell r="S403">
            <v>1</v>
          </cell>
          <cell r="T403">
            <v>15.991160000000001</v>
          </cell>
          <cell r="U403">
            <v>15.991160000000001</v>
          </cell>
        </row>
        <row r="404">
          <cell r="B404" t="str">
            <v>V17551-PIND-0552-01</v>
          </cell>
          <cell r="C404" t="str">
            <v>PROD/25-26/13646</v>
          </cell>
          <cell r="D404" t="str">
            <v/>
          </cell>
          <cell r="E404" t="str">
            <v>TJ/25-26/184-CS</v>
          </cell>
          <cell r="F404" t="str">
            <v>P5</v>
          </cell>
          <cell r="G404">
            <v>0</v>
          </cell>
          <cell r="H404">
            <v>1</v>
          </cell>
          <cell r="I404" t="str">
            <v>Yes</v>
          </cell>
          <cell r="J404" t="str">
            <v/>
          </cell>
          <cell r="K404" t="str">
            <v>No</v>
          </cell>
          <cell r="L404" t="str">
            <v/>
          </cell>
          <cell r="M404" t="str">
            <v/>
          </cell>
          <cell r="N404" t="str">
            <v>Spool</v>
          </cell>
          <cell r="O404">
            <v>0</v>
          </cell>
          <cell r="P404">
            <v>0</v>
          </cell>
          <cell r="Q404" t="str">
            <v>CS</v>
          </cell>
          <cell r="R404">
            <v>1</v>
          </cell>
          <cell r="S404">
            <v>1</v>
          </cell>
          <cell r="T404">
            <v>8.5133600000000005</v>
          </cell>
          <cell r="U404">
            <v>8.5133600000000005</v>
          </cell>
        </row>
        <row r="405">
          <cell r="B405" t="str">
            <v>V17551-PIND-0553-01</v>
          </cell>
          <cell r="C405" t="str">
            <v>PROD/25-26/13647</v>
          </cell>
          <cell r="D405" t="str">
            <v/>
          </cell>
          <cell r="E405" t="str">
            <v>TJ/25-26/184-CS</v>
          </cell>
          <cell r="F405" t="str">
            <v>P5</v>
          </cell>
          <cell r="G405">
            <v>0</v>
          </cell>
          <cell r="H405">
            <v>1</v>
          </cell>
          <cell r="I405" t="str">
            <v>Yes</v>
          </cell>
          <cell r="J405" t="str">
            <v/>
          </cell>
          <cell r="K405" t="str">
            <v>No</v>
          </cell>
          <cell r="L405" t="str">
            <v/>
          </cell>
          <cell r="M405" t="str">
            <v/>
          </cell>
          <cell r="N405" t="str">
            <v>Spool</v>
          </cell>
          <cell r="O405">
            <v>0</v>
          </cell>
          <cell r="P405">
            <v>0</v>
          </cell>
          <cell r="Q405" t="str">
            <v>CS</v>
          </cell>
          <cell r="R405">
            <v>1</v>
          </cell>
          <cell r="S405">
            <v>1</v>
          </cell>
          <cell r="T405">
            <v>8.5652000000000008</v>
          </cell>
          <cell r="U405">
            <v>8.5652000000000008</v>
          </cell>
        </row>
        <row r="406">
          <cell r="B406" t="str">
            <v>V17551-PIND-0554-01</v>
          </cell>
          <cell r="C406" t="str">
            <v>PROD/25-26/13648</v>
          </cell>
          <cell r="D406" t="str">
            <v/>
          </cell>
          <cell r="E406" t="str">
            <v>TJ/25-26/184-CS</v>
          </cell>
          <cell r="F406" t="str">
            <v>P5</v>
          </cell>
          <cell r="G406">
            <v>0</v>
          </cell>
          <cell r="H406">
            <v>1</v>
          </cell>
          <cell r="I406" t="str">
            <v>Yes</v>
          </cell>
          <cell r="J406" t="str">
            <v/>
          </cell>
          <cell r="K406" t="str">
            <v>No</v>
          </cell>
          <cell r="L406" t="str">
            <v/>
          </cell>
          <cell r="M406" t="str">
            <v/>
          </cell>
          <cell r="N406" t="str">
            <v>Spool</v>
          </cell>
          <cell r="O406">
            <v>0</v>
          </cell>
          <cell r="P406">
            <v>0</v>
          </cell>
          <cell r="Q406" t="str">
            <v>CS</v>
          </cell>
          <cell r="R406">
            <v>1</v>
          </cell>
          <cell r="S406">
            <v>1</v>
          </cell>
          <cell r="T406">
            <v>8.5133600000000005</v>
          </cell>
          <cell r="U406">
            <v>8.5133600000000005</v>
          </cell>
        </row>
        <row r="407">
          <cell r="B407" t="str">
            <v>V17551-PIND-0555-01</v>
          </cell>
          <cell r="C407" t="str">
            <v>PROD/25-26/13649</v>
          </cell>
          <cell r="D407" t="str">
            <v/>
          </cell>
          <cell r="E407" t="str">
            <v>TJ/25-26/184-CS</v>
          </cell>
          <cell r="F407" t="str">
            <v>P5</v>
          </cell>
          <cell r="G407">
            <v>0</v>
          </cell>
          <cell r="H407">
            <v>1</v>
          </cell>
          <cell r="I407" t="str">
            <v>Yes</v>
          </cell>
          <cell r="J407" t="str">
            <v/>
          </cell>
          <cell r="K407" t="str">
            <v>No</v>
          </cell>
          <cell r="L407" t="str">
            <v/>
          </cell>
          <cell r="M407" t="str">
            <v/>
          </cell>
          <cell r="N407" t="str">
            <v>Spool</v>
          </cell>
          <cell r="O407">
            <v>0</v>
          </cell>
          <cell r="P407">
            <v>0</v>
          </cell>
          <cell r="Q407" t="str">
            <v>CS</v>
          </cell>
          <cell r="R407">
            <v>1</v>
          </cell>
          <cell r="S407">
            <v>1</v>
          </cell>
          <cell r="T407">
            <v>8.5652000000000008</v>
          </cell>
          <cell r="U407">
            <v>8.5652000000000008</v>
          </cell>
        </row>
        <row r="408">
          <cell r="B408" t="str">
            <v>V17551-PIND-0556-01</v>
          </cell>
          <cell r="C408" t="str">
            <v>PROD/25-26/13940</v>
          </cell>
          <cell r="D408" t="str">
            <v/>
          </cell>
          <cell r="E408" t="str">
            <v>TJ/25-26/184-CS</v>
          </cell>
          <cell r="F408" t="str">
            <v>P5</v>
          </cell>
          <cell r="G408">
            <v>0</v>
          </cell>
          <cell r="H408">
            <v>1</v>
          </cell>
          <cell r="I408" t="str">
            <v>Yes</v>
          </cell>
          <cell r="J408" t="str">
            <v/>
          </cell>
          <cell r="K408" t="str">
            <v>Yes</v>
          </cell>
          <cell r="L408" t="str">
            <v/>
          </cell>
          <cell r="M408" t="str">
            <v/>
          </cell>
          <cell r="N408" t="str">
            <v>Spool</v>
          </cell>
          <cell r="O408">
            <v>0</v>
          </cell>
          <cell r="P408">
            <v>0</v>
          </cell>
          <cell r="Q408" t="str">
            <v>CS</v>
          </cell>
          <cell r="R408">
            <v>1</v>
          </cell>
          <cell r="S408">
            <v>1</v>
          </cell>
          <cell r="T408">
            <v>20.21856</v>
          </cell>
          <cell r="U408">
            <v>20.21856</v>
          </cell>
        </row>
        <row r="409">
          <cell r="B409" t="str">
            <v>V17551-PIND-0557-01</v>
          </cell>
          <cell r="C409" t="str">
            <v>PROD/25-26/13941</v>
          </cell>
          <cell r="D409" t="str">
            <v/>
          </cell>
          <cell r="E409" t="str">
            <v>TJ/25-26/184-CS</v>
          </cell>
          <cell r="F409" t="str">
            <v>P5</v>
          </cell>
          <cell r="G409">
            <v>0</v>
          </cell>
          <cell r="H409">
            <v>1</v>
          </cell>
          <cell r="I409" t="str">
            <v>Yes</v>
          </cell>
          <cell r="J409" t="str">
            <v/>
          </cell>
          <cell r="K409" t="str">
            <v>Yes</v>
          </cell>
          <cell r="L409" t="str">
            <v/>
          </cell>
          <cell r="M409" t="str">
            <v/>
          </cell>
          <cell r="N409" t="str">
            <v>Spool</v>
          </cell>
          <cell r="O409">
            <v>0</v>
          </cell>
          <cell r="P409">
            <v>0</v>
          </cell>
          <cell r="Q409" t="str">
            <v>CS</v>
          </cell>
          <cell r="R409">
            <v>1</v>
          </cell>
          <cell r="S409">
            <v>1</v>
          </cell>
          <cell r="T409">
            <v>22.068719999999999</v>
          </cell>
          <cell r="U409">
            <v>22.068719999999999</v>
          </cell>
        </row>
        <row r="410">
          <cell r="B410" t="str">
            <v>V17551-PIND-0558-01</v>
          </cell>
          <cell r="C410" t="str">
            <v>PROD/25-26/13942</v>
          </cell>
          <cell r="D410" t="str">
            <v/>
          </cell>
          <cell r="E410" t="str">
            <v>TJ/25-26/184-CS</v>
          </cell>
          <cell r="F410" t="str">
            <v>P5</v>
          </cell>
          <cell r="G410">
            <v>0</v>
          </cell>
          <cell r="H410">
            <v>1</v>
          </cell>
          <cell r="I410" t="str">
            <v>Yes</v>
          </cell>
          <cell r="J410" t="str">
            <v/>
          </cell>
          <cell r="K410" t="str">
            <v>No</v>
          </cell>
          <cell r="L410" t="str">
            <v/>
          </cell>
          <cell r="M410" t="str">
            <v/>
          </cell>
          <cell r="N410" t="str">
            <v>Spool</v>
          </cell>
          <cell r="O410">
            <v>0</v>
          </cell>
          <cell r="P410">
            <v>0</v>
          </cell>
          <cell r="Q410" t="str">
            <v>CS</v>
          </cell>
          <cell r="R410">
            <v>1</v>
          </cell>
          <cell r="S410">
            <v>1</v>
          </cell>
          <cell r="T410">
            <v>5.8646000000000003</v>
          </cell>
          <cell r="U410">
            <v>5.8646000000000003</v>
          </cell>
        </row>
        <row r="411">
          <cell r="B411" t="str">
            <v>V17551-PIND-0559-01</v>
          </cell>
          <cell r="C411" t="str">
            <v>PROD/25-26/13943</v>
          </cell>
          <cell r="D411" t="str">
            <v/>
          </cell>
          <cell r="E411" t="str">
            <v>TJ/25-26/184-CS</v>
          </cell>
          <cell r="F411" t="str">
            <v>P5</v>
          </cell>
          <cell r="G411">
            <v>0</v>
          </cell>
          <cell r="H411">
            <v>1</v>
          </cell>
          <cell r="I411" t="str">
            <v>Yes</v>
          </cell>
          <cell r="J411" t="str">
            <v/>
          </cell>
          <cell r="K411" t="str">
            <v>No</v>
          </cell>
          <cell r="L411" t="str">
            <v/>
          </cell>
          <cell r="M411" t="str">
            <v/>
          </cell>
          <cell r="N411" t="str">
            <v>Spool</v>
          </cell>
          <cell r="O411">
            <v>0</v>
          </cell>
          <cell r="P411">
            <v>0</v>
          </cell>
          <cell r="Q411" t="str">
            <v>CS</v>
          </cell>
          <cell r="R411">
            <v>1</v>
          </cell>
          <cell r="S411">
            <v>1</v>
          </cell>
          <cell r="T411">
            <v>5.8601999999999999</v>
          </cell>
          <cell r="U411">
            <v>5.8601999999999999</v>
          </cell>
        </row>
        <row r="412">
          <cell r="B412" t="str">
            <v>V17551-PIND-0560-01</v>
          </cell>
          <cell r="C412" t="str">
            <v>PROD/25-26/13944</v>
          </cell>
          <cell r="D412" t="str">
            <v/>
          </cell>
          <cell r="E412" t="str">
            <v>TJ/25-26/184-CS</v>
          </cell>
          <cell r="F412" t="str">
            <v>P5</v>
          </cell>
          <cell r="G412">
            <v>0</v>
          </cell>
          <cell r="H412">
            <v>1</v>
          </cell>
          <cell r="I412" t="str">
            <v>Yes</v>
          </cell>
          <cell r="J412" t="str">
            <v/>
          </cell>
          <cell r="K412" t="str">
            <v>Yes</v>
          </cell>
          <cell r="L412" t="str">
            <v/>
          </cell>
          <cell r="M412" t="str">
            <v/>
          </cell>
          <cell r="N412" t="str">
            <v>Spool</v>
          </cell>
          <cell r="O412">
            <v>0</v>
          </cell>
          <cell r="P412">
            <v>0</v>
          </cell>
          <cell r="Q412" t="str">
            <v>CS</v>
          </cell>
          <cell r="R412">
            <v>1</v>
          </cell>
          <cell r="S412">
            <v>1</v>
          </cell>
          <cell r="T412">
            <v>3.6295999999999999</v>
          </cell>
          <cell r="U412">
            <v>3.6295999999999999</v>
          </cell>
        </row>
        <row r="413">
          <cell r="B413" t="str">
            <v>V17551-PIND-0561-01</v>
          </cell>
          <cell r="C413" t="str">
            <v>PROD/25-26/13945</v>
          </cell>
          <cell r="D413" t="str">
            <v/>
          </cell>
          <cell r="E413" t="str">
            <v>TJ/25-26/184-CS</v>
          </cell>
          <cell r="F413" t="str">
            <v>P5</v>
          </cell>
          <cell r="G413">
            <v>0</v>
          </cell>
          <cell r="H413">
            <v>1</v>
          </cell>
          <cell r="I413" t="str">
            <v>Yes</v>
          </cell>
          <cell r="J413" t="str">
            <v/>
          </cell>
          <cell r="K413" t="str">
            <v>Yes</v>
          </cell>
          <cell r="L413" t="str">
            <v/>
          </cell>
          <cell r="M413" t="str">
            <v/>
          </cell>
          <cell r="N413" t="str">
            <v>Spool</v>
          </cell>
          <cell r="O413">
            <v>0</v>
          </cell>
          <cell r="P413">
            <v>0</v>
          </cell>
          <cell r="Q413" t="str">
            <v>CS</v>
          </cell>
          <cell r="R413">
            <v>1</v>
          </cell>
          <cell r="S413">
            <v>1</v>
          </cell>
          <cell r="T413">
            <v>26.09592</v>
          </cell>
          <cell r="U413">
            <v>26.09592</v>
          </cell>
        </row>
        <row r="414">
          <cell r="B414" t="str">
            <v>V17551-PIND-0562-01</v>
          </cell>
          <cell r="C414" t="str">
            <v>PROD/25-26/14184</v>
          </cell>
          <cell r="D414" t="str">
            <v/>
          </cell>
          <cell r="E414" t="str">
            <v>TJ/25-26/184-CS</v>
          </cell>
          <cell r="F414" t="str">
            <v>P5</v>
          </cell>
          <cell r="G414">
            <v>0</v>
          </cell>
          <cell r="H414">
            <v>1</v>
          </cell>
          <cell r="I414" t="str">
            <v>Yes</v>
          </cell>
          <cell r="J414" t="str">
            <v/>
          </cell>
          <cell r="K414" t="str">
            <v>Yes</v>
          </cell>
          <cell r="L414" t="str">
            <v/>
          </cell>
          <cell r="M414" t="str">
            <v/>
          </cell>
          <cell r="N414" t="str">
            <v>Spool</v>
          </cell>
          <cell r="O414">
            <v>0</v>
          </cell>
          <cell r="P414">
            <v>0</v>
          </cell>
          <cell r="Q414" t="str">
            <v>CS</v>
          </cell>
          <cell r="R414">
            <v>1</v>
          </cell>
          <cell r="S414">
            <v>1</v>
          </cell>
          <cell r="T414">
            <v>7.0166000000000004</v>
          </cell>
          <cell r="U414">
            <v>7.0166000000000004</v>
          </cell>
        </row>
        <row r="415">
          <cell r="B415" t="str">
            <v>V17551-PIND-0563-01</v>
          </cell>
          <cell r="C415" t="str">
            <v>PROD/25-26/14126</v>
          </cell>
          <cell r="D415" t="str">
            <v/>
          </cell>
          <cell r="E415" t="str">
            <v>TJ/25-26/184-CS</v>
          </cell>
          <cell r="F415" t="str">
            <v>P5</v>
          </cell>
          <cell r="G415">
            <v>0</v>
          </cell>
          <cell r="H415">
            <v>1</v>
          </cell>
          <cell r="I415" t="str">
            <v>Yes</v>
          </cell>
          <cell r="J415" t="str">
            <v/>
          </cell>
          <cell r="K415" t="str">
            <v>Yes</v>
          </cell>
          <cell r="L415" t="str">
            <v/>
          </cell>
          <cell r="M415" t="str">
            <v/>
          </cell>
          <cell r="N415" t="str">
            <v>Spool</v>
          </cell>
          <cell r="O415">
            <v>0</v>
          </cell>
          <cell r="P415">
            <v>0</v>
          </cell>
          <cell r="Q415" t="str">
            <v>CS</v>
          </cell>
          <cell r="R415">
            <v>1</v>
          </cell>
          <cell r="S415">
            <v>1</v>
          </cell>
          <cell r="T415">
            <v>55.584040000000002</v>
          </cell>
          <cell r="U415">
            <v>55.584040000000002</v>
          </cell>
        </row>
        <row r="416">
          <cell r="B416" t="str">
            <v>V17551-PIND-0564-01</v>
          </cell>
          <cell r="C416" t="str">
            <v>PROD/25-26/14127</v>
          </cell>
          <cell r="D416" t="str">
            <v/>
          </cell>
          <cell r="E416" t="str">
            <v>TJ/25-26/184-CS</v>
          </cell>
          <cell r="F416" t="str">
            <v>P5</v>
          </cell>
          <cell r="G416">
            <v>0</v>
          </cell>
          <cell r="H416">
            <v>1</v>
          </cell>
          <cell r="I416" t="str">
            <v>Yes</v>
          </cell>
          <cell r="J416" t="str">
            <v/>
          </cell>
          <cell r="K416" t="str">
            <v>Yes</v>
          </cell>
          <cell r="L416" t="str">
            <v/>
          </cell>
          <cell r="M416" t="str">
            <v/>
          </cell>
          <cell r="N416" t="str">
            <v>Spool</v>
          </cell>
          <cell r="O416">
            <v>0</v>
          </cell>
          <cell r="P416">
            <v>0</v>
          </cell>
          <cell r="Q416" t="str">
            <v>CS</v>
          </cell>
          <cell r="R416">
            <v>1</v>
          </cell>
          <cell r="S416">
            <v>1</v>
          </cell>
          <cell r="T416">
            <v>8.0142000000000007</v>
          </cell>
          <cell r="U416">
            <v>8.0142000000000007</v>
          </cell>
        </row>
        <row r="417">
          <cell r="B417" t="str">
            <v>V17551-PIND-0565-01</v>
          </cell>
          <cell r="C417" t="str">
            <v>PROD/25-26/13650</v>
          </cell>
          <cell r="D417" t="str">
            <v/>
          </cell>
          <cell r="E417" t="str">
            <v>TJ/25-26/184-CS</v>
          </cell>
          <cell r="F417" t="str">
            <v>P5</v>
          </cell>
          <cell r="G417">
            <v>0</v>
          </cell>
          <cell r="H417">
            <v>1</v>
          </cell>
          <cell r="I417" t="str">
            <v>Yes</v>
          </cell>
          <cell r="J417" t="str">
            <v/>
          </cell>
          <cell r="K417" t="str">
            <v>No</v>
          </cell>
          <cell r="L417" t="str">
            <v/>
          </cell>
          <cell r="M417" t="str">
            <v/>
          </cell>
          <cell r="N417" t="str">
            <v>Spool</v>
          </cell>
          <cell r="O417">
            <v>0</v>
          </cell>
          <cell r="P417">
            <v>0</v>
          </cell>
          <cell r="Q417" t="str">
            <v>CS</v>
          </cell>
          <cell r="R417">
            <v>1</v>
          </cell>
          <cell r="S417">
            <v>1</v>
          </cell>
          <cell r="T417">
            <v>3.8387199999999999</v>
          </cell>
          <cell r="U417">
            <v>3.8387199999999999</v>
          </cell>
        </row>
        <row r="418">
          <cell r="B418" t="str">
            <v>V17551-PIND-0566-01</v>
          </cell>
          <cell r="C418" t="str">
            <v>PROD/25-26/13651</v>
          </cell>
          <cell r="D418" t="str">
            <v/>
          </cell>
          <cell r="E418" t="str">
            <v>TJ/25-26/184-CS</v>
          </cell>
          <cell r="F418" t="str">
            <v>P5</v>
          </cell>
          <cell r="G418">
            <v>0</v>
          </cell>
          <cell r="H418">
            <v>1</v>
          </cell>
          <cell r="I418" t="str">
            <v>Yes</v>
          </cell>
          <cell r="J418" t="str">
            <v/>
          </cell>
          <cell r="K418" t="str">
            <v>Yes</v>
          </cell>
          <cell r="L418" t="str">
            <v/>
          </cell>
          <cell r="M418" t="str">
            <v/>
          </cell>
          <cell r="N418" t="str">
            <v>Spool</v>
          </cell>
          <cell r="O418">
            <v>0</v>
          </cell>
          <cell r="P418">
            <v>0</v>
          </cell>
          <cell r="Q418" t="str">
            <v>CS</v>
          </cell>
          <cell r="R418">
            <v>1</v>
          </cell>
          <cell r="S418">
            <v>1</v>
          </cell>
          <cell r="T418">
            <v>3.8387199999999999</v>
          </cell>
          <cell r="U418">
            <v>3.8387199999999999</v>
          </cell>
        </row>
        <row r="419">
          <cell r="B419" t="str">
            <v>V17551-PIND-0567-01</v>
          </cell>
          <cell r="C419" t="str">
            <v>PROD/25-26/13652</v>
          </cell>
          <cell r="D419" t="str">
            <v/>
          </cell>
          <cell r="E419" t="str">
            <v>TJ/25-26/184-CS</v>
          </cell>
          <cell r="F419" t="str">
            <v>P5</v>
          </cell>
          <cell r="G419">
            <v>0</v>
          </cell>
          <cell r="H419">
            <v>1</v>
          </cell>
          <cell r="I419" t="str">
            <v>Yes</v>
          </cell>
          <cell r="J419" t="str">
            <v/>
          </cell>
          <cell r="K419" t="str">
            <v>Yes</v>
          </cell>
          <cell r="L419" t="str">
            <v/>
          </cell>
          <cell r="M419" t="str">
            <v/>
          </cell>
          <cell r="N419" t="str">
            <v>Spool</v>
          </cell>
          <cell r="O419">
            <v>0</v>
          </cell>
          <cell r="P419">
            <v>0</v>
          </cell>
          <cell r="Q419" t="str">
            <v>CS</v>
          </cell>
          <cell r="R419">
            <v>1</v>
          </cell>
          <cell r="S419">
            <v>1</v>
          </cell>
          <cell r="T419">
            <v>2.9016000000000002</v>
          </cell>
          <cell r="U419">
            <v>2.9016000000000002</v>
          </cell>
        </row>
        <row r="420">
          <cell r="B420" t="str">
            <v>V17551-PIND-0568-01</v>
          </cell>
          <cell r="C420" t="str">
            <v>PROD/25-26/13948</v>
          </cell>
          <cell r="D420" t="str">
            <v/>
          </cell>
          <cell r="E420" t="str">
            <v>TJ/25-26/184-CS</v>
          </cell>
          <cell r="F420" t="str">
            <v>P5</v>
          </cell>
          <cell r="G420">
            <v>0</v>
          </cell>
          <cell r="H420">
            <v>1</v>
          </cell>
          <cell r="I420" t="str">
            <v>Yes</v>
          </cell>
          <cell r="J420" t="str">
            <v/>
          </cell>
          <cell r="K420" t="str">
            <v>No</v>
          </cell>
          <cell r="L420" t="str">
            <v/>
          </cell>
          <cell r="M420" t="str">
            <v/>
          </cell>
          <cell r="N420" t="str">
            <v>Spool</v>
          </cell>
          <cell r="O420">
            <v>0</v>
          </cell>
          <cell r="P420">
            <v>0</v>
          </cell>
          <cell r="Q420" t="str">
            <v>CS</v>
          </cell>
          <cell r="R420">
            <v>1</v>
          </cell>
          <cell r="S420">
            <v>1</v>
          </cell>
          <cell r="T420">
            <v>4.5031600000000003</v>
          </cell>
          <cell r="U420">
            <v>4.5031600000000003</v>
          </cell>
        </row>
        <row r="421">
          <cell r="B421" t="str">
            <v>V17551-PIND-0569-01</v>
          </cell>
          <cell r="C421" t="str">
            <v>PROD/25-26/13949</v>
          </cell>
          <cell r="D421" t="str">
            <v/>
          </cell>
          <cell r="E421" t="str">
            <v>TJ/25-26/184-CS</v>
          </cell>
          <cell r="F421" t="str">
            <v>P5</v>
          </cell>
          <cell r="G421">
            <v>0</v>
          </cell>
          <cell r="H421">
            <v>1</v>
          </cell>
          <cell r="I421" t="str">
            <v>Yes</v>
          </cell>
          <cell r="J421" t="str">
            <v/>
          </cell>
          <cell r="K421" t="str">
            <v>Yes</v>
          </cell>
          <cell r="L421" t="str">
            <v/>
          </cell>
          <cell r="M421" t="str">
            <v/>
          </cell>
          <cell r="N421" t="str">
            <v>Spool</v>
          </cell>
          <cell r="O421">
            <v>0</v>
          </cell>
          <cell r="P421">
            <v>0</v>
          </cell>
          <cell r="Q421" t="str">
            <v>CS</v>
          </cell>
          <cell r="R421">
            <v>1</v>
          </cell>
          <cell r="S421">
            <v>1</v>
          </cell>
          <cell r="T421">
            <v>22.392160000000001</v>
          </cell>
          <cell r="U421">
            <v>22.392160000000001</v>
          </cell>
        </row>
        <row r="422">
          <cell r="B422" t="str">
            <v>V17551-PIND-0570-01</v>
          </cell>
          <cell r="C422" t="str">
            <v>PROD/25-26/14128</v>
          </cell>
          <cell r="D422" t="str">
            <v/>
          </cell>
          <cell r="E422" t="str">
            <v>TJ/25-26/184-CS</v>
          </cell>
          <cell r="F422" t="str">
            <v>P5</v>
          </cell>
          <cell r="G422">
            <v>0</v>
          </cell>
          <cell r="H422">
            <v>1</v>
          </cell>
          <cell r="I422" t="str">
            <v>Yes</v>
          </cell>
          <cell r="J422" t="str">
            <v/>
          </cell>
          <cell r="K422" t="str">
            <v>Yes</v>
          </cell>
          <cell r="L422" t="str">
            <v/>
          </cell>
          <cell r="M422" t="str">
            <v/>
          </cell>
          <cell r="N422" t="str">
            <v>Spool</v>
          </cell>
          <cell r="O422">
            <v>0</v>
          </cell>
          <cell r="P422">
            <v>0</v>
          </cell>
          <cell r="Q422" t="str">
            <v>CS</v>
          </cell>
          <cell r="R422">
            <v>1</v>
          </cell>
          <cell r="S422">
            <v>1</v>
          </cell>
          <cell r="T422">
            <v>9.3615600000000008</v>
          </cell>
          <cell r="U422">
            <v>9.3615600000000008</v>
          </cell>
        </row>
        <row r="423">
          <cell r="B423" t="str">
            <v>V17551-PIND-0571-01</v>
          </cell>
          <cell r="C423" t="str">
            <v>PROD/25-26/13950</v>
          </cell>
          <cell r="D423" t="str">
            <v/>
          </cell>
          <cell r="E423" t="str">
            <v>TJ/25-26/184-CS</v>
          </cell>
          <cell r="F423" t="str">
            <v>P5</v>
          </cell>
          <cell r="G423">
            <v>0</v>
          </cell>
          <cell r="H423">
            <v>1</v>
          </cell>
          <cell r="I423" t="str">
            <v>Yes</v>
          </cell>
          <cell r="J423" t="str">
            <v/>
          </cell>
          <cell r="K423" t="str">
            <v>No</v>
          </cell>
          <cell r="L423" t="str">
            <v/>
          </cell>
          <cell r="M423" t="str">
            <v/>
          </cell>
          <cell r="N423" t="str">
            <v>Spool</v>
          </cell>
          <cell r="O423">
            <v>0</v>
          </cell>
          <cell r="P423">
            <v>0</v>
          </cell>
          <cell r="Q423" t="str">
            <v>CS</v>
          </cell>
          <cell r="R423">
            <v>1</v>
          </cell>
          <cell r="S423">
            <v>1</v>
          </cell>
          <cell r="T423">
            <v>6.1244399999999999</v>
          </cell>
          <cell r="U423">
            <v>6.1244399999999999</v>
          </cell>
        </row>
        <row r="424">
          <cell r="B424" t="str">
            <v>V17551-PIND-0572-01</v>
          </cell>
          <cell r="C424" t="str">
            <v>PROD/25-26/13653</v>
          </cell>
          <cell r="D424" t="str">
            <v/>
          </cell>
          <cell r="E424" t="str">
            <v>TJ/25-26/184-CS</v>
          </cell>
          <cell r="F424" t="str">
            <v>P5</v>
          </cell>
          <cell r="G424">
            <v>0</v>
          </cell>
          <cell r="H424">
            <v>1</v>
          </cell>
          <cell r="I424" t="str">
            <v>Yes</v>
          </cell>
          <cell r="J424" t="str">
            <v/>
          </cell>
          <cell r="K424" t="str">
            <v>No</v>
          </cell>
          <cell r="L424" t="str">
            <v/>
          </cell>
          <cell r="M424" t="str">
            <v/>
          </cell>
          <cell r="N424" t="str">
            <v>Spool</v>
          </cell>
          <cell r="O424">
            <v>0</v>
          </cell>
          <cell r="P424">
            <v>0</v>
          </cell>
          <cell r="Q424" t="str">
            <v>CS</v>
          </cell>
          <cell r="R424">
            <v>1</v>
          </cell>
          <cell r="S424">
            <v>1</v>
          </cell>
          <cell r="T424">
            <v>4.8700799999999997</v>
          </cell>
          <cell r="U424">
            <v>4.8700799999999997</v>
          </cell>
        </row>
        <row r="425">
          <cell r="B425" t="str">
            <v>V17551-PIND-0573-01</v>
          </cell>
          <cell r="C425" t="str">
            <v>PROD/25-26/13951</v>
          </cell>
          <cell r="D425" t="str">
            <v/>
          </cell>
          <cell r="E425" t="str">
            <v>TJ/25-26/184-CS</v>
          </cell>
          <cell r="F425" t="str">
            <v>P5</v>
          </cell>
          <cell r="G425">
            <v>0</v>
          </cell>
          <cell r="H425">
            <v>1</v>
          </cell>
          <cell r="I425" t="str">
            <v>Yes</v>
          </cell>
          <cell r="J425" t="str">
            <v/>
          </cell>
          <cell r="K425" t="str">
            <v>Yes</v>
          </cell>
          <cell r="L425" t="str">
            <v/>
          </cell>
          <cell r="M425" t="str">
            <v/>
          </cell>
          <cell r="N425" t="str">
            <v>Spool</v>
          </cell>
          <cell r="O425">
            <v>0</v>
          </cell>
          <cell r="P425">
            <v>0</v>
          </cell>
          <cell r="Q425" t="str">
            <v>CS</v>
          </cell>
          <cell r="R425">
            <v>1</v>
          </cell>
          <cell r="S425">
            <v>1</v>
          </cell>
          <cell r="T425">
            <v>10.768359999999999</v>
          </cell>
          <cell r="U425">
            <v>10.768359999999999</v>
          </cell>
        </row>
        <row r="426">
          <cell r="B426" t="str">
            <v>V17551-PIND-0574-07</v>
          </cell>
          <cell r="C426" t="str">
            <v>PROD/25-26/13952</v>
          </cell>
          <cell r="D426" t="str">
            <v/>
          </cell>
          <cell r="E426" t="str">
            <v>TJ/25-26/184-CS</v>
          </cell>
          <cell r="F426" t="str">
            <v>P5</v>
          </cell>
          <cell r="G426">
            <v>0</v>
          </cell>
          <cell r="H426">
            <v>1</v>
          </cell>
          <cell r="I426" t="str">
            <v>Yes</v>
          </cell>
          <cell r="J426" t="str">
            <v/>
          </cell>
          <cell r="K426" t="str">
            <v>Yes</v>
          </cell>
          <cell r="L426" t="str">
            <v/>
          </cell>
          <cell r="M426" t="str">
            <v/>
          </cell>
          <cell r="N426" t="str">
            <v>Spool</v>
          </cell>
          <cell r="O426">
            <v>0</v>
          </cell>
          <cell r="P426">
            <v>0</v>
          </cell>
          <cell r="Q426" t="str">
            <v>CS</v>
          </cell>
          <cell r="R426">
            <v>1</v>
          </cell>
          <cell r="S426">
            <v>1</v>
          </cell>
          <cell r="T426">
            <v>92.365160000000003</v>
          </cell>
          <cell r="U426">
            <v>92.365160000000003</v>
          </cell>
        </row>
        <row r="427">
          <cell r="B427" t="str">
            <v>V17551-PIND-0575-06</v>
          </cell>
          <cell r="C427" t="str">
            <v>PROD/25-26/13953</v>
          </cell>
          <cell r="D427" t="str">
            <v/>
          </cell>
          <cell r="E427" t="str">
            <v>TJ/25-26/184-CS</v>
          </cell>
          <cell r="F427" t="str">
            <v>P5</v>
          </cell>
          <cell r="G427">
            <v>0</v>
          </cell>
          <cell r="H427">
            <v>1</v>
          </cell>
          <cell r="I427" t="str">
            <v>Yes</v>
          </cell>
          <cell r="J427" t="str">
            <v/>
          </cell>
          <cell r="K427" t="str">
            <v>Yes</v>
          </cell>
          <cell r="L427" t="str">
            <v/>
          </cell>
          <cell r="M427" t="str">
            <v/>
          </cell>
          <cell r="N427" t="str">
            <v>Spool</v>
          </cell>
          <cell r="O427">
            <v>0</v>
          </cell>
          <cell r="P427">
            <v>0</v>
          </cell>
          <cell r="Q427" t="str">
            <v>CS</v>
          </cell>
          <cell r="R427">
            <v>1</v>
          </cell>
          <cell r="S427">
            <v>1</v>
          </cell>
          <cell r="T427">
            <v>45.6</v>
          </cell>
          <cell r="U427">
            <v>45.6</v>
          </cell>
        </row>
        <row r="428">
          <cell r="B428" t="str">
            <v>V17551-PIND-0576-01</v>
          </cell>
          <cell r="C428" t="str">
            <v>PROD/25-26/13954</v>
          </cell>
          <cell r="D428" t="str">
            <v/>
          </cell>
          <cell r="E428" t="str">
            <v>TJ/25-26/184-CS</v>
          </cell>
          <cell r="F428" t="str">
            <v>P5</v>
          </cell>
          <cell r="G428">
            <v>0</v>
          </cell>
          <cell r="H428">
            <v>1</v>
          </cell>
          <cell r="I428" t="str">
            <v>Yes</v>
          </cell>
          <cell r="J428" t="str">
            <v/>
          </cell>
          <cell r="K428" t="str">
            <v>Yes</v>
          </cell>
          <cell r="L428" t="str">
            <v/>
          </cell>
          <cell r="M428" t="str">
            <v/>
          </cell>
          <cell r="N428" t="str">
            <v>Spool</v>
          </cell>
          <cell r="O428">
            <v>0</v>
          </cell>
          <cell r="P428">
            <v>0</v>
          </cell>
          <cell r="Q428" t="str">
            <v>CS</v>
          </cell>
          <cell r="R428">
            <v>1</v>
          </cell>
          <cell r="S428">
            <v>1</v>
          </cell>
          <cell r="T428">
            <v>0.64980000000000004</v>
          </cell>
          <cell r="U428">
            <v>0.64980000000000004</v>
          </cell>
        </row>
        <row r="429">
          <cell r="B429" t="str">
            <v>V17551-PIND-0577-01</v>
          </cell>
          <cell r="C429" t="str">
            <v>PROD/25-26/13955</v>
          </cell>
          <cell r="D429" t="str">
            <v/>
          </cell>
          <cell r="E429" t="str">
            <v>TJ/25-26/184-CS</v>
          </cell>
          <cell r="F429" t="str">
            <v>P5</v>
          </cell>
          <cell r="G429">
            <v>0</v>
          </cell>
          <cell r="H429">
            <v>1</v>
          </cell>
          <cell r="I429" t="str">
            <v>Yes</v>
          </cell>
          <cell r="J429" t="str">
            <v/>
          </cell>
          <cell r="K429" t="str">
            <v>Yes</v>
          </cell>
          <cell r="L429" t="str">
            <v/>
          </cell>
          <cell r="M429" t="str">
            <v/>
          </cell>
          <cell r="N429" t="str">
            <v>Spool</v>
          </cell>
          <cell r="O429">
            <v>0</v>
          </cell>
          <cell r="P429">
            <v>0</v>
          </cell>
          <cell r="Q429" t="str">
            <v>CS</v>
          </cell>
          <cell r="R429">
            <v>1</v>
          </cell>
          <cell r="S429">
            <v>1</v>
          </cell>
          <cell r="T429">
            <v>0.64980000000000004</v>
          </cell>
          <cell r="U429">
            <v>0.64980000000000004</v>
          </cell>
        </row>
        <row r="430">
          <cell r="B430" t="str">
            <v>V17551-PIND-0578-01</v>
          </cell>
          <cell r="C430" t="str">
            <v>PROD/25-26/13956</v>
          </cell>
          <cell r="D430" t="str">
            <v/>
          </cell>
          <cell r="E430" t="str">
            <v>TJ/25-26/184-P91</v>
          </cell>
          <cell r="F430" t="str">
            <v>P5</v>
          </cell>
          <cell r="G430">
            <v>0</v>
          </cell>
          <cell r="H430">
            <v>1</v>
          </cell>
          <cell r="I430" t="str">
            <v>Yes</v>
          </cell>
          <cell r="J430" t="str">
            <v/>
          </cell>
          <cell r="K430" t="str">
            <v>Yes</v>
          </cell>
          <cell r="L430" t="str">
            <v/>
          </cell>
          <cell r="M430" t="str">
            <v/>
          </cell>
          <cell r="N430" t="str">
            <v>Spool</v>
          </cell>
          <cell r="O430">
            <v>0</v>
          </cell>
          <cell r="P430">
            <v>0</v>
          </cell>
          <cell r="Q430" t="str">
            <v>P91</v>
          </cell>
          <cell r="R430">
            <v>1</v>
          </cell>
          <cell r="S430">
            <v>1</v>
          </cell>
          <cell r="T430">
            <v>1.2085999999999999</v>
          </cell>
          <cell r="U430">
            <v>1.2085999999999999</v>
          </cell>
        </row>
        <row r="431">
          <cell r="B431" t="str">
            <v>V17551-PIND-0579-01</v>
          </cell>
          <cell r="C431" t="str">
            <v>PROD/25-26/13957</v>
          </cell>
          <cell r="D431" t="str">
            <v/>
          </cell>
          <cell r="E431" t="str">
            <v>TJ/25-26/184-91</v>
          </cell>
          <cell r="F431" t="str">
            <v>P5</v>
          </cell>
          <cell r="G431">
            <v>0</v>
          </cell>
          <cell r="H431">
            <v>1</v>
          </cell>
          <cell r="I431" t="str">
            <v>Yes</v>
          </cell>
          <cell r="J431" t="str">
            <v/>
          </cell>
          <cell r="K431" t="str">
            <v>Yes</v>
          </cell>
          <cell r="L431" t="str">
            <v/>
          </cell>
          <cell r="M431" t="str">
            <v/>
          </cell>
          <cell r="N431" t="str">
            <v>Spool</v>
          </cell>
          <cell r="O431">
            <v>0</v>
          </cell>
          <cell r="P431">
            <v>0</v>
          </cell>
          <cell r="Q431" t="str">
            <v>P91</v>
          </cell>
          <cell r="R431">
            <v>1</v>
          </cell>
          <cell r="S431">
            <v>1</v>
          </cell>
          <cell r="T431">
            <v>1.3648</v>
          </cell>
          <cell r="U431">
            <v>1.3648</v>
          </cell>
        </row>
        <row r="432">
          <cell r="B432" t="str">
            <v>V17551-PIND-0580-01</v>
          </cell>
          <cell r="C432" t="str">
            <v>PROD/25-26/13958</v>
          </cell>
          <cell r="D432" t="str">
            <v/>
          </cell>
          <cell r="E432" t="str">
            <v>TJ/25-26/184-CS</v>
          </cell>
          <cell r="F432" t="str">
            <v>P5</v>
          </cell>
          <cell r="G432">
            <v>0</v>
          </cell>
          <cell r="H432">
            <v>1</v>
          </cell>
          <cell r="I432" t="str">
            <v>Yes</v>
          </cell>
          <cell r="J432" t="str">
            <v/>
          </cell>
          <cell r="K432" t="str">
            <v>No</v>
          </cell>
          <cell r="L432" t="str">
            <v/>
          </cell>
          <cell r="M432" t="str">
            <v/>
          </cell>
          <cell r="N432" t="str">
            <v>Spool</v>
          </cell>
          <cell r="O432">
            <v>0</v>
          </cell>
          <cell r="P432">
            <v>0</v>
          </cell>
          <cell r="Q432" t="str">
            <v>CS</v>
          </cell>
          <cell r="R432">
            <v>1</v>
          </cell>
          <cell r="S432">
            <v>1</v>
          </cell>
          <cell r="T432">
            <v>0.64980000000000004</v>
          </cell>
          <cell r="U432">
            <v>0.64980000000000004</v>
          </cell>
        </row>
        <row r="433">
          <cell r="B433" t="str">
            <v>V17551-PIND-0581-01</v>
          </cell>
          <cell r="C433" t="str">
            <v>PROD/25-26/13959</v>
          </cell>
          <cell r="D433" t="str">
            <v/>
          </cell>
          <cell r="E433" t="str">
            <v>TJ/25-26/184-CS</v>
          </cell>
          <cell r="F433" t="str">
            <v>P5</v>
          </cell>
          <cell r="G433">
            <v>0</v>
          </cell>
          <cell r="H433">
            <v>1</v>
          </cell>
          <cell r="I433" t="str">
            <v>Yes</v>
          </cell>
          <cell r="J433" t="str">
            <v/>
          </cell>
          <cell r="K433" t="str">
            <v>No</v>
          </cell>
          <cell r="L433" t="str">
            <v/>
          </cell>
          <cell r="M433" t="str">
            <v/>
          </cell>
          <cell r="N433" t="str">
            <v>Spool</v>
          </cell>
          <cell r="O433">
            <v>0</v>
          </cell>
          <cell r="P433">
            <v>0</v>
          </cell>
          <cell r="Q433" t="str">
            <v>CS</v>
          </cell>
          <cell r="R433">
            <v>1</v>
          </cell>
          <cell r="S433">
            <v>1</v>
          </cell>
          <cell r="T433">
            <v>0.64980000000000004</v>
          </cell>
          <cell r="U433">
            <v>0.64980000000000004</v>
          </cell>
        </row>
        <row r="434">
          <cell r="B434" t="str">
            <v>V17551-PIND-0582-01</v>
          </cell>
          <cell r="C434" t="str">
            <v>PROD/25-26/13960</v>
          </cell>
          <cell r="D434" t="str">
            <v/>
          </cell>
          <cell r="E434" t="str">
            <v>TJ/25-26/184-CS</v>
          </cell>
          <cell r="F434" t="str">
            <v>P5</v>
          </cell>
          <cell r="G434">
            <v>0</v>
          </cell>
          <cell r="H434">
            <v>1</v>
          </cell>
          <cell r="I434" t="str">
            <v>Yes</v>
          </cell>
          <cell r="J434" t="str">
            <v/>
          </cell>
          <cell r="K434" t="str">
            <v>No</v>
          </cell>
          <cell r="L434" t="str">
            <v/>
          </cell>
          <cell r="M434" t="str">
            <v/>
          </cell>
          <cell r="N434" t="str">
            <v>Spool</v>
          </cell>
          <cell r="O434">
            <v>0</v>
          </cell>
          <cell r="P434">
            <v>0</v>
          </cell>
          <cell r="Q434" t="str">
            <v>CS</v>
          </cell>
          <cell r="R434">
            <v>1</v>
          </cell>
          <cell r="S434">
            <v>1</v>
          </cell>
          <cell r="T434">
            <v>0.64980000000000004</v>
          </cell>
          <cell r="U434">
            <v>0.64980000000000004</v>
          </cell>
        </row>
        <row r="435">
          <cell r="B435" t="str">
            <v>V17551-PIND-0583-01</v>
          </cell>
          <cell r="C435" t="str">
            <v>PROD/25-26/13961</v>
          </cell>
          <cell r="D435" t="str">
            <v/>
          </cell>
          <cell r="E435" t="str">
            <v>TJ/25-26/184-CS</v>
          </cell>
          <cell r="F435" t="str">
            <v>P5</v>
          </cell>
          <cell r="G435">
            <v>0</v>
          </cell>
          <cell r="H435">
            <v>1</v>
          </cell>
          <cell r="I435" t="str">
            <v>Yes</v>
          </cell>
          <cell r="J435" t="str">
            <v/>
          </cell>
          <cell r="K435" t="str">
            <v>No</v>
          </cell>
          <cell r="L435" t="str">
            <v/>
          </cell>
          <cell r="M435" t="str">
            <v/>
          </cell>
          <cell r="N435" t="str">
            <v>Spool</v>
          </cell>
          <cell r="O435">
            <v>0</v>
          </cell>
          <cell r="P435">
            <v>0</v>
          </cell>
          <cell r="Q435" t="str">
            <v>CS</v>
          </cell>
          <cell r="R435">
            <v>1</v>
          </cell>
          <cell r="S435">
            <v>1</v>
          </cell>
          <cell r="T435">
            <v>0.64980000000000004</v>
          </cell>
          <cell r="U435">
            <v>0.64980000000000004</v>
          </cell>
        </row>
        <row r="436">
          <cell r="B436" t="str">
            <v>V17551-PIND-0584-01</v>
          </cell>
          <cell r="C436" t="str">
            <v>PROD/25-26/13962</v>
          </cell>
          <cell r="D436" t="str">
            <v/>
          </cell>
          <cell r="E436" t="str">
            <v>TJ/25-26/184-CS</v>
          </cell>
          <cell r="F436" t="str">
            <v>P5</v>
          </cell>
          <cell r="G436">
            <v>0</v>
          </cell>
          <cell r="H436">
            <v>1</v>
          </cell>
          <cell r="I436" t="str">
            <v>Yes</v>
          </cell>
          <cell r="J436" t="str">
            <v/>
          </cell>
          <cell r="K436" t="str">
            <v>No</v>
          </cell>
          <cell r="L436" t="str">
            <v/>
          </cell>
          <cell r="M436" t="str">
            <v/>
          </cell>
          <cell r="N436" t="str">
            <v>Spool</v>
          </cell>
          <cell r="O436">
            <v>0</v>
          </cell>
          <cell r="P436">
            <v>0</v>
          </cell>
          <cell r="Q436" t="str">
            <v>CS</v>
          </cell>
          <cell r="R436">
            <v>1</v>
          </cell>
          <cell r="S436">
            <v>1</v>
          </cell>
          <cell r="T436">
            <v>0.81699999999999995</v>
          </cell>
          <cell r="U436">
            <v>0.81699999999999995</v>
          </cell>
        </row>
        <row r="437">
          <cell r="B437" t="str">
            <v>V17551-PIND-0585-01</v>
          </cell>
          <cell r="C437" t="str">
            <v>PROD/25-26/13963</v>
          </cell>
          <cell r="D437" t="str">
            <v/>
          </cell>
          <cell r="E437" t="str">
            <v>TJ/25-26/184-CS</v>
          </cell>
          <cell r="F437" t="str">
            <v>P5</v>
          </cell>
          <cell r="G437">
            <v>0</v>
          </cell>
          <cell r="H437">
            <v>1</v>
          </cell>
          <cell r="I437" t="str">
            <v>Yes</v>
          </cell>
          <cell r="J437" t="str">
            <v/>
          </cell>
          <cell r="K437" t="str">
            <v>No</v>
          </cell>
          <cell r="L437" t="str">
            <v/>
          </cell>
          <cell r="M437" t="str">
            <v/>
          </cell>
          <cell r="N437" t="str">
            <v>Spool</v>
          </cell>
          <cell r="O437">
            <v>0</v>
          </cell>
          <cell r="P437">
            <v>0</v>
          </cell>
          <cell r="Q437" t="str">
            <v>CS</v>
          </cell>
          <cell r="R437">
            <v>1</v>
          </cell>
          <cell r="S437">
            <v>1</v>
          </cell>
          <cell r="T437">
            <v>0.93140000000000001</v>
          </cell>
          <cell r="U437">
            <v>0.93140000000000001</v>
          </cell>
        </row>
        <row r="438">
          <cell r="B438" t="str">
            <v>V17551-ERND-0313-02</v>
          </cell>
          <cell r="C438" t="str">
            <v>PROD/26-27/00022</v>
          </cell>
          <cell r="D438" t="str">
            <v/>
          </cell>
          <cell r="E438" t="str">
            <v>TJ/25-26/184-SS</v>
          </cell>
          <cell r="F438" t="str">
            <v/>
          </cell>
          <cell r="G438">
            <v>0</v>
          </cell>
          <cell r="H438">
            <v>2</v>
          </cell>
          <cell r="I438" t="str">
            <v>Yes</v>
          </cell>
          <cell r="J438" t="str">
            <v/>
          </cell>
          <cell r="K438" t="str">
            <v>No</v>
          </cell>
          <cell r="L438" t="str">
            <v/>
          </cell>
          <cell r="M438" t="str">
            <v/>
          </cell>
          <cell r="N438" t="str">
            <v>Spool</v>
          </cell>
          <cell r="O438">
            <v>0</v>
          </cell>
          <cell r="P438">
            <v>0</v>
          </cell>
          <cell r="Q438" t="str">
            <v>SS</v>
          </cell>
          <cell r="R438">
            <v>1</v>
          </cell>
          <cell r="S438">
            <v>1</v>
          </cell>
          <cell r="T438">
            <v>10.263780000000001</v>
          </cell>
          <cell r="U438">
            <v>10.263780000000001</v>
          </cell>
        </row>
        <row r="439">
          <cell r="B439" t="str">
            <v>V17551-ERND-0314-02</v>
          </cell>
          <cell r="C439" t="str">
            <v>PROD/26-27/00021</v>
          </cell>
          <cell r="D439" t="str">
            <v/>
          </cell>
          <cell r="E439" t="str">
            <v>TJ/25-26/184-SS</v>
          </cell>
          <cell r="F439" t="str">
            <v>NA</v>
          </cell>
          <cell r="G439">
            <v>0</v>
          </cell>
          <cell r="H439">
            <v>2</v>
          </cell>
          <cell r="I439" t="str">
            <v>Yes</v>
          </cell>
          <cell r="J439" t="str">
            <v/>
          </cell>
          <cell r="K439" t="str">
            <v>No</v>
          </cell>
          <cell r="L439" t="str">
            <v/>
          </cell>
          <cell r="M439" t="str">
            <v/>
          </cell>
          <cell r="N439" t="str">
            <v>Spool</v>
          </cell>
          <cell r="O439">
            <v>0</v>
          </cell>
          <cell r="P439">
            <v>0</v>
          </cell>
          <cell r="Q439" t="str">
            <v>SS</v>
          </cell>
          <cell r="R439">
            <v>1</v>
          </cell>
          <cell r="S439">
            <v>1</v>
          </cell>
          <cell r="T439">
            <v>4.2089699999999999</v>
          </cell>
          <cell r="U439">
            <v>4.2089699999999999</v>
          </cell>
        </row>
        <row r="440">
          <cell r="B440" t="str">
            <v>V17551-ERND-0315-02</v>
          </cell>
          <cell r="C440" t="str">
            <v>PROD/26-27/00020</v>
          </cell>
          <cell r="D440" t="str">
            <v/>
          </cell>
          <cell r="E440" t="str">
            <v>TJ/25-26/184-SS</v>
          </cell>
          <cell r="F440" t="str">
            <v/>
          </cell>
          <cell r="G440">
            <v>0</v>
          </cell>
          <cell r="H440">
            <v>2</v>
          </cell>
          <cell r="I440" t="str">
            <v>Yes</v>
          </cell>
          <cell r="J440" t="str">
            <v/>
          </cell>
          <cell r="K440" t="str">
            <v>No</v>
          </cell>
          <cell r="L440" t="str">
            <v/>
          </cell>
          <cell r="M440" t="str">
            <v/>
          </cell>
          <cell r="N440" t="str">
            <v>Spool</v>
          </cell>
          <cell r="O440">
            <v>0</v>
          </cell>
          <cell r="P440">
            <v>0</v>
          </cell>
          <cell r="Q440" t="str">
            <v>SS</v>
          </cell>
          <cell r="R440">
            <v>1</v>
          </cell>
          <cell r="S440">
            <v>1</v>
          </cell>
          <cell r="T440">
            <v>10.263780000000001</v>
          </cell>
          <cell r="U440">
            <v>10.263780000000001</v>
          </cell>
        </row>
        <row r="441">
          <cell r="B441" t="str">
            <v>V17551-ERND-0316-02</v>
          </cell>
          <cell r="C441" t="str">
            <v>PROD/26-27/00019</v>
          </cell>
          <cell r="D441" t="str">
            <v/>
          </cell>
          <cell r="E441" t="str">
            <v>TJ/25-26/184-SS</v>
          </cell>
          <cell r="F441" t="str">
            <v/>
          </cell>
          <cell r="G441">
            <v>0</v>
          </cell>
          <cell r="H441">
            <v>2</v>
          </cell>
          <cell r="I441" t="str">
            <v>Yes</v>
          </cell>
          <cell r="J441" t="str">
            <v/>
          </cell>
          <cell r="K441" t="str">
            <v>No</v>
          </cell>
          <cell r="L441" t="str">
            <v/>
          </cell>
          <cell r="M441" t="str">
            <v/>
          </cell>
          <cell r="N441" t="str">
            <v>Spool</v>
          </cell>
          <cell r="O441">
            <v>0</v>
          </cell>
          <cell r="P441">
            <v>0</v>
          </cell>
          <cell r="Q441" t="str">
            <v>SS</v>
          </cell>
          <cell r="R441">
            <v>1</v>
          </cell>
          <cell r="S441">
            <v>1</v>
          </cell>
          <cell r="T441">
            <v>10.263780000000001</v>
          </cell>
          <cell r="U441">
            <v>10.263780000000001</v>
          </cell>
        </row>
        <row r="442">
          <cell r="B442" t="str">
            <v>SHA-1031-01</v>
          </cell>
          <cell r="C442" t="str">
            <v>PROD/25-26/13713</v>
          </cell>
          <cell r="D442" t="str">
            <v/>
          </cell>
          <cell r="E442" t="str">
            <v>TJ/25-26/184-CS</v>
          </cell>
          <cell r="F442" t="str">
            <v>P1</v>
          </cell>
          <cell r="G442">
            <v>0</v>
          </cell>
          <cell r="H442">
            <v>2</v>
          </cell>
          <cell r="I442" t="str">
            <v>Yes</v>
          </cell>
          <cell r="J442" t="str">
            <v/>
          </cell>
          <cell r="K442" t="str">
            <v>No</v>
          </cell>
          <cell r="L442" t="str">
            <v/>
          </cell>
          <cell r="M442" t="str">
            <v/>
          </cell>
          <cell r="N442" t="str">
            <v>Spool</v>
          </cell>
          <cell r="O442">
            <v>0</v>
          </cell>
          <cell r="P442">
            <v>0</v>
          </cell>
          <cell r="Q442" t="str">
            <v>CS</v>
          </cell>
          <cell r="R442">
            <v>1</v>
          </cell>
          <cell r="S442">
            <v>1</v>
          </cell>
          <cell r="T442">
            <v>7.2738500000000004</v>
          </cell>
          <cell r="U442">
            <v>7.2738500000000004</v>
          </cell>
        </row>
        <row r="443">
          <cell r="B443" t="str">
            <v>V17551-PIND-0010-02</v>
          </cell>
          <cell r="C443" t="str">
            <v>PROD/25-26/06830</v>
          </cell>
          <cell r="D443" t="str">
            <v/>
          </cell>
          <cell r="E443" t="str">
            <v>TJ/25-26/184-CS</v>
          </cell>
          <cell r="F443" t="str">
            <v>P5</v>
          </cell>
          <cell r="G443">
            <v>0</v>
          </cell>
          <cell r="H443">
            <v>2</v>
          </cell>
          <cell r="I443" t="str">
            <v>Yes</v>
          </cell>
          <cell r="J443" t="str">
            <v/>
          </cell>
          <cell r="K443" t="str">
            <v>No</v>
          </cell>
          <cell r="L443" t="str">
            <v/>
          </cell>
          <cell r="M443" t="str">
            <v/>
          </cell>
          <cell r="N443" t="str">
            <v>Spool</v>
          </cell>
          <cell r="O443">
            <v>0</v>
          </cell>
          <cell r="P443">
            <v>0</v>
          </cell>
          <cell r="Q443" t="str">
            <v>CS</v>
          </cell>
          <cell r="R443">
            <v>1</v>
          </cell>
          <cell r="S443">
            <v>1</v>
          </cell>
          <cell r="T443">
            <v>582.875</v>
          </cell>
          <cell r="U443">
            <v>582.875</v>
          </cell>
        </row>
        <row r="444">
          <cell r="B444" t="str">
            <v>V17551-PIND-0011-02</v>
          </cell>
          <cell r="C444" t="str">
            <v>PROD/25-26/06496</v>
          </cell>
          <cell r="D444" t="str">
            <v/>
          </cell>
          <cell r="E444" t="str">
            <v>TJ/25-26/184-CS</v>
          </cell>
          <cell r="F444" t="str">
            <v>P5</v>
          </cell>
          <cell r="G444">
            <v>0</v>
          </cell>
          <cell r="H444">
            <v>2</v>
          </cell>
          <cell r="I444" t="str">
            <v>Yes</v>
          </cell>
          <cell r="J444" t="str">
            <v/>
          </cell>
          <cell r="K444" t="str">
            <v>No</v>
          </cell>
          <cell r="L444" t="str">
            <v/>
          </cell>
          <cell r="M444" t="str">
            <v/>
          </cell>
          <cell r="N444" t="str">
            <v>Spool</v>
          </cell>
          <cell r="O444">
            <v>0</v>
          </cell>
          <cell r="P444">
            <v>0</v>
          </cell>
          <cell r="Q444" t="str">
            <v>CS</v>
          </cell>
          <cell r="R444">
            <v>1</v>
          </cell>
          <cell r="S444">
            <v>1</v>
          </cell>
          <cell r="T444">
            <v>634.12093000000004</v>
          </cell>
          <cell r="U444">
            <v>634.12093000000004</v>
          </cell>
        </row>
        <row r="445">
          <cell r="B445" t="str">
            <v>V17551-PIND-0013-02</v>
          </cell>
          <cell r="C445" t="str">
            <v>PROD/25-26/07343</v>
          </cell>
          <cell r="D445" t="str">
            <v/>
          </cell>
          <cell r="E445" t="str">
            <v>TJ/25-26/184-CS</v>
          </cell>
          <cell r="F445" t="str">
            <v>P5,P1</v>
          </cell>
          <cell r="G445">
            <v>0</v>
          </cell>
          <cell r="H445">
            <v>2</v>
          </cell>
          <cell r="I445" t="str">
            <v>Yes</v>
          </cell>
          <cell r="J445" t="str">
            <v/>
          </cell>
          <cell r="K445" t="str">
            <v>No</v>
          </cell>
          <cell r="L445" t="str">
            <v/>
          </cell>
          <cell r="M445" t="str">
            <v/>
          </cell>
          <cell r="N445" t="str">
            <v>Spool</v>
          </cell>
          <cell r="O445">
            <v>0</v>
          </cell>
          <cell r="P445">
            <v>0</v>
          </cell>
          <cell r="Q445" t="str">
            <v>CS</v>
          </cell>
          <cell r="R445">
            <v>1</v>
          </cell>
          <cell r="S445">
            <v>1</v>
          </cell>
          <cell r="T445">
            <v>1568.9787638138</v>
          </cell>
          <cell r="U445">
            <v>1568.9787638138</v>
          </cell>
        </row>
        <row r="446">
          <cell r="B446" t="str">
            <v>V17551-PIND-0014-02</v>
          </cell>
          <cell r="C446" t="str">
            <v>PROD/25-26/07344</v>
          </cell>
          <cell r="D446" t="str">
            <v/>
          </cell>
          <cell r="E446" t="str">
            <v>TJ/25-26/184-CS</v>
          </cell>
          <cell r="F446" t="str">
            <v>P5,P1</v>
          </cell>
          <cell r="G446">
            <v>0</v>
          </cell>
          <cell r="H446">
            <v>2</v>
          </cell>
          <cell r="I446" t="str">
            <v>Yes</v>
          </cell>
          <cell r="J446" t="str">
            <v/>
          </cell>
          <cell r="K446" t="str">
            <v>No</v>
          </cell>
          <cell r="L446" t="str">
            <v/>
          </cell>
          <cell r="M446" t="str">
            <v/>
          </cell>
          <cell r="N446" t="str">
            <v>Spool</v>
          </cell>
          <cell r="O446">
            <v>0</v>
          </cell>
          <cell r="P446">
            <v>0</v>
          </cell>
          <cell r="Q446" t="str">
            <v>CS</v>
          </cell>
          <cell r="R446">
            <v>1</v>
          </cell>
          <cell r="S446">
            <v>1</v>
          </cell>
          <cell r="T446">
            <v>173.09914000000001</v>
          </cell>
          <cell r="U446">
            <v>173.09914000000001</v>
          </cell>
        </row>
        <row r="447">
          <cell r="B447" t="str">
            <v>V17551-PIND-0016-02</v>
          </cell>
          <cell r="C447" t="str">
            <v>PROD/25-26/06499</v>
          </cell>
          <cell r="D447" t="str">
            <v/>
          </cell>
          <cell r="E447" t="str">
            <v>TJ/25-26/184-CS</v>
          </cell>
          <cell r="F447" t="str">
            <v>P5</v>
          </cell>
          <cell r="G447">
            <v>0</v>
          </cell>
          <cell r="H447">
            <v>2</v>
          </cell>
          <cell r="I447" t="str">
            <v>Yes</v>
          </cell>
          <cell r="J447" t="str">
            <v/>
          </cell>
          <cell r="K447" t="str">
            <v>No</v>
          </cell>
          <cell r="L447" t="str">
            <v/>
          </cell>
          <cell r="M447" t="str">
            <v/>
          </cell>
          <cell r="N447" t="str">
            <v>Spool</v>
          </cell>
          <cell r="O447">
            <v>0</v>
          </cell>
          <cell r="P447">
            <v>0</v>
          </cell>
          <cell r="Q447" t="str">
            <v>CS</v>
          </cell>
          <cell r="R447">
            <v>1</v>
          </cell>
          <cell r="S447">
            <v>1</v>
          </cell>
          <cell r="T447">
            <v>122.7972</v>
          </cell>
          <cell r="U447">
            <v>122.7972</v>
          </cell>
        </row>
        <row r="448">
          <cell r="B448" t="str">
            <v>V17551-PIND-0018-02</v>
          </cell>
          <cell r="C448" t="str">
            <v>PROD/25-26/08046</v>
          </cell>
          <cell r="D448" t="str">
            <v/>
          </cell>
          <cell r="E448" t="str">
            <v>TJ/25-26/184-CS</v>
          </cell>
          <cell r="F448" t="str">
            <v>P5</v>
          </cell>
          <cell r="G448">
            <v>0</v>
          </cell>
          <cell r="H448">
            <v>2</v>
          </cell>
          <cell r="I448" t="str">
            <v>Yes</v>
          </cell>
          <cell r="J448" t="str">
            <v/>
          </cell>
          <cell r="K448" t="str">
            <v>No</v>
          </cell>
          <cell r="L448" t="str">
            <v/>
          </cell>
          <cell r="M448" t="str">
            <v/>
          </cell>
          <cell r="N448" t="str">
            <v>Spool</v>
          </cell>
          <cell r="O448">
            <v>0</v>
          </cell>
          <cell r="P448">
            <v>0</v>
          </cell>
          <cell r="Q448" t="str">
            <v>CS</v>
          </cell>
          <cell r="R448">
            <v>1</v>
          </cell>
          <cell r="S448">
            <v>1</v>
          </cell>
          <cell r="T448">
            <v>68.404780000000002</v>
          </cell>
          <cell r="U448">
            <v>68.404780000000002</v>
          </cell>
        </row>
        <row r="449">
          <cell r="B449" t="str">
            <v>V17551-PIND-0020-02</v>
          </cell>
          <cell r="C449" t="str">
            <v>PROD/25-26/08047</v>
          </cell>
          <cell r="D449" t="str">
            <v/>
          </cell>
          <cell r="E449" t="str">
            <v>TJ/25-26/184-CS</v>
          </cell>
          <cell r="F449" t="str">
            <v>P5</v>
          </cell>
          <cell r="G449">
            <v>0</v>
          </cell>
          <cell r="H449">
            <v>2</v>
          </cell>
          <cell r="I449" t="str">
            <v>Yes</v>
          </cell>
          <cell r="J449" t="str">
            <v/>
          </cell>
          <cell r="K449" t="str">
            <v>No</v>
          </cell>
          <cell r="L449" t="str">
            <v/>
          </cell>
          <cell r="M449" t="str">
            <v/>
          </cell>
          <cell r="N449" t="str">
            <v>Spool</v>
          </cell>
          <cell r="O449">
            <v>0</v>
          </cell>
          <cell r="P449">
            <v>0</v>
          </cell>
          <cell r="Q449" t="str">
            <v>CS</v>
          </cell>
          <cell r="R449">
            <v>1</v>
          </cell>
          <cell r="S449">
            <v>1</v>
          </cell>
          <cell r="T449">
            <v>122.35312</v>
          </cell>
          <cell r="U449">
            <v>122.35312</v>
          </cell>
        </row>
        <row r="450">
          <cell r="B450" t="str">
            <v>V17551-PIND-0022-02</v>
          </cell>
          <cell r="C450" t="str">
            <v>PROD/25-26/08048</v>
          </cell>
          <cell r="D450" t="str">
            <v/>
          </cell>
          <cell r="E450" t="str">
            <v>TJ/25-26/184-CS</v>
          </cell>
          <cell r="F450" t="str">
            <v>P5,P1</v>
          </cell>
          <cell r="G450">
            <v>0</v>
          </cell>
          <cell r="H450">
            <v>2</v>
          </cell>
          <cell r="I450" t="str">
            <v>Yes</v>
          </cell>
          <cell r="J450" t="str">
            <v/>
          </cell>
          <cell r="K450" t="str">
            <v>No</v>
          </cell>
          <cell r="L450" t="str">
            <v/>
          </cell>
          <cell r="M450" t="str">
            <v/>
          </cell>
          <cell r="N450" t="str">
            <v>Spool</v>
          </cell>
          <cell r="O450">
            <v>0</v>
          </cell>
          <cell r="P450">
            <v>0</v>
          </cell>
          <cell r="Q450" t="str">
            <v>CS</v>
          </cell>
          <cell r="R450">
            <v>1</v>
          </cell>
          <cell r="S450">
            <v>1</v>
          </cell>
          <cell r="T450">
            <v>130.52964</v>
          </cell>
          <cell r="U450">
            <v>130.52964</v>
          </cell>
        </row>
        <row r="451">
          <cell r="B451" t="str">
            <v>V17551-PIND-0024-02</v>
          </cell>
          <cell r="C451" t="str">
            <v>PROD/25-26/08049</v>
          </cell>
          <cell r="D451" t="str">
            <v/>
          </cell>
          <cell r="E451" t="str">
            <v>TJ/25-26/184-CS</v>
          </cell>
          <cell r="F451" t="str">
            <v>P5,P1</v>
          </cell>
          <cell r="G451">
            <v>0</v>
          </cell>
          <cell r="H451">
            <v>2</v>
          </cell>
          <cell r="I451" t="str">
            <v>Yes</v>
          </cell>
          <cell r="J451" t="str">
            <v/>
          </cell>
          <cell r="K451" t="str">
            <v>No</v>
          </cell>
          <cell r="L451" t="str">
            <v/>
          </cell>
          <cell r="M451" t="str">
            <v/>
          </cell>
          <cell r="N451" t="str">
            <v>Spool</v>
          </cell>
          <cell r="O451">
            <v>0</v>
          </cell>
          <cell r="P451">
            <v>0</v>
          </cell>
          <cell r="Q451" t="str">
            <v>CS</v>
          </cell>
          <cell r="R451">
            <v>1</v>
          </cell>
          <cell r="S451">
            <v>1</v>
          </cell>
          <cell r="T451">
            <v>139.14894000000001</v>
          </cell>
          <cell r="U451">
            <v>139.14894000000001</v>
          </cell>
        </row>
        <row r="452">
          <cell r="B452" t="str">
            <v>V17551-PIND-0026-02</v>
          </cell>
          <cell r="C452" t="str">
            <v>PROD/25-26/08050</v>
          </cell>
          <cell r="D452" t="str">
            <v/>
          </cell>
          <cell r="E452" t="str">
            <v>TJ/25-26/184-CS</v>
          </cell>
          <cell r="F452" t="str">
            <v>P5,P1</v>
          </cell>
          <cell r="G452">
            <v>0</v>
          </cell>
          <cell r="H452">
            <v>2</v>
          </cell>
          <cell r="I452" t="str">
            <v>Yes</v>
          </cell>
          <cell r="J452" t="str">
            <v/>
          </cell>
          <cell r="K452" t="str">
            <v>No</v>
          </cell>
          <cell r="L452" t="str">
            <v/>
          </cell>
          <cell r="M452" t="str">
            <v/>
          </cell>
          <cell r="N452" t="str">
            <v>Spool</v>
          </cell>
          <cell r="O452">
            <v>0</v>
          </cell>
          <cell r="P452">
            <v>0</v>
          </cell>
          <cell r="Q452" t="str">
            <v>CS</v>
          </cell>
          <cell r="R452">
            <v>1</v>
          </cell>
          <cell r="S452">
            <v>1</v>
          </cell>
          <cell r="T452">
            <v>130.55789999999999</v>
          </cell>
          <cell r="U452">
            <v>130.55789999999999</v>
          </cell>
        </row>
        <row r="453">
          <cell r="B453" t="str">
            <v>V17551-PIND-0028-02</v>
          </cell>
          <cell r="C453" t="str">
            <v>PROD/25-26/08051</v>
          </cell>
          <cell r="D453" t="str">
            <v/>
          </cell>
          <cell r="E453" t="str">
            <v>TJ/25-26/184-CS</v>
          </cell>
          <cell r="F453" t="str">
            <v>P5,P1</v>
          </cell>
          <cell r="G453">
            <v>0</v>
          </cell>
          <cell r="H453">
            <v>2</v>
          </cell>
          <cell r="I453" t="str">
            <v>Yes</v>
          </cell>
          <cell r="J453" t="str">
            <v/>
          </cell>
          <cell r="K453" t="str">
            <v>No</v>
          </cell>
          <cell r="L453" t="str">
            <v/>
          </cell>
          <cell r="M453" t="str">
            <v/>
          </cell>
          <cell r="N453" t="str">
            <v>Spool</v>
          </cell>
          <cell r="O453">
            <v>0</v>
          </cell>
          <cell r="P453">
            <v>0</v>
          </cell>
          <cell r="Q453" t="str">
            <v>CS</v>
          </cell>
          <cell r="R453">
            <v>1</v>
          </cell>
          <cell r="S453">
            <v>1</v>
          </cell>
          <cell r="T453">
            <v>139.14894000000001</v>
          </cell>
          <cell r="U453">
            <v>139.14894000000001</v>
          </cell>
        </row>
        <row r="454">
          <cell r="B454" t="str">
            <v>V17551-PIND-0030-02</v>
          </cell>
          <cell r="C454" t="str">
            <v>PROD/25-26/08052</v>
          </cell>
          <cell r="D454" t="str">
            <v/>
          </cell>
          <cell r="E454" t="str">
            <v>TJ/25-26/184-CS</v>
          </cell>
          <cell r="F454" t="str">
            <v>P5,P1</v>
          </cell>
          <cell r="G454">
            <v>0</v>
          </cell>
          <cell r="H454">
            <v>2</v>
          </cell>
          <cell r="I454" t="str">
            <v>Yes</v>
          </cell>
          <cell r="J454" t="str">
            <v/>
          </cell>
          <cell r="K454" t="str">
            <v>No</v>
          </cell>
          <cell r="L454" t="str">
            <v/>
          </cell>
          <cell r="M454" t="str">
            <v/>
          </cell>
          <cell r="N454" t="str">
            <v>Spool</v>
          </cell>
          <cell r="O454">
            <v>0</v>
          </cell>
          <cell r="P454">
            <v>0</v>
          </cell>
          <cell r="Q454" t="str">
            <v>CS</v>
          </cell>
          <cell r="R454">
            <v>1</v>
          </cell>
          <cell r="S454">
            <v>1</v>
          </cell>
          <cell r="T454">
            <v>130.50731999999999</v>
          </cell>
          <cell r="U454">
            <v>130.50731999999999</v>
          </cell>
        </row>
        <row r="455">
          <cell r="B455" t="str">
            <v>V17551-PIND-0032-02</v>
          </cell>
          <cell r="C455" t="str">
            <v>PROD/25-26/08053</v>
          </cell>
          <cell r="D455" t="str">
            <v/>
          </cell>
          <cell r="E455" t="str">
            <v>TJ/25-26/184-CS</v>
          </cell>
          <cell r="F455" t="str">
            <v>P5,P1</v>
          </cell>
          <cell r="G455">
            <v>0</v>
          </cell>
          <cell r="H455">
            <v>2</v>
          </cell>
          <cell r="I455" t="str">
            <v>Yes</v>
          </cell>
          <cell r="J455" t="str">
            <v/>
          </cell>
          <cell r="K455" t="str">
            <v>No</v>
          </cell>
          <cell r="L455" t="str">
            <v/>
          </cell>
          <cell r="M455" t="str">
            <v/>
          </cell>
          <cell r="N455" t="str">
            <v>Spool</v>
          </cell>
          <cell r="O455">
            <v>0</v>
          </cell>
          <cell r="P455">
            <v>0</v>
          </cell>
          <cell r="Q455" t="str">
            <v>CS</v>
          </cell>
          <cell r="R455">
            <v>1</v>
          </cell>
          <cell r="S455">
            <v>1</v>
          </cell>
          <cell r="T455">
            <v>139.12662</v>
          </cell>
          <cell r="U455">
            <v>139.12662</v>
          </cell>
        </row>
        <row r="456">
          <cell r="B456" t="str">
            <v>V17551-PIND-0034-02</v>
          </cell>
          <cell r="C456" t="str">
            <v>PROD/25-26/08054</v>
          </cell>
          <cell r="D456" t="str">
            <v/>
          </cell>
          <cell r="E456" t="str">
            <v>TJ/25-26/184-CS</v>
          </cell>
          <cell r="F456" t="str">
            <v>P5,P1</v>
          </cell>
          <cell r="G456">
            <v>0</v>
          </cell>
          <cell r="H456">
            <v>2</v>
          </cell>
          <cell r="I456" t="str">
            <v>Yes</v>
          </cell>
          <cell r="J456" t="str">
            <v/>
          </cell>
          <cell r="K456" t="str">
            <v>No</v>
          </cell>
          <cell r="L456" t="str">
            <v/>
          </cell>
          <cell r="M456" t="str">
            <v/>
          </cell>
          <cell r="N456" t="str">
            <v>Spool</v>
          </cell>
          <cell r="O456">
            <v>0</v>
          </cell>
          <cell r="P456">
            <v>0</v>
          </cell>
          <cell r="Q456" t="str">
            <v>CS</v>
          </cell>
          <cell r="R456">
            <v>1</v>
          </cell>
          <cell r="S456">
            <v>1</v>
          </cell>
          <cell r="T456">
            <v>130.50138000000001</v>
          </cell>
          <cell r="U456">
            <v>130.50138000000001</v>
          </cell>
        </row>
        <row r="457">
          <cell r="B457" t="str">
            <v>V17551-PIND-0036-02</v>
          </cell>
          <cell r="C457" t="str">
            <v>PROD/25-26/08055</v>
          </cell>
          <cell r="D457" t="str">
            <v/>
          </cell>
          <cell r="E457" t="str">
            <v>TJ/25-26/184-CS</v>
          </cell>
          <cell r="F457" t="str">
            <v>P5,P1</v>
          </cell>
          <cell r="G457">
            <v>0</v>
          </cell>
          <cell r="H457">
            <v>2</v>
          </cell>
          <cell r="I457" t="str">
            <v>Yes</v>
          </cell>
          <cell r="J457" t="str">
            <v/>
          </cell>
          <cell r="K457" t="str">
            <v>No</v>
          </cell>
          <cell r="L457" t="str">
            <v/>
          </cell>
          <cell r="M457" t="str">
            <v/>
          </cell>
          <cell r="N457" t="str">
            <v>Spool</v>
          </cell>
          <cell r="O457">
            <v>0</v>
          </cell>
          <cell r="P457">
            <v>0</v>
          </cell>
          <cell r="Q457" t="str">
            <v>CS</v>
          </cell>
          <cell r="R457">
            <v>1</v>
          </cell>
          <cell r="S457">
            <v>1</v>
          </cell>
          <cell r="T457">
            <v>139.12067999999999</v>
          </cell>
          <cell r="U457">
            <v>139.12067999999999</v>
          </cell>
        </row>
        <row r="458">
          <cell r="B458" t="str">
            <v>V17551-PIND-0038-02</v>
          </cell>
          <cell r="C458" t="str">
            <v>PROD/25-26/08056</v>
          </cell>
          <cell r="D458" t="str">
            <v/>
          </cell>
          <cell r="E458" t="str">
            <v>TJ/25-26/184-CS</v>
          </cell>
          <cell r="F458" t="str">
            <v>P5,P1</v>
          </cell>
          <cell r="G458">
            <v>0</v>
          </cell>
          <cell r="H458">
            <v>2</v>
          </cell>
          <cell r="I458" t="str">
            <v>Yes</v>
          </cell>
          <cell r="J458" t="str">
            <v/>
          </cell>
          <cell r="K458" t="str">
            <v>No</v>
          </cell>
          <cell r="L458" t="str">
            <v/>
          </cell>
          <cell r="M458" t="str">
            <v/>
          </cell>
          <cell r="N458" t="str">
            <v>Spool</v>
          </cell>
          <cell r="O458">
            <v>0</v>
          </cell>
          <cell r="P458">
            <v>0</v>
          </cell>
          <cell r="Q458" t="str">
            <v>CS</v>
          </cell>
          <cell r="R458">
            <v>1</v>
          </cell>
          <cell r="S458">
            <v>1</v>
          </cell>
          <cell r="T458">
            <v>130.50138000000001</v>
          </cell>
          <cell r="U458">
            <v>130.50138000000001</v>
          </cell>
        </row>
        <row r="459">
          <cell r="B459" t="str">
            <v>V17551-PIND-0040-02</v>
          </cell>
          <cell r="C459" t="str">
            <v>PROD/25-26/08057</v>
          </cell>
          <cell r="D459" t="str">
            <v/>
          </cell>
          <cell r="E459" t="str">
            <v>TJ/25-26/184-CS</v>
          </cell>
          <cell r="F459" t="str">
            <v>P5,P1</v>
          </cell>
          <cell r="G459">
            <v>0</v>
          </cell>
          <cell r="H459">
            <v>2</v>
          </cell>
          <cell r="I459" t="str">
            <v>Yes</v>
          </cell>
          <cell r="J459" t="str">
            <v/>
          </cell>
          <cell r="K459" t="str">
            <v>No</v>
          </cell>
          <cell r="L459" t="str">
            <v/>
          </cell>
          <cell r="M459" t="str">
            <v/>
          </cell>
          <cell r="N459" t="str">
            <v>Spool</v>
          </cell>
          <cell r="O459">
            <v>0</v>
          </cell>
          <cell r="P459">
            <v>0</v>
          </cell>
          <cell r="Q459" t="str">
            <v>CS</v>
          </cell>
          <cell r="R459">
            <v>1</v>
          </cell>
          <cell r="S459">
            <v>1</v>
          </cell>
          <cell r="T459">
            <v>139.12067999999999</v>
          </cell>
          <cell r="U459">
            <v>139.12067999999999</v>
          </cell>
        </row>
        <row r="460">
          <cell r="B460" t="str">
            <v>V17551-PIND-0042-02</v>
          </cell>
          <cell r="C460" t="str">
            <v>PROD/25-26/08058</v>
          </cell>
          <cell r="D460" t="str">
            <v/>
          </cell>
          <cell r="E460" t="str">
            <v>TJ/25-26/184-CS</v>
          </cell>
          <cell r="F460" t="str">
            <v>P5,P1</v>
          </cell>
          <cell r="G460">
            <v>0</v>
          </cell>
          <cell r="H460">
            <v>2</v>
          </cell>
          <cell r="I460" t="str">
            <v>Yes</v>
          </cell>
          <cell r="J460" t="str">
            <v/>
          </cell>
          <cell r="K460" t="str">
            <v>No</v>
          </cell>
          <cell r="L460" t="str">
            <v/>
          </cell>
          <cell r="M460" t="str">
            <v/>
          </cell>
          <cell r="N460" t="str">
            <v>Spool</v>
          </cell>
          <cell r="O460">
            <v>0</v>
          </cell>
          <cell r="P460">
            <v>0</v>
          </cell>
          <cell r="Q460" t="str">
            <v>CS</v>
          </cell>
          <cell r="R460">
            <v>1</v>
          </cell>
          <cell r="S460">
            <v>1</v>
          </cell>
          <cell r="T460">
            <v>130.50138000000001</v>
          </cell>
          <cell r="U460">
            <v>130.50138000000001</v>
          </cell>
        </row>
        <row r="461">
          <cell r="B461" t="str">
            <v>V17551-PIND-0044-02</v>
          </cell>
          <cell r="C461" t="str">
            <v>PROD/25-26/08059</v>
          </cell>
          <cell r="D461" t="str">
            <v/>
          </cell>
          <cell r="E461" t="str">
            <v>TJ/25-26/184-CS</v>
          </cell>
          <cell r="F461" t="str">
            <v>P5,P1</v>
          </cell>
          <cell r="G461">
            <v>0</v>
          </cell>
          <cell r="H461">
            <v>2</v>
          </cell>
          <cell r="I461" t="str">
            <v>Yes</v>
          </cell>
          <cell r="J461" t="str">
            <v/>
          </cell>
          <cell r="K461" t="str">
            <v>No</v>
          </cell>
          <cell r="L461" t="str">
            <v/>
          </cell>
          <cell r="M461" t="str">
            <v/>
          </cell>
          <cell r="N461" t="str">
            <v>Spool</v>
          </cell>
          <cell r="O461">
            <v>0</v>
          </cell>
          <cell r="P461">
            <v>0</v>
          </cell>
          <cell r="Q461" t="str">
            <v>CS</v>
          </cell>
          <cell r="R461">
            <v>1</v>
          </cell>
          <cell r="S461">
            <v>1</v>
          </cell>
          <cell r="T461">
            <v>139.12067999999999</v>
          </cell>
          <cell r="U461">
            <v>139.12067999999999</v>
          </cell>
        </row>
        <row r="462">
          <cell r="B462" t="str">
            <v>V17551-PIND-0046-02</v>
          </cell>
          <cell r="C462" t="str">
            <v>PROD/25-26/08060</v>
          </cell>
          <cell r="D462" t="str">
            <v/>
          </cell>
          <cell r="E462" t="str">
            <v>TJ/25-26/184-CS</v>
          </cell>
          <cell r="F462" t="str">
            <v>P5,P1</v>
          </cell>
          <cell r="G462">
            <v>0</v>
          </cell>
          <cell r="H462">
            <v>2</v>
          </cell>
          <cell r="I462" t="str">
            <v>Yes</v>
          </cell>
          <cell r="J462" t="str">
            <v/>
          </cell>
          <cell r="K462" t="str">
            <v>No</v>
          </cell>
          <cell r="L462" t="str">
            <v/>
          </cell>
          <cell r="M462" t="str">
            <v/>
          </cell>
          <cell r="N462" t="str">
            <v>Spool</v>
          </cell>
          <cell r="O462">
            <v>0</v>
          </cell>
          <cell r="P462">
            <v>0</v>
          </cell>
          <cell r="Q462" t="str">
            <v>CS</v>
          </cell>
          <cell r="R462">
            <v>1</v>
          </cell>
          <cell r="S462">
            <v>1</v>
          </cell>
          <cell r="T462">
            <v>139.12067999999999</v>
          </cell>
          <cell r="U462">
            <v>139.12067999999999</v>
          </cell>
        </row>
        <row r="463">
          <cell r="B463" t="str">
            <v>V17551-PIND-0048-02</v>
          </cell>
          <cell r="C463" t="str">
            <v>PROD/25-26/08061</v>
          </cell>
          <cell r="D463" t="str">
            <v/>
          </cell>
          <cell r="E463" t="str">
            <v>TJ/25-26/184-CS</v>
          </cell>
          <cell r="F463" t="str">
            <v>P5,P1</v>
          </cell>
          <cell r="G463">
            <v>0</v>
          </cell>
          <cell r="H463">
            <v>2</v>
          </cell>
          <cell r="I463" t="str">
            <v>Yes</v>
          </cell>
          <cell r="J463" t="str">
            <v/>
          </cell>
          <cell r="K463" t="str">
            <v>No</v>
          </cell>
          <cell r="L463" t="str">
            <v/>
          </cell>
          <cell r="M463" t="str">
            <v/>
          </cell>
          <cell r="N463" t="str">
            <v>Spool</v>
          </cell>
          <cell r="O463">
            <v>0</v>
          </cell>
          <cell r="P463">
            <v>0</v>
          </cell>
          <cell r="Q463" t="str">
            <v>CS</v>
          </cell>
          <cell r="R463">
            <v>1</v>
          </cell>
          <cell r="S463">
            <v>1</v>
          </cell>
          <cell r="T463">
            <v>130.47906</v>
          </cell>
          <cell r="U463">
            <v>130.47906</v>
          </cell>
        </row>
        <row r="464">
          <cell r="B464" t="str">
            <v>V17551-PIND-0050-02</v>
          </cell>
          <cell r="C464" t="str">
            <v>PROD/25-26/08062</v>
          </cell>
          <cell r="D464" t="str">
            <v/>
          </cell>
          <cell r="E464" t="str">
            <v>TJ/25-26/184-CS</v>
          </cell>
          <cell r="F464" t="str">
            <v>P5,P1</v>
          </cell>
          <cell r="G464">
            <v>0</v>
          </cell>
          <cell r="H464">
            <v>2</v>
          </cell>
          <cell r="I464" t="str">
            <v>Yes</v>
          </cell>
          <cell r="J464" t="str">
            <v/>
          </cell>
          <cell r="K464" t="str">
            <v>No</v>
          </cell>
          <cell r="L464" t="str">
            <v/>
          </cell>
          <cell r="M464" t="str">
            <v/>
          </cell>
          <cell r="N464" t="str">
            <v>Spool</v>
          </cell>
          <cell r="O464">
            <v>0</v>
          </cell>
          <cell r="P464">
            <v>0</v>
          </cell>
          <cell r="Q464" t="str">
            <v>CS</v>
          </cell>
          <cell r="R464">
            <v>1</v>
          </cell>
          <cell r="S464">
            <v>1</v>
          </cell>
          <cell r="T464">
            <v>139.11351527279999</v>
          </cell>
          <cell r="U464">
            <v>139.11351527279999</v>
          </cell>
        </row>
        <row r="465">
          <cell r="B465" t="str">
            <v>V17551-PIND-0052-02</v>
          </cell>
          <cell r="C465" t="str">
            <v>PROD/25-26/08063</v>
          </cell>
          <cell r="D465" t="str">
            <v/>
          </cell>
          <cell r="E465" t="str">
            <v>TJ/25-26/184-CS</v>
          </cell>
          <cell r="F465" t="str">
            <v>P5,P1</v>
          </cell>
          <cell r="G465">
            <v>0</v>
          </cell>
          <cell r="H465">
            <v>2</v>
          </cell>
          <cell r="I465" t="str">
            <v>Yes</v>
          </cell>
          <cell r="J465" t="str">
            <v/>
          </cell>
          <cell r="K465" t="str">
            <v>No</v>
          </cell>
          <cell r="L465" t="str">
            <v/>
          </cell>
          <cell r="M465" t="str">
            <v/>
          </cell>
          <cell r="N465" t="str">
            <v>Spool</v>
          </cell>
          <cell r="O465">
            <v>0</v>
          </cell>
          <cell r="P465">
            <v>0</v>
          </cell>
          <cell r="Q465" t="str">
            <v>CS</v>
          </cell>
          <cell r="R465">
            <v>1</v>
          </cell>
          <cell r="S465">
            <v>1</v>
          </cell>
          <cell r="T465">
            <v>130.58616000000001</v>
          </cell>
          <cell r="U465">
            <v>130.58616000000001</v>
          </cell>
        </row>
        <row r="466">
          <cell r="B466" t="str">
            <v>V17551-PIND-0054-02</v>
          </cell>
          <cell r="C466" t="str">
            <v>PROD/25-26/08064</v>
          </cell>
          <cell r="D466" t="str">
            <v/>
          </cell>
          <cell r="E466" t="str">
            <v>TJ/25-26/184-CS</v>
          </cell>
          <cell r="F466" t="str">
            <v>P5,P1</v>
          </cell>
          <cell r="G466">
            <v>0</v>
          </cell>
          <cell r="H466">
            <v>2</v>
          </cell>
          <cell r="I466" t="str">
            <v>Yes</v>
          </cell>
          <cell r="J466" t="str">
            <v/>
          </cell>
          <cell r="K466" t="str">
            <v>No</v>
          </cell>
          <cell r="L466" t="str">
            <v/>
          </cell>
          <cell r="M466" t="str">
            <v/>
          </cell>
          <cell r="N466" t="str">
            <v>Spool</v>
          </cell>
          <cell r="O466">
            <v>0</v>
          </cell>
          <cell r="P466">
            <v>0</v>
          </cell>
          <cell r="Q466" t="str">
            <v>CS</v>
          </cell>
          <cell r="R466">
            <v>1</v>
          </cell>
          <cell r="S466">
            <v>1</v>
          </cell>
          <cell r="T466">
            <v>139.14894000000001</v>
          </cell>
          <cell r="U466">
            <v>139.14894000000001</v>
          </cell>
        </row>
        <row r="467">
          <cell r="B467" t="str">
            <v>V17551-PIND-0056-02</v>
          </cell>
          <cell r="C467" t="str">
            <v>PROD/25-26/08065</v>
          </cell>
          <cell r="D467" t="str">
            <v/>
          </cell>
          <cell r="E467" t="str">
            <v>TJ/25-26/184-CS</v>
          </cell>
          <cell r="F467" t="str">
            <v>P5,P1</v>
          </cell>
          <cell r="G467">
            <v>0</v>
          </cell>
          <cell r="H467">
            <v>2</v>
          </cell>
          <cell r="I467" t="str">
            <v>Yes</v>
          </cell>
          <cell r="J467" t="str">
            <v/>
          </cell>
          <cell r="K467" t="str">
            <v>No</v>
          </cell>
          <cell r="L467" t="str">
            <v/>
          </cell>
          <cell r="M467" t="str">
            <v/>
          </cell>
          <cell r="N467" t="str">
            <v>Spool</v>
          </cell>
          <cell r="O467">
            <v>0</v>
          </cell>
          <cell r="P467">
            <v>0</v>
          </cell>
          <cell r="Q467" t="str">
            <v>CS</v>
          </cell>
          <cell r="R467">
            <v>1</v>
          </cell>
          <cell r="S467">
            <v>1</v>
          </cell>
          <cell r="T467">
            <v>130.56384</v>
          </cell>
          <cell r="U467">
            <v>130.56384</v>
          </cell>
        </row>
        <row r="468">
          <cell r="B468" t="str">
            <v>V17551-PIND-0058-02</v>
          </cell>
          <cell r="C468" t="str">
            <v>PROD/25-26/08066</v>
          </cell>
          <cell r="D468" t="str">
            <v/>
          </cell>
          <cell r="E468" t="str">
            <v>TJ/25-26/184-CS</v>
          </cell>
          <cell r="F468" t="str">
            <v>P5,P1</v>
          </cell>
          <cell r="G468">
            <v>0</v>
          </cell>
          <cell r="H468">
            <v>2</v>
          </cell>
          <cell r="I468" t="str">
            <v>Yes</v>
          </cell>
          <cell r="J468" t="str">
            <v/>
          </cell>
          <cell r="K468" t="str">
            <v>No</v>
          </cell>
          <cell r="L468" t="str">
            <v/>
          </cell>
          <cell r="M468" t="str">
            <v/>
          </cell>
          <cell r="N468" t="str">
            <v>Spool</v>
          </cell>
          <cell r="O468">
            <v>0</v>
          </cell>
          <cell r="P468">
            <v>0</v>
          </cell>
          <cell r="Q468" t="str">
            <v>CS</v>
          </cell>
          <cell r="R468">
            <v>1</v>
          </cell>
          <cell r="S468">
            <v>1</v>
          </cell>
          <cell r="T468">
            <v>139.18314000000001</v>
          </cell>
          <cell r="U468">
            <v>139.18314000000001</v>
          </cell>
        </row>
        <row r="469">
          <cell r="B469" t="str">
            <v>V17551-PIND-0060-02</v>
          </cell>
          <cell r="C469" t="str">
            <v>PROD/25-26/08067</v>
          </cell>
          <cell r="D469" t="str">
            <v/>
          </cell>
          <cell r="E469" t="str">
            <v>TJ/25-26/184-CS</v>
          </cell>
          <cell r="F469" t="str">
            <v>P5,P1</v>
          </cell>
          <cell r="G469">
            <v>0</v>
          </cell>
          <cell r="H469">
            <v>2</v>
          </cell>
          <cell r="I469" t="str">
            <v>Yes</v>
          </cell>
          <cell r="J469" t="str">
            <v/>
          </cell>
          <cell r="K469" t="str">
            <v>No</v>
          </cell>
          <cell r="L469" t="str">
            <v/>
          </cell>
          <cell r="M469" t="str">
            <v/>
          </cell>
          <cell r="N469" t="str">
            <v>Spool</v>
          </cell>
          <cell r="O469">
            <v>0</v>
          </cell>
          <cell r="P469">
            <v>0</v>
          </cell>
          <cell r="Q469" t="str">
            <v>CS</v>
          </cell>
          <cell r="R469">
            <v>1</v>
          </cell>
          <cell r="S469">
            <v>1</v>
          </cell>
          <cell r="T469">
            <v>130.56384</v>
          </cell>
          <cell r="U469">
            <v>130.56384</v>
          </cell>
        </row>
        <row r="470">
          <cell r="B470" t="str">
            <v>V17551-PIND-0062-02</v>
          </cell>
          <cell r="C470" t="str">
            <v>PROD/25-26/08416</v>
          </cell>
          <cell r="D470" t="str">
            <v/>
          </cell>
          <cell r="E470" t="str">
            <v>TJ/25-26/184-CS</v>
          </cell>
          <cell r="F470" t="str">
            <v>P5,P1</v>
          </cell>
          <cell r="G470">
            <v>0</v>
          </cell>
          <cell r="H470">
            <v>2</v>
          </cell>
          <cell r="I470" t="str">
            <v>Yes</v>
          </cell>
          <cell r="J470" t="str">
            <v/>
          </cell>
          <cell r="K470" t="str">
            <v>No</v>
          </cell>
          <cell r="L470" t="str">
            <v/>
          </cell>
          <cell r="M470" t="str">
            <v/>
          </cell>
          <cell r="N470" t="str">
            <v>Spool</v>
          </cell>
          <cell r="O470">
            <v>0</v>
          </cell>
          <cell r="P470">
            <v>0</v>
          </cell>
          <cell r="Q470" t="str">
            <v>CS</v>
          </cell>
          <cell r="R470">
            <v>1</v>
          </cell>
          <cell r="S470">
            <v>1</v>
          </cell>
          <cell r="T470">
            <v>139.16923645680001</v>
          </cell>
          <cell r="U470">
            <v>139.16923645680001</v>
          </cell>
        </row>
        <row r="471">
          <cell r="B471" t="str">
            <v>V17551-PIND-0064-02</v>
          </cell>
          <cell r="C471" t="str">
            <v>PROD/25-26/08068</v>
          </cell>
          <cell r="D471" t="str">
            <v/>
          </cell>
          <cell r="E471" t="str">
            <v>TJ/25-26/184-CS</v>
          </cell>
          <cell r="F471" t="str">
            <v>P5,P1</v>
          </cell>
          <cell r="G471">
            <v>0</v>
          </cell>
          <cell r="H471">
            <v>2</v>
          </cell>
          <cell r="I471" t="str">
            <v>Yes</v>
          </cell>
          <cell r="J471" t="str">
            <v/>
          </cell>
          <cell r="K471" t="str">
            <v>No</v>
          </cell>
          <cell r="L471" t="str">
            <v/>
          </cell>
          <cell r="M471" t="str">
            <v/>
          </cell>
          <cell r="N471" t="str">
            <v>Spool</v>
          </cell>
          <cell r="O471">
            <v>0</v>
          </cell>
          <cell r="P471">
            <v>0</v>
          </cell>
          <cell r="Q471" t="str">
            <v>CS</v>
          </cell>
          <cell r="R471">
            <v>1</v>
          </cell>
          <cell r="S471">
            <v>1</v>
          </cell>
          <cell r="T471">
            <v>130.57819645679999</v>
          </cell>
          <cell r="U471">
            <v>130.57819645679999</v>
          </cell>
        </row>
        <row r="472">
          <cell r="B472" t="str">
            <v>V17551-PIND-0066-02</v>
          </cell>
          <cell r="C472" t="str">
            <v>PROD/25-26/08069</v>
          </cell>
          <cell r="D472" t="str">
            <v/>
          </cell>
          <cell r="E472" t="str">
            <v>TJ/25-26/184-CS</v>
          </cell>
          <cell r="F472" t="str">
            <v>P5,P1</v>
          </cell>
          <cell r="G472">
            <v>0</v>
          </cell>
          <cell r="H472">
            <v>2</v>
          </cell>
          <cell r="I472" t="str">
            <v>Yes</v>
          </cell>
          <cell r="J472" t="str">
            <v/>
          </cell>
          <cell r="K472" t="str">
            <v>No</v>
          </cell>
          <cell r="L472" t="str">
            <v/>
          </cell>
          <cell r="M472" t="str">
            <v/>
          </cell>
          <cell r="N472" t="str">
            <v>Spool</v>
          </cell>
          <cell r="O472">
            <v>0</v>
          </cell>
          <cell r="P472">
            <v>0</v>
          </cell>
          <cell r="Q472" t="str">
            <v>CS</v>
          </cell>
          <cell r="R472">
            <v>1</v>
          </cell>
          <cell r="S472">
            <v>1</v>
          </cell>
          <cell r="T472">
            <v>139.1974964568</v>
          </cell>
          <cell r="U472">
            <v>139.1974964568</v>
          </cell>
        </row>
        <row r="473">
          <cell r="B473" t="str">
            <v>V17551-PIND-0068-02</v>
          </cell>
          <cell r="C473" t="str">
            <v>PROD/25-26/08070</v>
          </cell>
          <cell r="D473" t="str">
            <v/>
          </cell>
          <cell r="E473" t="str">
            <v>TJ/25-26/184-CS</v>
          </cell>
          <cell r="F473" t="str">
            <v>P5,P1</v>
          </cell>
          <cell r="G473">
            <v>0</v>
          </cell>
          <cell r="H473">
            <v>2</v>
          </cell>
          <cell r="I473" t="str">
            <v>Yes</v>
          </cell>
          <cell r="J473" t="str">
            <v/>
          </cell>
          <cell r="K473" t="str">
            <v>No</v>
          </cell>
          <cell r="L473" t="str">
            <v/>
          </cell>
          <cell r="M473" t="str">
            <v/>
          </cell>
          <cell r="N473" t="str">
            <v>Spool</v>
          </cell>
          <cell r="O473">
            <v>0</v>
          </cell>
          <cell r="P473">
            <v>0</v>
          </cell>
          <cell r="Q473" t="str">
            <v>CS</v>
          </cell>
          <cell r="R473">
            <v>1</v>
          </cell>
          <cell r="S473">
            <v>1</v>
          </cell>
          <cell r="T473">
            <v>130.57819645679999</v>
          </cell>
          <cell r="U473">
            <v>130.57819645679999</v>
          </cell>
        </row>
        <row r="474">
          <cell r="B474" t="str">
            <v>V17551-PIND-0070-02</v>
          </cell>
          <cell r="C474" t="str">
            <v>PROD/25-26/08071</v>
          </cell>
          <cell r="D474" t="str">
            <v/>
          </cell>
          <cell r="E474" t="str">
            <v>TJ/25-26/184-CS</v>
          </cell>
          <cell r="F474" t="str">
            <v>P5</v>
          </cell>
          <cell r="G474">
            <v>0</v>
          </cell>
          <cell r="H474">
            <v>2</v>
          </cell>
          <cell r="I474" t="str">
            <v>Yes</v>
          </cell>
          <cell r="J474" t="str">
            <v/>
          </cell>
          <cell r="K474" t="str">
            <v>No</v>
          </cell>
          <cell r="L474" t="str">
            <v/>
          </cell>
          <cell r="M474" t="str">
            <v/>
          </cell>
          <cell r="N474" t="str">
            <v>Spool</v>
          </cell>
          <cell r="O474">
            <v>0</v>
          </cell>
          <cell r="P474">
            <v>0</v>
          </cell>
          <cell r="Q474" t="str">
            <v>CS</v>
          </cell>
          <cell r="R474">
            <v>1</v>
          </cell>
          <cell r="S474">
            <v>1</v>
          </cell>
          <cell r="T474">
            <v>120.14884000000001</v>
          </cell>
          <cell r="U474">
            <v>120.14884000000001</v>
          </cell>
        </row>
        <row r="475">
          <cell r="B475" t="str">
            <v>V17551-PIND-0072-02</v>
          </cell>
          <cell r="C475" t="str">
            <v>PROD/25-26/08072</v>
          </cell>
          <cell r="D475" t="str">
            <v/>
          </cell>
          <cell r="E475" t="str">
            <v>TJ/25-26/184-CS</v>
          </cell>
          <cell r="F475" t="str">
            <v>P5</v>
          </cell>
          <cell r="G475">
            <v>0</v>
          </cell>
          <cell r="H475">
            <v>2</v>
          </cell>
          <cell r="I475" t="str">
            <v>Yes</v>
          </cell>
          <cell r="J475" t="str">
            <v/>
          </cell>
          <cell r="K475" t="str">
            <v>No</v>
          </cell>
          <cell r="L475" t="str">
            <v/>
          </cell>
          <cell r="M475" t="str">
            <v/>
          </cell>
          <cell r="N475" t="str">
            <v>Spool</v>
          </cell>
          <cell r="O475">
            <v>0</v>
          </cell>
          <cell r="P475">
            <v>0</v>
          </cell>
          <cell r="Q475" t="str">
            <v>CS</v>
          </cell>
          <cell r="R475">
            <v>1</v>
          </cell>
          <cell r="S475">
            <v>1</v>
          </cell>
          <cell r="T475">
            <v>68.376519999999999</v>
          </cell>
          <cell r="U475">
            <v>68.376519999999999</v>
          </cell>
        </row>
        <row r="476">
          <cell r="B476" t="str">
            <v>V17551-PIND-0074-02</v>
          </cell>
          <cell r="C476" t="str">
            <v>PROD/25-26/08073</v>
          </cell>
          <cell r="D476" t="str">
            <v/>
          </cell>
          <cell r="E476" t="str">
            <v>TJ/25-26/184-CS</v>
          </cell>
          <cell r="F476" t="str">
            <v>P5</v>
          </cell>
          <cell r="G476">
            <v>0</v>
          </cell>
          <cell r="H476">
            <v>2</v>
          </cell>
          <cell r="I476" t="str">
            <v>Yes</v>
          </cell>
          <cell r="J476" t="str">
            <v/>
          </cell>
          <cell r="K476" t="str">
            <v>No</v>
          </cell>
          <cell r="L476" t="str">
            <v/>
          </cell>
          <cell r="M476" t="str">
            <v/>
          </cell>
          <cell r="N476" t="str">
            <v>Spool</v>
          </cell>
          <cell r="O476">
            <v>0</v>
          </cell>
          <cell r="P476">
            <v>0</v>
          </cell>
          <cell r="Q476" t="str">
            <v>CS</v>
          </cell>
          <cell r="R476">
            <v>1</v>
          </cell>
          <cell r="S476">
            <v>1</v>
          </cell>
          <cell r="T476">
            <v>93.439099999999996</v>
          </cell>
          <cell r="U476">
            <v>93.439099999999996</v>
          </cell>
        </row>
        <row r="477">
          <cell r="B477" t="str">
            <v>V17551-PIND-0076-02</v>
          </cell>
          <cell r="C477" t="str">
            <v>PROD/25-26/08074</v>
          </cell>
          <cell r="D477" t="str">
            <v/>
          </cell>
          <cell r="E477" t="str">
            <v>TJ/25-26/184-CS</v>
          </cell>
          <cell r="F477" t="str">
            <v>P5</v>
          </cell>
          <cell r="G477">
            <v>0</v>
          </cell>
          <cell r="H477">
            <v>2</v>
          </cell>
          <cell r="I477" t="str">
            <v>Yes</v>
          </cell>
          <cell r="J477" t="str">
            <v/>
          </cell>
          <cell r="K477" t="str">
            <v>No</v>
          </cell>
          <cell r="L477" t="str">
            <v/>
          </cell>
          <cell r="M477" t="str">
            <v/>
          </cell>
          <cell r="N477" t="str">
            <v>Spool</v>
          </cell>
          <cell r="O477">
            <v>0</v>
          </cell>
          <cell r="P477">
            <v>0</v>
          </cell>
          <cell r="Q477" t="str">
            <v>CS</v>
          </cell>
          <cell r="R477">
            <v>1</v>
          </cell>
          <cell r="S477">
            <v>1</v>
          </cell>
          <cell r="T477">
            <v>114.85209999999999</v>
          </cell>
          <cell r="U477">
            <v>114.85209999999999</v>
          </cell>
        </row>
        <row r="478">
          <cell r="B478" t="str">
            <v>V17551-PIND-0078-02</v>
          </cell>
          <cell r="C478" t="str">
            <v>PROD/25-26/07432</v>
          </cell>
          <cell r="D478" t="str">
            <v/>
          </cell>
          <cell r="E478" t="str">
            <v>TJ/25-26/184-CS</v>
          </cell>
          <cell r="F478" t="str">
            <v>P5,P1</v>
          </cell>
          <cell r="G478">
            <v>0</v>
          </cell>
          <cell r="H478">
            <v>2</v>
          </cell>
          <cell r="I478" t="str">
            <v>Yes</v>
          </cell>
          <cell r="J478" t="str">
            <v/>
          </cell>
          <cell r="K478" t="str">
            <v>No</v>
          </cell>
          <cell r="L478" t="str">
            <v/>
          </cell>
          <cell r="M478" t="str">
            <v/>
          </cell>
          <cell r="N478" t="str">
            <v>Spool</v>
          </cell>
          <cell r="O478">
            <v>0</v>
          </cell>
          <cell r="P478">
            <v>0</v>
          </cell>
          <cell r="Q478" t="str">
            <v>CS</v>
          </cell>
          <cell r="R478">
            <v>1</v>
          </cell>
          <cell r="S478">
            <v>1</v>
          </cell>
          <cell r="T478">
            <v>550.69074636799996</v>
          </cell>
          <cell r="U478">
            <v>550.69074636799996</v>
          </cell>
        </row>
        <row r="479">
          <cell r="B479" t="str">
            <v>V17551-PIND-0079-02</v>
          </cell>
          <cell r="C479" t="str">
            <v>PROD/25-26/13257</v>
          </cell>
          <cell r="D479" t="str">
            <v/>
          </cell>
          <cell r="E479" t="str">
            <v>TJ/25-26/184-CS</v>
          </cell>
          <cell r="F479" t="str">
            <v>P5,P1</v>
          </cell>
          <cell r="G479">
            <v>0</v>
          </cell>
          <cell r="H479">
            <v>2</v>
          </cell>
          <cell r="I479" t="str">
            <v>Yes</v>
          </cell>
          <cell r="J479" t="str">
            <v/>
          </cell>
          <cell r="K479" t="str">
            <v>No</v>
          </cell>
          <cell r="L479" t="str">
            <v/>
          </cell>
          <cell r="M479" t="str">
            <v/>
          </cell>
          <cell r="N479" t="str">
            <v>Spool</v>
          </cell>
          <cell r="O479">
            <v>0</v>
          </cell>
          <cell r="P479">
            <v>0</v>
          </cell>
          <cell r="Q479" t="str">
            <v>CS</v>
          </cell>
          <cell r="R479">
            <v>1</v>
          </cell>
          <cell r="S479">
            <v>1</v>
          </cell>
          <cell r="T479">
            <v>7500.6345483759997</v>
          </cell>
          <cell r="U479">
            <v>7500.6345483759997</v>
          </cell>
        </row>
        <row r="480">
          <cell r="B480" t="str">
            <v>V17551-PIND-0080-02</v>
          </cell>
          <cell r="C480" t="str">
            <v>PROD/25-26/08654</v>
          </cell>
          <cell r="D480" t="str">
            <v/>
          </cell>
          <cell r="E480" t="str">
            <v>TJ/25-26/184-CS</v>
          </cell>
          <cell r="F480" t="str">
            <v>P5,P1</v>
          </cell>
          <cell r="G480">
            <v>0</v>
          </cell>
          <cell r="H480">
            <v>2</v>
          </cell>
          <cell r="I480" t="str">
            <v>Yes</v>
          </cell>
          <cell r="J480" t="str">
            <v/>
          </cell>
          <cell r="K480" t="str">
            <v>No</v>
          </cell>
          <cell r="L480" t="str">
            <v/>
          </cell>
          <cell r="M480" t="str">
            <v/>
          </cell>
          <cell r="N480" t="str">
            <v>Spool</v>
          </cell>
          <cell r="O480">
            <v>0</v>
          </cell>
          <cell r="P480">
            <v>0</v>
          </cell>
          <cell r="Q480" t="str">
            <v>CS</v>
          </cell>
          <cell r="R480">
            <v>1</v>
          </cell>
          <cell r="S480">
            <v>1</v>
          </cell>
          <cell r="T480">
            <v>3993.6569606080002</v>
          </cell>
          <cell r="U480">
            <v>3993.6569606080002</v>
          </cell>
        </row>
        <row r="481">
          <cell r="B481" t="str">
            <v>V17551-PIND-0081-02</v>
          </cell>
          <cell r="C481" t="str">
            <v>PROD/25-26/07434</v>
          </cell>
          <cell r="D481" t="str">
            <v>S-5077</v>
          </cell>
          <cell r="E481" t="str">
            <v>TJ/25-26/184-CS</v>
          </cell>
          <cell r="F481" t="str">
            <v>P5,P1</v>
          </cell>
          <cell r="G481">
            <v>0</v>
          </cell>
          <cell r="H481">
            <v>2</v>
          </cell>
          <cell r="I481" t="str">
            <v>Yes</v>
          </cell>
          <cell r="J481" t="str">
            <v/>
          </cell>
          <cell r="K481" t="str">
            <v>No</v>
          </cell>
          <cell r="L481" t="str">
            <v/>
          </cell>
          <cell r="M481" t="str">
            <v/>
          </cell>
          <cell r="N481" t="str">
            <v>Spool</v>
          </cell>
          <cell r="O481">
            <v>0</v>
          </cell>
          <cell r="P481">
            <v>0</v>
          </cell>
          <cell r="Q481" t="str">
            <v>CS</v>
          </cell>
          <cell r="R481">
            <v>1</v>
          </cell>
          <cell r="S481">
            <v>1</v>
          </cell>
          <cell r="T481">
            <v>1941.9768472000001</v>
          </cell>
          <cell r="U481">
            <v>1941.9768472000001</v>
          </cell>
        </row>
        <row r="482">
          <cell r="B482" t="str">
            <v>V17551-PIND-0082-02</v>
          </cell>
          <cell r="C482" t="str">
            <v>PROD/25-26/06629</v>
          </cell>
          <cell r="D482" t="str">
            <v>S-5079</v>
          </cell>
          <cell r="E482" t="str">
            <v>TJ/25-26/184-CS</v>
          </cell>
          <cell r="F482" t="str">
            <v>P5</v>
          </cell>
          <cell r="G482">
            <v>0</v>
          </cell>
          <cell r="H482">
            <v>2</v>
          </cell>
          <cell r="I482" t="str">
            <v>Yes</v>
          </cell>
          <cell r="J482" t="str">
            <v/>
          </cell>
          <cell r="K482" t="str">
            <v>No</v>
          </cell>
          <cell r="L482" t="str">
            <v/>
          </cell>
          <cell r="M482" t="str">
            <v/>
          </cell>
          <cell r="N482" t="str">
            <v>Spool</v>
          </cell>
          <cell r="O482">
            <v>0</v>
          </cell>
          <cell r="P482">
            <v>0</v>
          </cell>
          <cell r="Q482" t="str">
            <v>CS</v>
          </cell>
          <cell r="R482">
            <v>1</v>
          </cell>
          <cell r="S482">
            <v>1</v>
          </cell>
          <cell r="T482">
            <v>1639.7619999999999</v>
          </cell>
          <cell r="U482">
            <v>1639.7619999999999</v>
          </cell>
        </row>
        <row r="483">
          <cell r="B483" t="str">
            <v>V17551-PIND-0083-02</v>
          </cell>
          <cell r="C483" t="str">
            <v>PROD/25-26/12795</v>
          </cell>
          <cell r="D483" t="str">
            <v>S-5084</v>
          </cell>
          <cell r="E483" t="str">
            <v>TJ/25-26/184-CS</v>
          </cell>
          <cell r="F483" t="str">
            <v>P5,P1</v>
          </cell>
          <cell r="G483">
            <v>0</v>
          </cell>
          <cell r="H483">
            <v>2</v>
          </cell>
          <cell r="I483" t="str">
            <v>Yes</v>
          </cell>
          <cell r="J483" t="str">
            <v/>
          </cell>
          <cell r="K483" t="str">
            <v>No</v>
          </cell>
          <cell r="L483" t="str">
            <v/>
          </cell>
          <cell r="M483" t="str">
            <v/>
          </cell>
          <cell r="N483" t="str">
            <v>Spool</v>
          </cell>
          <cell r="O483">
            <v>0</v>
          </cell>
          <cell r="P483">
            <v>0</v>
          </cell>
          <cell r="Q483" t="str">
            <v>CS</v>
          </cell>
          <cell r="R483">
            <v>1</v>
          </cell>
          <cell r="S483">
            <v>1</v>
          </cell>
          <cell r="T483">
            <v>359.21249659199998</v>
          </cell>
          <cell r="U483">
            <v>359.21249659199998</v>
          </cell>
        </row>
        <row r="484">
          <cell r="B484" t="str">
            <v>V17551-PIND-0084-02</v>
          </cell>
          <cell r="C484" t="str">
            <v>PROD/25-26/08656</v>
          </cell>
          <cell r="D484" t="str">
            <v>S-5089</v>
          </cell>
          <cell r="E484" t="str">
            <v>TJ/25-26/184-P22</v>
          </cell>
          <cell r="F484" t="str">
            <v>P5</v>
          </cell>
          <cell r="G484">
            <v>0</v>
          </cell>
          <cell r="H484">
            <v>2</v>
          </cell>
          <cell r="I484" t="str">
            <v>Yes</v>
          </cell>
          <cell r="J484" t="str">
            <v/>
          </cell>
          <cell r="K484" t="str">
            <v>No</v>
          </cell>
          <cell r="L484" t="str">
            <v/>
          </cell>
          <cell r="M484" t="str">
            <v/>
          </cell>
          <cell r="N484" t="str">
            <v>Spool</v>
          </cell>
          <cell r="O484">
            <v>0</v>
          </cell>
          <cell r="P484">
            <v>0</v>
          </cell>
          <cell r="Q484" t="str">
            <v>P22</v>
          </cell>
          <cell r="R484">
            <v>1</v>
          </cell>
          <cell r="S484">
            <v>1</v>
          </cell>
          <cell r="T484">
            <v>1346.9200421600001</v>
          </cell>
          <cell r="U484">
            <v>1346.9200421600001</v>
          </cell>
        </row>
        <row r="485">
          <cell r="B485" t="str">
            <v>V17551-PIND-0085-02</v>
          </cell>
          <cell r="C485" t="str">
            <v>PROD/25-26/07436</v>
          </cell>
          <cell r="D485" t="str">
            <v/>
          </cell>
          <cell r="E485" t="str">
            <v>TJ/25-26/184-CS</v>
          </cell>
          <cell r="F485" t="str">
            <v>P5,P1</v>
          </cell>
          <cell r="G485">
            <v>0</v>
          </cell>
          <cell r="H485">
            <v>2</v>
          </cell>
          <cell r="I485" t="str">
            <v>Yes</v>
          </cell>
          <cell r="J485" t="str">
            <v/>
          </cell>
          <cell r="K485" t="str">
            <v>No</v>
          </cell>
          <cell r="L485" t="str">
            <v/>
          </cell>
          <cell r="M485" t="str">
            <v/>
          </cell>
          <cell r="N485" t="str">
            <v>Spool</v>
          </cell>
          <cell r="O485">
            <v>0</v>
          </cell>
          <cell r="P485">
            <v>0</v>
          </cell>
          <cell r="Q485" t="str">
            <v>CS</v>
          </cell>
          <cell r="R485">
            <v>1</v>
          </cell>
          <cell r="S485">
            <v>1</v>
          </cell>
          <cell r="T485">
            <v>298.729610304</v>
          </cell>
          <cell r="U485">
            <v>298.729610304</v>
          </cell>
        </row>
        <row r="486">
          <cell r="B486" t="str">
            <v>V17551-PIND-0086-02</v>
          </cell>
          <cell r="C486" t="str">
            <v>PROD/25-26/08077</v>
          </cell>
          <cell r="D486" t="str">
            <v>S-5096</v>
          </cell>
          <cell r="E486" t="str">
            <v>TJ/25-26/184-CS</v>
          </cell>
          <cell r="F486" t="str">
            <v>P5,P1</v>
          </cell>
          <cell r="G486">
            <v>0</v>
          </cell>
          <cell r="H486">
            <v>2</v>
          </cell>
          <cell r="I486" t="str">
            <v>Yes</v>
          </cell>
          <cell r="J486" t="str">
            <v/>
          </cell>
          <cell r="K486" t="str">
            <v>No</v>
          </cell>
          <cell r="L486" t="str">
            <v/>
          </cell>
          <cell r="M486" t="str">
            <v/>
          </cell>
          <cell r="N486" t="str">
            <v>Spool</v>
          </cell>
          <cell r="O486">
            <v>0</v>
          </cell>
          <cell r="P486">
            <v>0</v>
          </cell>
          <cell r="Q486" t="str">
            <v>CS</v>
          </cell>
          <cell r="R486">
            <v>1</v>
          </cell>
          <cell r="S486">
            <v>1</v>
          </cell>
          <cell r="T486">
            <v>366.69683179999998</v>
          </cell>
          <cell r="U486">
            <v>366.69683179999998</v>
          </cell>
        </row>
        <row r="487">
          <cell r="B487" t="str">
            <v>V17551-PIND-0087-02</v>
          </cell>
          <cell r="C487" t="str">
            <v>PROD/25-26/06827</v>
          </cell>
          <cell r="D487" t="str">
            <v>S-5099</v>
          </cell>
          <cell r="E487" t="str">
            <v>TJ/25-26/184-CS</v>
          </cell>
          <cell r="F487" t="str">
            <v>P5</v>
          </cell>
          <cell r="G487">
            <v>0</v>
          </cell>
          <cell r="H487">
            <v>2</v>
          </cell>
          <cell r="I487" t="str">
            <v>Yes</v>
          </cell>
          <cell r="J487" t="str">
            <v/>
          </cell>
          <cell r="K487" t="str">
            <v>No</v>
          </cell>
          <cell r="L487" t="str">
            <v/>
          </cell>
          <cell r="M487" t="str">
            <v/>
          </cell>
          <cell r="N487" t="str">
            <v>Spool</v>
          </cell>
          <cell r="O487">
            <v>0</v>
          </cell>
          <cell r="P487">
            <v>0</v>
          </cell>
          <cell r="Q487" t="str">
            <v>CS</v>
          </cell>
          <cell r="R487">
            <v>1</v>
          </cell>
          <cell r="S487">
            <v>1</v>
          </cell>
          <cell r="T487">
            <v>370.62619000000001</v>
          </cell>
          <cell r="U487">
            <v>370.62619000000001</v>
          </cell>
        </row>
        <row r="488">
          <cell r="B488" t="str">
            <v>V17551-PIND-0088-02</v>
          </cell>
          <cell r="C488" t="str">
            <v>PROD/25-26/14057</v>
          </cell>
          <cell r="D488" t="str">
            <v>S-5111</v>
          </cell>
          <cell r="E488" t="str">
            <v>TJ/25-26/184-P91</v>
          </cell>
          <cell r="F488" t="str">
            <v>P5</v>
          </cell>
          <cell r="G488">
            <v>0</v>
          </cell>
          <cell r="H488">
            <v>2</v>
          </cell>
          <cell r="I488" t="str">
            <v>Yes</v>
          </cell>
          <cell r="J488" t="str">
            <v/>
          </cell>
          <cell r="K488" t="str">
            <v>No</v>
          </cell>
          <cell r="L488" t="str">
            <v/>
          </cell>
          <cell r="M488" t="str">
            <v/>
          </cell>
          <cell r="N488" t="str">
            <v>Spool</v>
          </cell>
          <cell r="O488">
            <v>0</v>
          </cell>
          <cell r="P488">
            <v>0</v>
          </cell>
          <cell r="Q488" t="str">
            <v>P91</v>
          </cell>
          <cell r="R488">
            <v>1</v>
          </cell>
          <cell r="S488">
            <v>1</v>
          </cell>
          <cell r="T488">
            <v>1776.36956216</v>
          </cell>
          <cell r="U488">
            <v>1776.36956216</v>
          </cell>
        </row>
        <row r="489">
          <cell r="B489" t="str">
            <v>V17551-PIND-0089-02</v>
          </cell>
          <cell r="C489" t="str">
            <v>PROD/25-26/14058</v>
          </cell>
          <cell r="D489" t="str">
            <v>S-5114</v>
          </cell>
          <cell r="E489" t="str">
            <v>TJ/25-26/184-P91</v>
          </cell>
          <cell r="F489" t="str">
            <v>P5,P1</v>
          </cell>
          <cell r="G489">
            <v>0</v>
          </cell>
          <cell r="H489">
            <v>2</v>
          </cell>
          <cell r="I489" t="str">
            <v>Yes</v>
          </cell>
          <cell r="J489" t="str">
            <v/>
          </cell>
          <cell r="K489" t="str">
            <v>No</v>
          </cell>
          <cell r="L489" t="str">
            <v/>
          </cell>
          <cell r="M489" t="str">
            <v/>
          </cell>
          <cell r="N489" t="str">
            <v>Spool</v>
          </cell>
          <cell r="O489">
            <v>0</v>
          </cell>
          <cell r="P489">
            <v>0</v>
          </cell>
          <cell r="Q489" t="str">
            <v>P91</v>
          </cell>
          <cell r="R489">
            <v>1</v>
          </cell>
          <cell r="S489">
            <v>1</v>
          </cell>
          <cell r="T489">
            <v>4926.6740588831999</v>
          </cell>
          <cell r="U489">
            <v>4926.6740588831999</v>
          </cell>
        </row>
        <row r="490">
          <cell r="B490" t="str">
            <v>V17551-PIND-0090-02</v>
          </cell>
          <cell r="C490" t="str">
            <v>PROD/25-26/12799</v>
          </cell>
          <cell r="D490" t="str">
            <v>S-5118</v>
          </cell>
          <cell r="E490" t="str">
            <v>TJ/25-26/184-P91</v>
          </cell>
          <cell r="F490" t="str">
            <v>P5,P1</v>
          </cell>
          <cell r="G490">
            <v>0</v>
          </cell>
          <cell r="H490">
            <v>2</v>
          </cell>
          <cell r="I490" t="str">
            <v>Yes</v>
          </cell>
          <cell r="J490" t="str">
            <v/>
          </cell>
          <cell r="K490" t="str">
            <v>No</v>
          </cell>
          <cell r="L490" t="str">
            <v/>
          </cell>
          <cell r="M490" t="str">
            <v/>
          </cell>
          <cell r="N490" t="str">
            <v>Spool</v>
          </cell>
          <cell r="O490">
            <v>0</v>
          </cell>
          <cell r="P490">
            <v>0</v>
          </cell>
          <cell r="Q490" t="str">
            <v>P91</v>
          </cell>
          <cell r="R490">
            <v>1</v>
          </cell>
          <cell r="S490">
            <v>1</v>
          </cell>
          <cell r="T490">
            <v>2174.0597754559999</v>
          </cell>
          <cell r="U490">
            <v>2174.0597754559999</v>
          </cell>
        </row>
        <row r="491">
          <cell r="B491" t="str">
            <v>V17551-PIND-0094-02</v>
          </cell>
          <cell r="C491" t="str">
            <v>PROD/25-26/12801</v>
          </cell>
          <cell r="D491" t="str">
            <v/>
          </cell>
          <cell r="E491" t="str">
            <v>TJ/25-26/184-CS</v>
          </cell>
          <cell r="F491" t="str">
            <v>P5,P1</v>
          </cell>
          <cell r="G491">
            <v>0</v>
          </cell>
          <cell r="H491">
            <v>2</v>
          </cell>
          <cell r="I491" t="str">
            <v>Yes</v>
          </cell>
          <cell r="J491" t="str">
            <v/>
          </cell>
          <cell r="K491" t="str">
            <v>No</v>
          </cell>
          <cell r="L491" t="str">
            <v/>
          </cell>
          <cell r="M491" t="str">
            <v/>
          </cell>
          <cell r="N491" t="str">
            <v>Spool</v>
          </cell>
          <cell r="O491">
            <v>0</v>
          </cell>
          <cell r="P491">
            <v>0</v>
          </cell>
          <cell r="Q491" t="str">
            <v>CS</v>
          </cell>
          <cell r="R491">
            <v>1</v>
          </cell>
          <cell r="S491">
            <v>1</v>
          </cell>
          <cell r="T491">
            <v>112.884396592</v>
          </cell>
          <cell r="U491">
            <v>112.884396592</v>
          </cell>
        </row>
        <row r="492">
          <cell r="B492" t="str">
            <v>V17551-PIND-0095-02</v>
          </cell>
          <cell r="C492" t="str">
            <v>PROD/25-26/12802</v>
          </cell>
          <cell r="D492" t="str">
            <v>S-5127</v>
          </cell>
          <cell r="E492" t="str">
            <v>TJ/25-26/184-CS</v>
          </cell>
          <cell r="F492" t="str">
            <v>P5,P1</v>
          </cell>
          <cell r="G492">
            <v>0</v>
          </cell>
          <cell r="H492">
            <v>2</v>
          </cell>
          <cell r="I492" t="str">
            <v>Yes</v>
          </cell>
          <cell r="J492" t="str">
            <v/>
          </cell>
          <cell r="K492" t="str">
            <v>No</v>
          </cell>
          <cell r="L492" t="str">
            <v/>
          </cell>
          <cell r="M492" t="str">
            <v/>
          </cell>
          <cell r="N492" t="str">
            <v>Spool</v>
          </cell>
          <cell r="O492">
            <v>0</v>
          </cell>
          <cell r="P492">
            <v>0</v>
          </cell>
          <cell r="Q492" t="str">
            <v>CS</v>
          </cell>
          <cell r="R492">
            <v>1</v>
          </cell>
          <cell r="S492">
            <v>1</v>
          </cell>
          <cell r="T492">
            <v>648.03832533599996</v>
          </cell>
          <cell r="U492">
            <v>648.03832533599996</v>
          </cell>
        </row>
        <row r="493">
          <cell r="B493" t="str">
            <v>V17551-PIND-0096-02</v>
          </cell>
          <cell r="C493" t="str">
            <v>PROD/25-26/07438</v>
          </cell>
          <cell r="D493" t="str">
            <v>S-5129</v>
          </cell>
          <cell r="E493" t="str">
            <v>TJ/25-26/184-CS</v>
          </cell>
          <cell r="F493" t="str">
            <v>P5,P1</v>
          </cell>
          <cell r="G493">
            <v>0</v>
          </cell>
          <cell r="H493">
            <v>2</v>
          </cell>
          <cell r="I493" t="str">
            <v>Yes</v>
          </cell>
          <cell r="J493" t="str">
            <v/>
          </cell>
          <cell r="K493" t="str">
            <v>No</v>
          </cell>
          <cell r="L493" t="str">
            <v/>
          </cell>
          <cell r="M493" t="str">
            <v/>
          </cell>
          <cell r="N493" t="str">
            <v>Spool</v>
          </cell>
          <cell r="O493">
            <v>0</v>
          </cell>
          <cell r="P493">
            <v>0</v>
          </cell>
          <cell r="Q493" t="str">
            <v>CS</v>
          </cell>
          <cell r="R493">
            <v>1</v>
          </cell>
          <cell r="S493">
            <v>1</v>
          </cell>
          <cell r="T493">
            <v>297.05650060800002</v>
          </cell>
          <cell r="U493">
            <v>297.05650060800002</v>
          </cell>
        </row>
        <row r="494">
          <cell r="B494" t="str">
            <v>V17551-PIND-0098-02</v>
          </cell>
          <cell r="C494" t="str">
            <v>PROD/25-26/12803</v>
          </cell>
          <cell r="D494" t="str">
            <v>S-5132</v>
          </cell>
          <cell r="E494" t="str">
            <v>TJ/25-26/184-P11</v>
          </cell>
          <cell r="F494" t="str">
            <v>P5,P1</v>
          </cell>
          <cell r="G494">
            <v>0</v>
          </cell>
          <cell r="H494">
            <v>2</v>
          </cell>
          <cell r="I494" t="str">
            <v>Yes</v>
          </cell>
          <cell r="J494" t="str">
            <v/>
          </cell>
          <cell r="K494" t="str">
            <v>No</v>
          </cell>
          <cell r="L494" t="str">
            <v/>
          </cell>
          <cell r="M494" t="str">
            <v/>
          </cell>
          <cell r="N494" t="str">
            <v>Spool</v>
          </cell>
          <cell r="O494">
            <v>0</v>
          </cell>
          <cell r="P494">
            <v>0</v>
          </cell>
          <cell r="Q494" t="str">
            <v>P11</v>
          </cell>
          <cell r="R494">
            <v>1</v>
          </cell>
          <cell r="S494">
            <v>1</v>
          </cell>
          <cell r="T494">
            <v>91.549725519999996</v>
          </cell>
          <cell r="U494">
            <v>91.549725519999996</v>
          </cell>
        </row>
        <row r="495">
          <cell r="B495" t="str">
            <v>V17551-PIND-0099-02</v>
          </cell>
          <cell r="C495" t="str">
            <v>PROD/25-26/06825</v>
          </cell>
          <cell r="D495" t="str">
            <v>S-5135</v>
          </cell>
          <cell r="E495" t="str">
            <v>TJ/25-26/184-P11</v>
          </cell>
          <cell r="F495" t="str">
            <v>P5</v>
          </cell>
          <cell r="G495">
            <v>0</v>
          </cell>
          <cell r="H495">
            <v>2</v>
          </cell>
          <cell r="I495" t="str">
            <v>Yes</v>
          </cell>
          <cell r="J495" t="str">
            <v/>
          </cell>
          <cell r="K495" t="str">
            <v>No</v>
          </cell>
          <cell r="L495" t="str">
            <v/>
          </cell>
          <cell r="M495" t="str">
            <v/>
          </cell>
          <cell r="N495" t="str">
            <v>Spool</v>
          </cell>
          <cell r="O495">
            <v>0</v>
          </cell>
          <cell r="P495">
            <v>0</v>
          </cell>
          <cell r="Q495" t="str">
            <v>P11</v>
          </cell>
          <cell r="R495">
            <v>1</v>
          </cell>
          <cell r="S495">
            <v>1</v>
          </cell>
          <cell r="T495">
            <v>30.703600000000002</v>
          </cell>
          <cell r="U495">
            <v>30.703600000000002</v>
          </cell>
        </row>
        <row r="496">
          <cell r="B496" t="str">
            <v>V17551-PIND-0100-02</v>
          </cell>
          <cell r="C496" t="str">
            <v>PROD/25-26/06631</v>
          </cell>
          <cell r="D496" t="str">
            <v>S-5137</v>
          </cell>
          <cell r="E496" t="str">
            <v>TJ/25-26/184-CS</v>
          </cell>
          <cell r="F496" t="str">
            <v>P5</v>
          </cell>
          <cell r="G496">
            <v>0</v>
          </cell>
          <cell r="H496">
            <v>2</v>
          </cell>
          <cell r="I496" t="str">
            <v>Yes</v>
          </cell>
          <cell r="J496" t="str">
            <v/>
          </cell>
          <cell r="K496" t="str">
            <v>No</v>
          </cell>
          <cell r="L496" t="str">
            <v/>
          </cell>
          <cell r="M496" t="str">
            <v/>
          </cell>
          <cell r="N496" t="str">
            <v>Spool</v>
          </cell>
          <cell r="O496">
            <v>0</v>
          </cell>
          <cell r="P496">
            <v>0</v>
          </cell>
          <cell r="Q496" t="str">
            <v>CS</v>
          </cell>
          <cell r="R496">
            <v>1</v>
          </cell>
          <cell r="S496">
            <v>1</v>
          </cell>
          <cell r="T496">
            <v>40.199289999999998</v>
          </cell>
          <cell r="U496">
            <v>40.199289999999998</v>
          </cell>
        </row>
        <row r="497">
          <cell r="B497" t="str">
            <v>V17551-PIND-0101-02</v>
          </cell>
          <cell r="C497" t="str">
            <v>PROD/25-26/07440</v>
          </cell>
          <cell r="D497" t="str">
            <v/>
          </cell>
          <cell r="E497" t="str">
            <v>TJ/25-26/184-CS</v>
          </cell>
          <cell r="F497" t="str">
            <v>P5,P1</v>
          </cell>
          <cell r="G497">
            <v>0</v>
          </cell>
          <cell r="H497">
            <v>2</v>
          </cell>
          <cell r="I497" t="str">
            <v>Yes</v>
          </cell>
          <cell r="J497" t="str">
            <v/>
          </cell>
          <cell r="K497" t="str">
            <v>No</v>
          </cell>
          <cell r="L497" t="str">
            <v/>
          </cell>
          <cell r="M497" t="str">
            <v/>
          </cell>
          <cell r="N497" t="str">
            <v>Spool</v>
          </cell>
          <cell r="O497">
            <v>0</v>
          </cell>
          <cell r="P497">
            <v>0</v>
          </cell>
          <cell r="Q497" t="str">
            <v>CS</v>
          </cell>
          <cell r="R497">
            <v>1</v>
          </cell>
          <cell r="S497">
            <v>1</v>
          </cell>
          <cell r="T497">
            <v>75.145795152000005</v>
          </cell>
          <cell r="U497">
            <v>75.145795152000005</v>
          </cell>
        </row>
        <row r="498">
          <cell r="B498" t="str">
            <v>V17551-PIND-0102-02</v>
          </cell>
          <cell r="C498" t="str">
            <v>PROD/25-26/12805</v>
          </cell>
          <cell r="D498" t="str">
            <v>S-5140</v>
          </cell>
          <cell r="E498" t="str">
            <v>TJ/25-26/184-CS</v>
          </cell>
          <cell r="F498" t="str">
            <v>P5,P1</v>
          </cell>
          <cell r="G498">
            <v>0</v>
          </cell>
          <cell r="H498">
            <v>2</v>
          </cell>
          <cell r="I498" t="str">
            <v>Yes</v>
          </cell>
          <cell r="J498" t="str">
            <v/>
          </cell>
          <cell r="K498" t="str">
            <v>No</v>
          </cell>
          <cell r="L498" t="str">
            <v/>
          </cell>
          <cell r="M498" t="str">
            <v/>
          </cell>
          <cell r="N498" t="str">
            <v>Spool</v>
          </cell>
          <cell r="O498">
            <v>0</v>
          </cell>
          <cell r="P498">
            <v>0</v>
          </cell>
          <cell r="Q498" t="str">
            <v>CS</v>
          </cell>
          <cell r="R498">
            <v>1</v>
          </cell>
          <cell r="S498">
            <v>1</v>
          </cell>
          <cell r="T498">
            <v>66.127275151999996</v>
          </cell>
          <cell r="U498">
            <v>66.127275151999996</v>
          </cell>
        </row>
        <row r="499">
          <cell r="B499" t="str">
            <v>V17551-PIND-0103-02</v>
          </cell>
          <cell r="C499" t="str">
            <v>PROD/25-26/06632</v>
          </cell>
          <cell r="D499" t="str">
            <v>S-5143</v>
          </cell>
          <cell r="E499" t="str">
            <v>TJ/25-26/184-CS</v>
          </cell>
          <cell r="F499" t="str">
            <v>P5</v>
          </cell>
          <cell r="G499">
            <v>0</v>
          </cell>
          <cell r="H499">
            <v>2</v>
          </cell>
          <cell r="I499" t="str">
            <v>Yes</v>
          </cell>
          <cell r="J499" t="str">
            <v/>
          </cell>
          <cell r="K499" t="str">
            <v>No</v>
          </cell>
          <cell r="L499" t="str">
            <v/>
          </cell>
          <cell r="M499" t="str">
            <v/>
          </cell>
          <cell r="N499" t="str">
            <v>Spool</v>
          </cell>
          <cell r="O499">
            <v>0</v>
          </cell>
          <cell r="P499">
            <v>0</v>
          </cell>
          <cell r="Q499" t="str">
            <v>CS</v>
          </cell>
          <cell r="R499">
            <v>1</v>
          </cell>
          <cell r="S499">
            <v>1</v>
          </cell>
          <cell r="T499">
            <v>197.86215000000001</v>
          </cell>
          <cell r="U499">
            <v>197.86215000000001</v>
          </cell>
        </row>
        <row r="500">
          <cell r="B500" t="str">
            <v>V17551-PIND-0105-02</v>
          </cell>
          <cell r="C500" t="str">
            <v>PROD/25-26/08422</v>
          </cell>
          <cell r="D500" t="str">
            <v/>
          </cell>
          <cell r="E500" t="str">
            <v>TJ/25-26/184-CS</v>
          </cell>
          <cell r="F500" t="str">
            <v>P5,P1</v>
          </cell>
          <cell r="G500">
            <v>0</v>
          </cell>
          <cell r="H500">
            <v>2</v>
          </cell>
          <cell r="I500" t="str">
            <v>Yes</v>
          </cell>
          <cell r="J500" t="str">
            <v/>
          </cell>
          <cell r="K500" t="str">
            <v>No</v>
          </cell>
          <cell r="L500" t="str">
            <v/>
          </cell>
          <cell r="M500" t="str">
            <v/>
          </cell>
          <cell r="N500" t="str">
            <v>Spool</v>
          </cell>
          <cell r="O500">
            <v>0</v>
          </cell>
          <cell r="P500">
            <v>0</v>
          </cell>
          <cell r="Q500" t="str">
            <v>CS</v>
          </cell>
          <cell r="R500">
            <v>1</v>
          </cell>
          <cell r="S500">
            <v>1</v>
          </cell>
          <cell r="T500">
            <v>465.07946720000001</v>
          </cell>
          <cell r="U500">
            <v>465.07946720000001</v>
          </cell>
        </row>
        <row r="501">
          <cell r="B501" t="str">
            <v>V17551-PIND-0106-02</v>
          </cell>
          <cell r="C501" t="str">
            <v>PROD/25-26/08659</v>
          </cell>
          <cell r="D501" t="str">
            <v/>
          </cell>
          <cell r="E501" t="str">
            <v>TJ/25-26/184-CS</v>
          </cell>
          <cell r="F501" t="str">
            <v>P5</v>
          </cell>
          <cell r="G501">
            <v>0</v>
          </cell>
          <cell r="H501">
            <v>2</v>
          </cell>
          <cell r="I501" t="str">
            <v>Yes</v>
          </cell>
          <cell r="J501" t="str">
            <v/>
          </cell>
          <cell r="K501" t="str">
            <v>No</v>
          </cell>
          <cell r="L501" t="str">
            <v/>
          </cell>
          <cell r="M501" t="str">
            <v/>
          </cell>
          <cell r="N501" t="str">
            <v>Spool</v>
          </cell>
          <cell r="O501">
            <v>0</v>
          </cell>
          <cell r="P501">
            <v>0</v>
          </cell>
          <cell r="Q501" t="str">
            <v>CS</v>
          </cell>
          <cell r="R501">
            <v>1</v>
          </cell>
          <cell r="S501">
            <v>1</v>
          </cell>
          <cell r="T501">
            <v>84.504819999999995</v>
          </cell>
          <cell r="U501">
            <v>84.504819999999995</v>
          </cell>
        </row>
        <row r="502">
          <cell r="B502" t="str">
            <v>V17551-PIND-0107-02</v>
          </cell>
          <cell r="C502" t="str">
            <v>PROD/25-26/07441</v>
          </cell>
          <cell r="D502" t="str">
            <v/>
          </cell>
          <cell r="E502" t="str">
            <v>TJ/25-26/184-CS</v>
          </cell>
          <cell r="F502" t="str">
            <v>P5,P1</v>
          </cell>
          <cell r="G502">
            <v>0</v>
          </cell>
          <cell r="H502">
            <v>2</v>
          </cell>
          <cell r="I502" t="str">
            <v>Yes</v>
          </cell>
          <cell r="J502" t="str">
            <v/>
          </cell>
          <cell r="K502" t="str">
            <v>No</v>
          </cell>
          <cell r="L502" t="str">
            <v/>
          </cell>
          <cell r="M502" t="str">
            <v/>
          </cell>
          <cell r="N502" t="str">
            <v>Spool</v>
          </cell>
          <cell r="O502">
            <v>0</v>
          </cell>
          <cell r="P502">
            <v>0</v>
          </cell>
          <cell r="Q502" t="str">
            <v>CS</v>
          </cell>
          <cell r="R502">
            <v>1</v>
          </cell>
          <cell r="S502">
            <v>1</v>
          </cell>
          <cell r="T502">
            <v>142.49666611999999</v>
          </cell>
          <cell r="U502">
            <v>142.49666611999999</v>
          </cell>
        </row>
        <row r="503">
          <cell r="B503" t="str">
            <v>V17551-PIND-0108-02</v>
          </cell>
          <cell r="C503" t="str">
            <v>PROD/25-26/13259</v>
          </cell>
          <cell r="D503" t="str">
            <v>S-5148</v>
          </cell>
          <cell r="E503" t="str">
            <v>TJ/25-26/184-P11</v>
          </cell>
          <cell r="F503" t="str">
            <v>P5,P1</v>
          </cell>
          <cell r="G503">
            <v>0</v>
          </cell>
          <cell r="H503">
            <v>2</v>
          </cell>
          <cell r="I503" t="str">
            <v>Yes</v>
          </cell>
          <cell r="J503" t="str">
            <v/>
          </cell>
          <cell r="K503" t="str">
            <v>No</v>
          </cell>
          <cell r="L503" t="str">
            <v/>
          </cell>
          <cell r="M503" t="str">
            <v/>
          </cell>
          <cell r="N503" t="str">
            <v>Spool</v>
          </cell>
          <cell r="O503">
            <v>0</v>
          </cell>
          <cell r="P503">
            <v>0</v>
          </cell>
          <cell r="Q503" t="str">
            <v>CS</v>
          </cell>
          <cell r="R503">
            <v>1</v>
          </cell>
          <cell r="S503">
            <v>1</v>
          </cell>
          <cell r="T503">
            <v>1335.94877</v>
          </cell>
          <cell r="U503">
            <v>1335.94877</v>
          </cell>
        </row>
        <row r="504">
          <cell r="B504" t="str">
            <v>V17551-PIND-0109-02</v>
          </cell>
          <cell r="C504" t="str">
            <v>PROD/25-26/14059</v>
          </cell>
          <cell r="D504" t="str">
            <v>S-5153</v>
          </cell>
          <cell r="E504" t="str">
            <v>TJ/25-26/184-CS</v>
          </cell>
          <cell r="F504" t="str">
            <v>P5,P1</v>
          </cell>
          <cell r="G504">
            <v>0</v>
          </cell>
          <cell r="H504">
            <v>2</v>
          </cell>
          <cell r="I504" t="str">
            <v>Yes</v>
          </cell>
          <cell r="J504" t="str">
            <v/>
          </cell>
          <cell r="K504" t="str">
            <v>No</v>
          </cell>
          <cell r="L504" t="str">
            <v/>
          </cell>
          <cell r="M504" t="str">
            <v/>
          </cell>
          <cell r="N504" t="str">
            <v>Spool</v>
          </cell>
          <cell r="O504">
            <v>0</v>
          </cell>
          <cell r="P504">
            <v>0</v>
          </cell>
          <cell r="Q504" t="str">
            <v>CS</v>
          </cell>
          <cell r="R504">
            <v>1</v>
          </cell>
          <cell r="S504">
            <v>1</v>
          </cell>
          <cell r="T504">
            <v>1538.5424254239999</v>
          </cell>
          <cell r="U504">
            <v>1538.5424254239999</v>
          </cell>
        </row>
        <row r="505">
          <cell r="B505" t="str">
            <v>V17551-PIND-0110-02</v>
          </cell>
          <cell r="C505" t="str">
            <v>PROD/25-26/06633</v>
          </cell>
          <cell r="D505" t="str">
            <v/>
          </cell>
          <cell r="E505" t="str">
            <v>TJ/25-26/184-CS</v>
          </cell>
          <cell r="F505" t="str">
            <v>P5</v>
          </cell>
          <cell r="G505">
            <v>0</v>
          </cell>
          <cell r="H505">
            <v>2</v>
          </cell>
          <cell r="I505" t="str">
            <v>Yes</v>
          </cell>
          <cell r="J505" t="str">
            <v/>
          </cell>
          <cell r="K505" t="str">
            <v>No</v>
          </cell>
          <cell r="L505" t="str">
            <v/>
          </cell>
          <cell r="M505" t="str">
            <v/>
          </cell>
          <cell r="N505" t="str">
            <v>Spool</v>
          </cell>
          <cell r="O505">
            <v>0</v>
          </cell>
          <cell r="P505">
            <v>0</v>
          </cell>
          <cell r="Q505" t="str">
            <v>CS</v>
          </cell>
          <cell r="R505">
            <v>1</v>
          </cell>
          <cell r="S505">
            <v>1</v>
          </cell>
          <cell r="T505">
            <v>542.38522999999998</v>
          </cell>
          <cell r="U505">
            <v>542.38522999999998</v>
          </cell>
        </row>
        <row r="506">
          <cell r="B506" t="str">
            <v>V17551-PIND-0111-02</v>
          </cell>
          <cell r="C506" t="str">
            <v>PROD/25-26/07443</v>
          </cell>
          <cell r="D506" t="str">
            <v/>
          </cell>
          <cell r="E506" t="str">
            <v>TJ/25-26/184-CS</v>
          </cell>
          <cell r="F506" t="str">
            <v>P5,P1</v>
          </cell>
          <cell r="G506">
            <v>0</v>
          </cell>
          <cell r="H506">
            <v>2</v>
          </cell>
          <cell r="I506" t="str">
            <v>Yes</v>
          </cell>
          <cell r="J506" t="str">
            <v/>
          </cell>
          <cell r="K506" t="str">
            <v>No</v>
          </cell>
          <cell r="L506" t="str">
            <v/>
          </cell>
          <cell r="M506" t="str">
            <v/>
          </cell>
          <cell r="N506" t="str">
            <v>Spool</v>
          </cell>
          <cell r="O506">
            <v>0</v>
          </cell>
          <cell r="P506">
            <v>0</v>
          </cell>
          <cell r="Q506" t="str">
            <v>CS</v>
          </cell>
          <cell r="R506">
            <v>1</v>
          </cell>
          <cell r="S506">
            <v>1</v>
          </cell>
          <cell r="T506">
            <v>521.87051636800004</v>
          </cell>
          <cell r="U506">
            <v>521.87051636800004</v>
          </cell>
        </row>
        <row r="507">
          <cell r="B507" t="str">
            <v>V17551-PIND-0112-02</v>
          </cell>
          <cell r="C507" t="str">
            <v>PROD/25-26/06634</v>
          </cell>
          <cell r="D507" t="str">
            <v>S-5155</v>
          </cell>
          <cell r="E507" t="str">
            <v>TJ/25-26/184-CS</v>
          </cell>
          <cell r="F507" t="str">
            <v>P5</v>
          </cell>
          <cell r="G507">
            <v>0</v>
          </cell>
          <cell r="H507">
            <v>2</v>
          </cell>
          <cell r="I507" t="str">
            <v>Yes</v>
          </cell>
          <cell r="J507" t="str">
            <v/>
          </cell>
          <cell r="K507" t="str">
            <v>No</v>
          </cell>
          <cell r="L507" t="str">
            <v/>
          </cell>
          <cell r="M507" t="str">
            <v/>
          </cell>
          <cell r="N507" t="str">
            <v>Spool</v>
          </cell>
          <cell r="O507">
            <v>0</v>
          </cell>
          <cell r="P507">
            <v>0</v>
          </cell>
          <cell r="Q507" t="str">
            <v>CS</v>
          </cell>
          <cell r="R507">
            <v>1</v>
          </cell>
          <cell r="S507">
            <v>1</v>
          </cell>
          <cell r="T507">
            <v>86.782420000000002</v>
          </cell>
          <cell r="U507">
            <v>86.782420000000002</v>
          </cell>
        </row>
        <row r="508">
          <cell r="B508" t="str">
            <v>V17551-PIND-0113-06</v>
          </cell>
          <cell r="C508" t="str">
            <v>PROD/25-26/06635</v>
          </cell>
          <cell r="D508" t="str">
            <v>S-5159</v>
          </cell>
          <cell r="E508" t="str">
            <v>TJ/25-26/184-CS</v>
          </cell>
          <cell r="F508" t="str">
            <v>P5</v>
          </cell>
          <cell r="G508">
            <v>0</v>
          </cell>
          <cell r="H508">
            <v>2</v>
          </cell>
          <cell r="I508" t="str">
            <v>Yes</v>
          </cell>
          <cell r="J508" t="str">
            <v/>
          </cell>
          <cell r="K508" t="str">
            <v>No</v>
          </cell>
          <cell r="L508" t="str">
            <v/>
          </cell>
          <cell r="M508" t="str">
            <v/>
          </cell>
          <cell r="N508" t="str">
            <v>Spool</v>
          </cell>
          <cell r="O508">
            <v>0</v>
          </cell>
          <cell r="P508">
            <v>0</v>
          </cell>
          <cell r="Q508" t="str">
            <v>CS</v>
          </cell>
          <cell r="R508">
            <v>1</v>
          </cell>
          <cell r="S508">
            <v>1</v>
          </cell>
          <cell r="T508">
            <v>88.223680000000002</v>
          </cell>
          <cell r="U508">
            <v>88.223680000000002</v>
          </cell>
        </row>
        <row r="509">
          <cell r="B509" t="str">
            <v>V17551-PIND-0114-10</v>
          </cell>
          <cell r="C509" t="str">
            <v>PROD/25-26/06636</v>
          </cell>
          <cell r="D509" t="str">
            <v>S-5163</v>
          </cell>
          <cell r="E509" t="str">
            <v>TJ/25-26/184-CS</v>
          </cell>
          <cell r="F509" t="str">
            <v>P5</v>
          </cell>
          <cell r="G509">
            <v>0</v>
          </cell>
          <cell r="H509">
            <v>2</v>
          </cell>
          <cell r="I509" t="str">
            <v>Yes</v>
          </cell>
          <cell r="J509" t="str">
            <v/>
          </cell>
          <cell r="K509" t="str">
            <v>No</v>
          </cell>
          <cell r="L509" t="str">
            <v/>
          </cell>
          <cell r="M509" t="str">
            <v/>
          </cell>
          <cell r="N509" t="str">
            <v>Spool</v>
          </cell>
          <cell r="O509">
            <v>0</v>
          </cell>
          <cell r="P509">
            <v>0</v>
          </cell>
          <cell r="Q509" t="str">
            <v>CS</v>
          </cell>
          <cell r="R509">
            <v>1</v>
          </cell>
          <cell r="S509">
            <v>1</v>
          </cell>
          <cell r="T509">
            <v>89.636679999999998</v>
          </cell>
          <cell r="U509">
            <v>89.636679999999998</v>
          </cell>
        </row>
        <row r="510">
          <cell r="B510" t="str">
            <v>V17551-PIND-0115-14</v>
          </cell>
          <cell r="C510" t="str">
            <v>PROD/25-26/06637</v>
          </cell>
          <cell r="D510" t="str">
            <v>S-5167</v>
          </cell>
          <cell r="E510" t="str">
            <v>TJ/25-26/184-CS</v>
          </cell>
          <cell r="F510" t="str">
            <v>P5</v>
          </cell>
          <cell r="G510">
            <v>0</v>
          </cell>
          <cell r="H510">
            <v>2</v>
          </cell>
          <cell r="I510" t="str">
            <v>Yes</v>
          </cell>
          <cell r="J510" t="str">
            <v/>
          </cell>
          <cell r="K510" t="str">
            <v>No</v>
          </cell>
          <cell r="L510" t="str">
            <v/>
          </cell>
          <cell r="M510" t="str">
            <v/>
          </cell>
          <cell r="N510" t="str">
            <v>Spool</v>
          </cell>
          <cell r="O510">
            <v>0</v>
          </cell>
          <cell r="P510">
            <v>0</v>
          </cell>
          <cell r="Q510" t="str">
            <v>CS</v>
          </cell>
          <cell r="R510">
            <v>1</v>
          </cell>
          <cell r="S510">
            <v>1</v>
          </cell>
          <cell r="T510">
            <v>91.106200000000001</v>
          </cell>
          <cell r="U510">
            <v>91.106200000000001</v>
          </cell>
        </row>
        <row r="511">
          <cell r="B511" t="str">
            <v>V17551-PIND-0116-18</v>
          </cell>
          <cell r="C511" t="str">
            <v>PROD/25-26/06638</v>
          </cell>
          <cell r="D511" t="str">
            <v>S-5171</v>
          </cell>
          <cell r="E511" t="str">
            <v>TJ/25-26/184-CS</v>
          </cell>
          <cell r="F511" t="str">
            <v>P5</v>
          </cell>
          <cell r="G511">
            <v>0</v>
          </cell>
          <cell r="H511">
            <v>2</v>
          </cell>
          <cell r="I511" t="str">
            <v>Yes</v>
          </cell>
          <cell r="J511" t="str">
            <v/>
          </cell>
          <cell r="K511" t="str">
            <v>No</v>
          </cell>
          <cell r="L511" t="str">
            <v/>
          </cell>
          <cell r="M511" t="str">
            <v/>
          </cell>
          <cell r="N511" t="str">
            <v>Spool</v>
          </cell>
          <cell r="O511">
            <v>0</v>
          </cell>
          <cell r="P511">
            <v>0</v>
          </cell>
          <cell r="Q511" t="str">
            <v>CS</v>
          </cell>
          <cell r="R511">
            <v>1</v>
          </cell>
          <cell r="S511">
            <v>1</v>
          </cell>
          <cell r="T511">
            <v>92.519199999999998</v>
          </cell>
          <cell r="U511">
            <v>92.519199999999998</v>
          </cell>
        </row>
        <row r="512">
          <cell r="B512" t="str">
            <v>V17551-PIND-0117-22</v>
          </cell>
          <cell r="C512" t="str">
            <v>PROD/25-26/06639</v>
          </cell>
          <cell r="D512" t="str">
            <v>S-5175</v>
          </cell>
          <cell r="E512" t="str">
            <v>TJ/25-26/184-CS</v>
          </cell>
          <cell r="F512" t="str">
            <v>P5</v>
          </cell>
          <cell r="G512">
            <v>0</v>
          </cell>
          <cell r="H512">
            <v>2</v>
          </cell>
          <cell r="I512" t="str">
            <v>Yes</v>
          </cell>
          <cell r="J512" t="str">
            <v/>
          </cell>
          <cell r="K512" t="str">
            <v>No</v>
          </cell>
          <cell r="L512" t="str">
            <v/>
          </cell>
          <cell r="M512" t="str">
            <v/>
          </cell>
          <cell r="N512" t="str">
            <v>Spool</v>
          </cell>
          <cell r="O512">
            <v>0</v>
          </cell>
          <cell r="P512">
            <v>0</v>
          </cell>
          <cell r="Q512" t="str">
            <v>CS</v>
          </cell>
          <cell r="R512">
            <v>1</v>
          </cell>
          <cell r="S512">
            <v>1</v>
          </cell>
          <cell r="T512">
            <v>94.850459999999998</v>
          </cell>
          <cell r="U512">
            <v>94.850459999999998</v>
          </cell>
        </row>
        <row r="513">
          <cell r="B513" t="str">
            <v>V17551-PIND-0118-02</v>
          </cell>
          <cell r="C513" t="str">
            <v>PROD/25-26/08660</v>
          </cell>
          <cell r="D513" t="str">
            <v>S-5179</v>
          </cell>
          <cell r="E513" t="str">
            <v>TJ/25-26/184-CS</v>
          </cell>
          <cell r="F513" t="str">
            <v>P5</v>
          </cell>
          <cell r="G513">
            <v>0</v>
          </cell>
          <cell r="H513">
            <v>2</v>
          </cell>
          <cell r="I513" t="str">
            <v>Yes</v>
          </cell>
          <cell r="J513" t="str">
            <v/>
          </cell>
          <cell r="K513" t="str">
            <v>No</v>
          </cell>
          <cell r="L513" t="str">
            <v/>
          </cell>
          <cell r="M513" t="str">
            <v/>
          </cell>
          <cell r="N513" t="str">
            <v>Spool</v>
          </cell>
          <cell r="O513">
            <v>0</v>
          </cell>
          <cell r="P513">
            <v>0</v>
          </cell>
          <cell r="Q513" t="str">
            <v>CS</v>
          </cell>
          <cell r="R513">
            <v>1</v>
          </cell>
          <cell r="S513">
            <v>1</v>
          </cell>
          <cell r="T513">
            <v>1113.9379627200001</v>
          </cell>
          <cell r="U513">
            <v>1113.9379627200001</v>
          </cell>
        </row>
        <row r="514">
          <cell r="B514" t="str">
            <v>V17551-PIND-0119-02</v>
          </cell>
          <cell r="C514" t="str">
            <v>PROD/25-26/08424</v>
          </cell>
          <cell r="D514" t="str">
            <v/>
          </cell>
          <cell r="E514" t="str">
            <v>TJ/25-26/184-CS</v>
          </cell>
          <cell r="F514" t="str">
            <v>P5</v>
          </cell>
          <cell r="G514">
            <v>0</v>
          </cell>
          <cell r="H514">
            <v>2</v>
          </cell>
          <cell r="I514" t="str">
            <v>Yes</v>
          </cell>
          <cell r="J514" t="str">
            <v/>
          </cell>
          <cell r="K514" t="str">
            <v>No</v>
          </cell>
          <cell r="L514" t="str">
            <v/>
          </cell>
          <cell r="M514" t="str">
            <v/>
          </cell>
          <cell r="N514" t="str">
            <v>Spool</v>
          </cell>
          <cell r="O514">
            <v>0</v>
          </cell>
          <cell r="P514">
            <v>0</v>
          </cell>
          <cell r="Q514" t="str">
            <v>CS</v>
          </cell>
          <cell r="R514">
            <v>1</v>
          </cell>
          <cell r="S514">
            <v>1</v>
          </cell>
          <cell r="T514">
            <v>379.25200000000001</v>
          </cell>
          <cell r="U514">
            <v>379.25200000000001</v>
          </cell>
        </row>
        <row r="515">
          <cell r="B515" t="str">
            <v>V17551-PIND-0120-02</v>
          </cell>
          <cell r="C515" t="str">
            <v>PROD/25-26/07450</v>
          </cell>
          <cell r="D515" t="str">
            <v/>
          </cell>
          <cell r="E515" t="str">
            <v>TJ/25-26/184-CS</v>
          </cell>
          <cell r="F515" t="str">
            <v>P5</v>
          </cell>
          <cell r="G515">
            <v>0</v>
          </cell>
          <cell r="H515">
            <v>2</v>
          </cell>
          <cell r="I515" t="str">
            <v>Yes</v>
          </cell>
          <cell r="J515" t="str">
            <v/>
          </cell>
          <cell r="K515" t="str">
            <v>No</v>
          </cell>
          <cell r="L515" t="str">
            <v/>
          </cell>
          <cell r="M515" t="str">
            <v/>
          </cell>
          <cell r="N515" t="str">
            <v>Spool</v>
          </cell>
          <cell r="O515">
            <v>0</v>
          </cell>
          <cell r="P515">
            <v>0</v>
          </cell>
          <cell r="Q515" t="str">
            <v>CS</v>
          </cell>
          <cell r="R515">
            <v>1</v>
          </cell>
          <cell r="S515">
            <v>1</v>
          </cell>
          <cell r="T515">
            <v>358.77882</v>
          </cell>
          <cell r="U515">
            <v>358.77882</v>
          </cell>
        </row>
        <row r="516">
          <cell r="B516" t="str">
            <v>V17551-PIND-0121-02</v>
          </cell>
          <cell r="C516" t="str">
            <v>PROD/25-26/06824</v>
          </cell>
          <cell r="D516" t="str">
            <v/>
          </cell>
          <cell r="E516" t="str">
            <v>TJ/25-26/184-CS</v>
          </cell>
          <cell r="F516" t="str">
            <v>P5</v>
          </cell>
          <cell r="G516">
            <v>0</v>
          </cell>
          <cell r="H516">
            <v>2</v>
          </cell>
          <cell r="I516" t="str">
            <v>Yes</v>
          </cell>
          <cell r="J516" t="str">
            <v/>
          </cell>
          <cell r="K516" t="str">
            <v>No</v>
          </cell>
          <cell r="L516" t="str">
            <v/>
          </cell>
          <cell r="M516" t="str">
            <v/>
          </cell>
          <cell r="N516" t="str">
            <v>Spool</v>
          </cell>
          <cell r="O516">
            <v>0</v>
          </cell>
          <cell r="P516">
            <v>0</v>
          </cell>
          <cell r="Q516" t="str">
            <v>CS</v>
          </cell>
          <cell r="R516">
            <v>1</v>
          </cell>
          <cell r="S516">
            <v>1</v>
          </cell>
          <cell r="T516">
            <v>459.05811</v>
          </cell>
          <cell r="U516">
            <v>459.05811</v>
          </cell>
        </row>
        <row r="517">
          <cell r="B517" t="str">
            <v>V17551-PIND-0122-02</v>
          </cell>
          <cell r="C517" t="str">
            <v>PROD/25-26/13260</v>
          </cell>
          <cell r="D517" t="str">
            <v/>
          </cell>
          <cell r="E517" t="str">
            <v>TJ/25-26/184-CS</v>
          </cell>
          <cell r="F517" t="str">
            <v>P5,P1</v>
          </cell>
          <cell r="G517">
            <v>0</v>
          </cell>
          <cell r="H517">
            <v>2</v>
          </cell>
          <cell r="I517" t="str">
            <v>No</v>
          </cell>
          <cell r="J517" t="str">
            <v/>
          </cell>
          <cell r="K517" t="str">
            <v>No</v>
          </cell>
          <cell r="L517" t="str">
            <v/>
          </cell>
          <cell r="M517" t="str">
            <v/>
          </cell>
          <cell r="N517" t="str">
            <v>Spool</v>
          </cell>
          <cell r="O517">
            <v>0</v>
          </cell>
          <cell r="P517">
            <v>0</v>
          </cell>
          <cell r="Q517" t="str">
            <v>CS</v>
          </cell>
          <cell r="R517">
            <v>1</v>
          </cell>
          <cell r="S517">
            <v>1</v>
          </cell>
          <cell r="T517">
            <v>783.27938121600005</v>
          </cell>
          <cell r="U517">
            <v>783.27938121600005</v>
          </cell>
        </row>
        <row r="518">
          <cell r="B518" t="str">
            <v>V17551-PIND-0123-02</v>
          </cell>
          <cell r="C518" t="str">
            <v>PROD/25-26/08094</v>
          </cell>
          <cell r="D518" t="str">
            <v/>
          </cell>
          <cell r="E518" t="str">
            <v>TJ/25-26/184-CS</v>
          </cell>
          <cell r="F518" t="str">
            <v>P5</v>
          </cell>
          <cell r="G518">
            <v>0</v>
          </cell>
          <cell r="H518">
            <v>2</v>
          </cell>
          <cell r="I518" t="str">
            <v>Yes</v>
          </cell>
          <cell r="J518" t="str">
            <v/>
          </cell>
          <cell r="K518" t="str">
            <v>No</v>
          </cell>
          <cell r="L518" t="str">
            <v/>
          </cell>
          <cell r="M518" t="str">
            <v/>
          </cell>
          <cell r="N518" t="str">
            <v>Spool</v>
          </cell>
          <cell r="O518">
            <v>0</v>
          </cell>
          <cell r="P518">
            <v>0</v>
          </cell>
          <cell r="Q518" t="str">
            <v>CS</v>
          </cell>
          <cell r="R518">
            <v>1</v>
          </cell>
          <cell r="S518">
            <v>1</v>
          </cell>
          <cell r="T518">
            <v>285.85350216000001</v>
          </cell>
          <cell r="U518">
            <v>285.85350216000001</v>
          </cell>
        </row>
        <row r="519">
          <cell r="B519" t="str">
            <v>V17551-PIND-0125-02</v>
          </cell>
          <cell r="C519" t="str">
            <v>PROD/25-26/06642</v>
          </cell>
          <cell r="D519" t="str">
            <v>S-5182</v>
          </cell>
          <cell r="E519" t="str">
            <v>TJ/25-26/184-CS</v>
          </cell>
          <cell r="F519" t="str">
            <v>P5</v>
          </cell>
          <cell r="G519">
            <v>0</v>
          </cell>
          <cell r="H519">
            <v>2</v>
          </cell>
          <cell r="I519" t="str">
            <v>Yes</v>
          </cell>
          <cell r="J519" t="str">
            <v/>
          </cell>
          <cell r="K519" t="str">
            <v>No</v>
          </cell>
          <cell r="L519" t="str">
            <v/>
          </cell>
          <cell r="M519" t="str">
            <v/>
          </cell>
          <cell r="N519" t="str">
            <v>Spool</v>
          </cell>
          <cell r="O519">
            <v>0</v>
          </cell>
          <cell r="P519">
            <v>0</v>
          </cell>
          <cell r="Q519" t="str">
            <v>CS</v>
          </cell>
          <cell r="R519">
            <v>1</v>
          </cell>
          <cell r="S519">
            <v>1</v>
          </cell>
          <cell r="T519">
            <v>265.36281000000002</v>
          </cell>
          <cell r="U519">
            <v>265.36281000000002</v>
          </cell>
        </row>
        <row r="520">
          <cell r="B520" t="str">
            <v>V17551-PIND-0126-02</v>
          </cell>
          <cell r="C520" t="str">
            <v>PROD/25-26/08095</v>
          </cell>
          <cell r="D520" t="str">
            <v>S-5185</v>
          </cell>
          <cell r="E520" t="str">
            <v>TJ/25-26/184-CS</v>
          </cell>
          <cell r="F520" t="str">
            <v>P1,P1</v>
          </cell>
          <cell r="G520">
            <v>0</v>
          </cell>
          <cell r="H520">
            <v>2</v>
          </cell>
          <cell r="I520" t="str">
            <v>Yes</v>
          </cell>
          <cell r="J520" t="str">
            <v/>
          </cell>
          <cell r="K520" t="str">
            <v>No</v>
          </cell>
          <cell r="L520" t="str">
            <v/>
          </cell>
          <cell r="M520" t="str">
            <v/>
          </cell>
          <cell r="N520" t="str">
            <v>Spool</v>
          </cell>
          <cell r="O520">
            <v>0</v>
          </cell>
          <cell r="P520">
            <v>0</v>
          </cell>
          <cell r="Q520" t="str">
            <v>CS</v>
          </cell>
          <cell r="R520">
            <v>1</v>
          </cell>
          <cell r="S520">
            <v>1</v>
          </cell>
          <cell r="T520">
            <v>408.894980272</v>
          </cell>
          <cell r="U520">
            <v>408.894980272</v>
          </cell>
        </row>
        <row r="521">
          <cell r="B521" t="str">
            <v>V17551-PIND-0127-02</v>
          </cell>
          <cell r="C521" t="str">
            <v>PROD/25-26/07453</v>
          </cell>
          <cell r="D521" t="str">
            <v/>
          </cell>
          <cell r="E521" t="str">
            <v>TJ/25-26/184-CS</v>
          </cell>
          <cell r="F521" t="str">
            <v>P5,P1</v>
          </cell>
          <cell r="G521">
            <v>0</v>
          </cell>
          <cell r="H521">
            <v>2</v>
          </cell>
          <cell r="I521" t="str">
            <v>Yes</v>
          </cell>
          <cell r="J521" t="str">
            <v/>
          </cell>
          <cell r="K521" t="str">
            <v>No</v>
          </cell>
          <cell r="L521" t="str">
            <v/>
          </cell>
          <cell r="M521" t="str">
            <v/>
          </cell>
          <cell r="N521" t="str">
            <v>Spool</v>
          </cell>
          <cell r="O521">
            <v>0</v>
          </cell>
          <cell r="P521">
            <v>0</v>
          </cell>
          <cell r="Q521" t="str">
            <v>CS</v>
          </cell>
          <cell r="R521">
            <v>1</v>
          </cell>
          <cell r="S521">
            <v>1</v>
          </cell>
          <cell r="T521">
            <v>409.14156060800002</v>
          </cell>
          <cell r="U521">
            <v>409.14156060800002</v>
          </cell>
        </row>
        <row r="522">
          <cell r="B522" t="str">
            <v>V17551-PIND-0128-02</v>
          </cell>
          <cell r="C522" t="str">
            <v>PROD/25-26/08664</v>
          </cell>
          <cell r="D522" t="str">
            <v>S-5189</v>
          </cell>
          <cell r="E522" t="str">
            <v>TJ/25-26/184-CS</v>
          </cell>
          <cell r="F522" t="str">
            <v>P1,P1</v>
          </cell>
          <cell r="G522">
            <v>0</v>
          </cell>
          <cell r="H522">
            <v>2</v>
          </cell>
          <cell r="I522" t="str">
            <v>Yes</v>
          </cell>
          <cell r="J522" t="str">
            <v/>
          </cell>
          <cell r="K522" t="str">
            <v>No</v>
          </cell>
          <cell r="L522" t="str">
            <v/>
          </cell>
          <cell r="M522" t="str">
            <v/>
          </cell>
          <cell r="N522" t="str">
            <v>Spool</v>
          </cell>
          <cell r="O522">
            <v>0</v>
          </cell>
          <cell r="P522">
            <v>0</v>
          </cell>
          <cell r="Q522" t="str">
            <v>CS</v>
          </cell>
          <cell r="R522">
            <v>1</v>
          </cell>
          <cell r="S522">
            <v>1</v>
          </cell>
          <cell r="T522">
            <v>1833.122423648</v>
          </cell>
          <cell r="U522">
            <v>1833.122423648</v>
          </cell>
        </row>
        <row r="523">
          <cell r="B523" t="str">
            <v>V17551-PIND-0129-02</v>
          </cell>
          <cell r="C523" t="str">
            <v>PROD/25-26/06644</v>
          </cell>
          <cell r="D523" t="str">
            <v>S-5196</v>
          </cell>
          <cell r="E523" t="str">
            <v>TJ/25-26/184-CS</v>
          </cell>
          <cell r="F523" t="str">
            <v>P5</v>
          </cell>
          <cell r="G523">
            <v>0</v>
          </cell>
          <cell r="H523">
            <v>2</v>
          </cell>
          <cell r="I523" t="str">
            <v>Yes</v>
          </cell>
          <cell r="J523" t="str">
            <v/>
          </cell>
          <cell r="K523" t="str">
            <v>No</v>
          </cell>
          <cell r="L523" t="str">
            <v/>
          </cell>
          <cell r="M523" t="str">
            <v/>
          </cell>
          <cell r="N523" t="str">
            <v>Spool</v>
          </cell>
          <cell r="O523">
            <v>0</v>
          </cell>
          <cell r="P523">
            <v>0</v>
          </cell>
          <cell r="Q523" t="str">
            <v>CS</v>
          </cell>
          <cell r="R523">
            <v>1</v>
          </cell>
          <cell r="S523">
            <v>1</v>
          </cell>
          <cell r="T523">
            <v>206.53683000000001</v>
          </cell>
          <cell r="U523">
            <v>206.53683000000001</v>
          </cell>
        </row>
        <row r="524">
          <cell r="B524" t="str">
            <v>V17551-PIND-0130-02</v>
          </cell>
          <cell r="C524" t="str">
            <v>PROD/25-26/07455</v>
          </cell>
          <cell r="D524" t="str">
            <v/>
          </cell>
          <cell r="E524" t="str">
            <v>TJ/25-26/184-CS</v>
          </cell>
          <cell r="F524" t="str">
            <v>P5,P1</v>
          </cell>
          <cell r="G524">
            <v>0</v>
          </cell>
          <cell r="H524">
            <v>2</v>
          </cell>
          <cell r="I524" t="str">
            <v>Yes</v>
          </cell>
          <cell r="J524" t="str">
            <v/>
          </cell>
          <cell r="K524" t="str">
            <v>No</v>
          </cell>
          <cell r="L524" t="str">
            <v/>
          </cell>
          <cell r="M524" t="str">
            <v/>
          </cell>
          <cell r="N524" t="str">
            <v>Spool</v>
          </cell>
          <cell r="O524">
            <v>0</v>
          </cell>
          <cell r="P524">
            <v>0</v>
          </cell>
          <cell r="Q524" t="str">
            <v>CS</v>
          </cell>
          <cell r="R524">
            <v>1</v>
          </cell>
          <cell r="S524">
            <v>1</v>
          </cell>
          <cell r="T524">
            <v>728.43777060800005</v>
          </cell>
          <cell r="U524">
            <v>728.43777060800005</v>
          </cell>
        </row>
        <row r="525">
          <cell r="B525" t="str">
            <v>V17551-PIND-0131-02</v>
          </cell>
          <cell r="C525" t="str">
            <v>PROD/25-26/06645</v>
          </cell>
          <cell r="D525" t="str">
            <v>S-5201</v>
          </cell>
          <cell r="E525" t="str">
            <v>TJ/25-26/184-CS</v>
          </cell>
          <cell r="F525" t="str">
            <v>P5</v>
          </cell>
          <cell r="G525">
            <v>0</v>
          </cell>
          <cell r="H525">
            <v>2</v>
          </cell>
          <cell r="I525" t="str">
            <v>Yes</v>
          </cell>
          <cell r="J525" t="str">
            <v/>
          </cell>
          <cell r="K525" t="str">
            <v>No</v>
          </cell>
          <cell r="L525" t="str">
            <v/>
          </cell>
          <cell r="M525" t="str">
            <v/>
          </cell>
          <cell r="N525" t="str">
            <v>Spool</v>
          </cell>
          <cell r="O525">
            <v>0</v>
          </cell>
          <cell r="P525">
            <v>0</v>
          </cell>
          <cell r="Q525" t="str">
            <v>CS</v>
          </cell>
          <cell r="R525">
            <v>1</v>
          </cell>
          <cell r="S525">
            <v>1</v>
          </cell>
          <cell r="T525">
            <v>259.95006000000001</v>
          </cell>
          <cell r="U525">
            <v>259.95006000000001</v>
          </cell>
        </row>
        <row r="526">
          <cell r="B526" t="str">
            <v>V17551-PIND-0133-02</v>
          </cell>
          <cell r="C526" t="str">
            <v>PROD/25-26/07457</v>
          </cell>
          <cell r="D526" t="str">
            <v/>
          </cell>
          <cell r="E526" t="str">
            <v>TJ/25-26/184-CS</v>
          </cell>
          <cell r="F526" t="str">
            <v>P5,P1</v>
          </cell>
          <cell r="G526">
            <v>0</v>
          </cell>
          <cell r="H526">
            <v>2</v>
          </cell>
          <cell r="I526" t="str">
            <v>Yes</v>
          </cell>
          <cell r="J526" t="str">
            <v/>
          </cell>
          <cell r="K526" t="str">
            <v>No</v>
          </cell>
          <cell r="L526" t="str">
            <v/>
          </cell>
          <cell r="M526" t="str">
            <v/>
          </cell>
          <cell r="N526" t="str">
            <v>Spool</v>
          </cell>
          <cell r="O526">
            <v>0</v>
          </cell>
          <cell r="P526">
            <v>0</v>
          </cell>
          <cell r="Q526" t="str">
            <v>CS</v>
          </cell>
          <cell r="R526">
            <v>1</v>
          </cell>
          <cell r="S526">
            <v>1</v>
          </cell>
          <cell r="T526">
            <v>96.110960000000006</v>
          </cell>
          <cell r="U526">
            <v>96.110960000000006</v>
          </cell>
        </row>
        <row r="527">
          <cell r="B527" t="str">
            <v>V17551-PIND-0134-02</v>
          </cell>
          <cell r="C527" t="str">
            <v>PROD/25-26/14206</v>
          </cell>
          <cell r="D527" t="str">
            <v/>
          </cell>
          <cell r="E527" t="str">
            <v>TJ/25-26/184-CS</v>
          </cell>
          <cell r="F527" t="str">
            <v>P5</v>
          </cell>
          <cell r="G527">
            <v>0</v>
          </cell>
          <cell r="H527">
            <v>2</v>
          </cell>
          <cell r="I527" t="str">
            <v>Yes</v>
          </cell>
          <cell r="J527" t="str">
            <v/>
          </cell>
          <cell r="K527" t="str">
            <v>No</v>
          </cell>
          <cell r="L527" t="str">
            <v/>
          </cell>
          <cell r="M527" t="str">
            <v/>
          </cell>
          <cell r="N527" t="str">
            <v>Spool</v>
          </cell>
          <cell r="O527">
            <v>0</v>
          </cell>
          <cell r="P527">
            <v>0</v>
          </cell>
          <cell r="Q527" t="str">
            <v>CS</v>
          </cell>
          <cell r="R527">
            <v>1</v>
          </cell>
          <cell r="S527">
            <v>1</v>
          </cell>
          <cell r="T527">
            <v>266.02071999999998</v>
          </cell>
          <cell r="U527">
            <v>266.02071999999998</v>
          </cell>
        </row>
        <row r="528">
          <cell r="B528" t="str">
            <v>V17551-PIND-0135-02</v>
          </cell>
          <cell r="C528" t="str">
            <v>PROD/25-26/12811</v>
          </cell>
          <cell r="D528" t="str">
            <v>S-5205</v>
          </cell>
          <cell r="E528" t="str">
            <v>TJ/25-26/184-CS</v>
          </cell>
          <cell r="F528" t="str">
            <v>P5</v>
          </cell>
          <cell r="G528">
            <v>0</v>
          </cell>
          <cell r="H528">
            <v>2</v>
          </cell>
          <cell r="I528" t="str">
            <v>Yes</v>
          </cell>
          <cell r="J528" t="str">
            <v/>
          </cell>
          <cell r="K528" t="str">
            <v>No</v>
          </cell>
          <cell r="L528" t="str">
            <v/>
          </cell>
          <cell r="M528" t="str">
            <v/>
          </cell>
          <cell r="N528" t="str">
            <v>Spool</v>
          </cell>
          <cell r="O528">
            <v>0</v>
          </cell>
          <cell r="P528">
            <v>0</v>
          </cell>
          <cell r="Q528" t="str">
            <v>CS</v>
          </cell>
          <cell r="R528">
            <v>1</v>
          </cell>
          <cell r="S528">
            <v>1</v>
          </cell>
          <cell r="T528">
            <v>90.252960000000002</v>
          </cell>
          <cell r="U528">
            <v>90.252960000000002</v>
          </cell>
        </row>
        <row r="529">
          <cell r="B529" t="str">
            <v>V17551-PIND-0136-02</v>
          </cell>
          <cell r="C529" t="str">
            <v>PROD/25-26/13263</v>
          </cell>
          <cell r="D529" t="str">
            <v/>
          </cell>
          <cell r="E529" t="str">
            <v>TJ/25-26/184-P22</v>
          </cell>
          <cell r="F529" t="str">
            <v>P5,P1</v>
          </cell>
          <cell r="G529">
            <v>0</v>
          </cell>
          <cell r="H529">
            <v>2</v>
          </cell>
          <cell r="I529" t="str">
            <v>Yes</v>
          </cell>
          <cell r="J529" t="str">
            <v/>
          </cell>
          <cell r="K529" t="str">
            <v>No</v>
          </cell>
          <cell r="L529" t="str">
            <v/>
          </cell>
          <cell r="M529" t="str">
            <v/>
          </cell>
          <cell r="N529" t="str">
            <v>Spool</v>
          </cell>
          <cell r="O529">
            <v>0</v>
          </cell>
          <cell r="P529">
            <v>0</v>
          </cell>
          <cell r="Q529" t="str">
            <v>P22</v>
          </cell>
          <cell r="R529">
            <v>1</v>
          </cell>
          <cell r="S529">
            <v>1</v>
          </cell>
          <cell r="T529">
            <v>3455.3639074719999</v>
          </cell>
          <cell r="U529">
            <v>3455.3639074719999</v>
          </cell>
        </row>
        <row r="530">
          <cell r="B530" t="str">
            <v>V17551-PIND-0139-02</v>
          </cell>
          <cell r="C530" t="str">
            <v>PROD/25-26/12814</v>
          </cell>
          <cell r="D530" t="str">
            <v>S-5208</v>
          </cell>
          <cell r="E530" t="str">
            <v>TJ/25-26/184-P22</v>
          </cell>
          <cell r="F530" t="str">
            <v>P5,P1</v>
          </cell>
          <cell r="G530">
            <v>0</v>
          </cell>
          <cell r="H530">
            <v>2</v>
          </cell>
          <cell r="I530" t="str">
            <v>Yes</v>
          </cell>
          <cell r="J530" t="str">
            <v/>
          </cell>
          <cell r="K530" t="str">
            <v>No</v>
          </cell>
          <cell r="L530" t="str">
            <v/>
          </cell>
          <cell r="M530" t="str">
            <v/>
          </cell>
          <cell r="N530" t="str">
            <v>Spool</v>
          </cell>
          <cell r="O530">
            <v>0</v>
          </cell>
          <cell r="P530">
            <v>0</v>
          </cell>
          <cell r="Q530" t="str">
            <v>P22</v>
          </cell>
          <cell r="R530">
            <v>1</v>
          </cell>
          <cell r="S530">
            <v>1</v>
          </cell>
          <cell r="T530">
            <v>1711.6777811520001</v>
          </cell>
          <cell r="U530">
            <v>1711.6777811520001</v>
          </cell>
        </row>
        <row r="531">
          <cell r="B531" t="str">
            <v>V17551-PIND-0140-02</v>
          </cell>
          <cell r="C531" t="str">
            <v>PROD/25-26/12815</v>
          </cell>
          <cell r="D531" t="str">
            <v>S-5211</v>
          </cell>
          <cell r="E531" t="str">
            <v>TJ/25-26/184-P22</v>
          </cell>
          <cell r="F531" t="str">
            <v>P5,P1</v>
          </cell>
          <cell r="G531">
            <v>0</v>
          </cell>
          <cell r="H531">
            <v>2</v>
          </cell>
          <cell r="I531" t="str">
            <v>Yes</v>
          </cell>
          <cell r="J531" t="str">
            <v/>
          </cell>
          <cell r="K531" t="str">
            <v>No</v>
          </cell>
          <cell r="L531" t="str">
            <v/>
          </cell>
          <cell r="M531" t="str">
            <v/>
          </cell>
          <cell r="N531" t="str">
            <v>Spool</v>
          </cell>
          <cell r="O531">
            <v>0</v>
          </cell>
          <cell r="P531">
            <v>0</v>
          </cell>
          <cell r="Q531" t="str">
            <v>P22</v>
          </cell>
          <cell r="R531">
            <v>1</v>
          </cell>
          <cell r="S531">
            <v>1</v>
          </cell>
          <cell r="T531">
            <v>1860.3334802720001</v>
          </cell>
          <cell r="U531">
            <v>1860.3334802720001</v>
          </cell>
        </row>
        <row r="532">
          <cell r="B532" t="str">
            <v>V17551-PIND-0141-02</v>
          </cell>
          <cell r="C532" t="str">
            <v>PROD/25-26/12816</v>
          </cell>
          <cell r="D532" t="str">
            <v/>
          </cell>
          <cell r="E532" t="str">
            <v>TJ/25-26/184-P22</v>
          </cell>
          <cell r="F532" t="str">
            <v>P5,P1</v>
          </cell>
          <cell r="G532">
            <v>0</v>
          </cell>
          <cell r="H532">
            <v>2</v>
          </cell>
          <cell r="I532" t="str">
            <v>Yes</v>
          </cell>
          <cell r="J532" t="str">
            <v/>
          </cell>
          <cell r="K532" t="str">
            <v>No</v>
          </cell>
          <cell r="L532" t="str">
            <v/>
          </cell>
          <cell r="M532" t="str">
            <v/>
          </cell>
          <cell r="N532" t="str">
            <v>Spool</v>
          </cell>
          <cell r="O532">
            <v>0</v>
          </cell>
          <cell r="P532">
            <v>0</v>
          </cell>
          <cell r="Q532" t="str">
            <v>P91</v>
          </cell>
          <cell r="R532">
            <v>1</v>
          </cell>
          <cell r="S532">
            <v>1</v>
          </cell>
          <cell r="T532">
            <v>3847.2062787599998</v>
          </cell>
          <cell r="U532">
            <v>3847.2062787599998</v>
          </cell>
        </row>
        <row r="533">
          <cell r="B533" t="str">
            <v>V17551-PIND-0143-02</v>
          </cell>
          <cell r="C533" t="str">
            <v>PROD/25-26/06646</v>
          </cell>
          <cell r="D533" t="str">
            <v/>
          </cell>
          <cell r="E533" t="str">
            <v>TJ/25-26/184-CS</v>
          </cell>
          <cell r="F533" t="str">
            <v>P1</v>
          </cell>
          <cell r="G533">
            <v>0</v>
          </cell>
          <cell r="H533">
            <v>2</v>
          </cell>
          <cell r="I533" t="str">
            <v>Yes</v>
          </cell>
          <cell r="J533" t="str">
            <v/>
          </cell>
          <cell r="K533" t="str">
            <v>No</v>
          </cell>
          <cell r="L533" t="str">
            <v/>
          </cell>
          <cell r="M533" t="str">
            <v/>
          </cell>
          <cell r="N533" t="str">
            <v>Spool</v>
          </cell>
          <cell r="O533">
            <v>0</v>
          </cell>
          <cell r="P533">
            <v>0</v>
          </cell>
          <cell r="Q533" t="str">
            <v>CS</v>
          </cell>
          <cell r="R533">
            <v>1</v>
          </cell>
          <cell r="S533">
            <v>1</v>
          </cell>
          <cell r="T533">
            <v>944.01374999999996</v>
          </cell>
          <cell r="U533">
            <v>944.01374999999996</v>
          </cell>
        </row>
        <row r="534">
          <cell r="B534" t="str">
            <v>V17551-PIND-0144-02</v>
          </cell>
          <cell r="C534" t="str">
            <v>PROD/25-26/06647</v>
          </cell>
          <cell r="D534" t="str">
            <v/>
          </cell>
          <cell r="E534" t="str">
            <v>TJ/25-26/184-CS</v>
          </cell>
          <cell r="F534" t="str">
            <v>P1</v>
          </cell>
          <cell r="G534">
            <v>0</v>
          </cell>
          <cell r="H534">
            <v>2</v>
          </cell>
          <cell r="I534" t="str">
            <v>Yes</v>
          </cell>
          <cell r="J534" t="str">
            <v/>
          </cell>
          <cell r="K534" t="str">
            <v>No</v>
          </cell>
          <cell r="L534" t="str">
            <v/>
          </cell>
          <cell r="M534" t="str">
            <v/>
          </cell>
          <cell r="N534" t="str">
            <v>Spool</v>
          </cell>
          <cell r="O534">
            <v>0</v>
          </cell>
          <cell r="P534">
            <v>0</v>
          </cell>
          <cell r="Q534" t="str">
            <v>CS</v>
          </cell>
          <cell r="R534">
            <v>1</v>
          </cell>
          <cell r="S534">
            <v>1</v>
          </cell>
          <cell r="T534">
            <v>47.964320000000001</v>
          </cell>
          <cell r="U534">
            <v>47.964320000000001</v>
          </cell>
        </row>
        <row r="535">
          <cell r="B535" t="str">
            <v>V17551-PIND-0145-02</v>
          </cell>
          <cell r="C535" t="str">
            <v>PROD/25-26/07459</v>
          </cell>
          <cell r="D535" t="str">
            <v/>
          </cell>
          <cell r="E535" t="str">
            <v>TJ/25-26/184-CS</v>
          </cell>
          <cell r="F535" t="str">
            <v>P1</v>
          </cell>
          <cell r="G535">
            <v>0</v>
          </cell>
          <cell r="H535">
            <v>2</v>
          </cell>
          <cell r="I535" t="str">
            <v>Yes</v>
          </cell>
          <cell r="J535" t="str">
            <v/>
          </cell>
          <cell r="K535" t="str">
            <v>No</v>
          </cell>
          <cell r="L535" t="str">
            <v/>
          </cell>
          <cell r="M535" t="str">
            <v/>
          </cell>
          <cell r="N535" t="str">
            <v>Spool</v>
          </cell>
          <cell r="O535">
            <v>0</v>
          </cell>
          <cell r="P535">
            <v>0</v>
          </cell>
          <cell r="Q535" t="str">
            <v>CS</v>
          </cell>
          <cell r="R535">
            <v>1</v>
          </cell>
          <cell r="S535">
            <v>1</v>
          </cell>
          <cell r="T535">
            <v>110.83168000000001</v>
          </cell>
          <cell r="U535">
            <v>110.83168000000001</v>
          </cell>
        </row>
        <row r="536">
          <cell r="B536" t="str">
            <v>V17551-PIND-0147-07</v>
          </cell>
          <cell r="C536" t="str">
            <v>PROD/25-26/08434</v>
          </cell>
          <cell r="D536" t="str">
            <v>S-5222</v>
          </cell>
          <cell r="E536" t="str">
            <v>TJ/25-26/184-CS</v>
          </cell>
          <cell r="F536" t="str">
            <v>P5,P1</v>
          </cell>
          <cell r="G536">
            <v>0</v>
          </cell>
          <cell r="H536">
            <v>2</v>
          </cell>
          <cell r="I536" t="str">
            <v>Yes</v>
          </cell>
          <cell r="J536" t="str">
            <v/>
          </cell>
          <cell r="K536" t="str">
            <v>No</v>
          </cell>
          <cell r="L536" t="str">
            <v/>
          </cell>
          <cell r="M536" t="str">
            <v/>
          </cell>
          <cell r="N536" t="str">
            <v>Spool</v>
          </cell>
          <cell r="O536">
            <v>0</v>
          </cell>
          <cell r="P536">
            <v>0</v>
          </cell>
          <cell r="Q536" t="str">
            <v>CS</v>
          </cell>
          <cell r="R536">
            <v>1</v>
          </cell>
          <cell r="S536">
            <v>1</v>
          </cell>
          <cell r="T536">
            <v>226.080610304</v>
          </cell>
          <cell r="U536">
            <v>226.080610304</v>
          </cell>
        </row>
        <row r="537">
          <cell r="B537" t="str">
            <v>V17551-PIND-0148-02</v>
          </cell>
          <cell r="C537" t="str">
            <v>PROD/25-26/08435</v>
          </cell>
          <cell r="D537" t="str">
            <v/>
          </cell>
          <cell r="E537" t="str">
            <v>TJ/25-26/184-CS</v>
          </cell>
          <cell r="F537" t="str">
            <v>P5,P1</v>
          </cell>
          <cell r="G537">
            <v>0</v>
          </cell>
          <cell r="H537">
            <v>2</v>
          </cell>
          <cell r="I537" t="str">
            <v>Yes</v>
          </cell>
          <cell r="J537" t="str">
            <v/>
          </cell>
          <cell r="K537" t="str">
            <v>No</v>
          </cell>
          <cell r="L537" t="str">
            <v/>
          </cell>
          <cell r="M537" t="str">
            <v/>
          </cell>
          <cell r="N537" t="str">
            <v>Spool</v>
          </cell>
          <cell r="O537">
            <v>0</v>
          </cell>
          <cell r="P537">
            <v>0</v>
          </cell>
          <cell r="Q537" t="str">
            <v>CS</v>
          </cell>
          <cell r="R537">
            <v>1</v>
          </cell>
          <cell r="S537">
            <v>1</v>
          </cell>
          <cell r="T537">
            <v>187.20051318399999</v>
          </cell>
          <cell r="U537">
            <v>187.20051318399999</v>
          </cell>
        </row>
        <row r="538">
          <cell r="B538" t="str">
            <v>V17551-PIND-0149-02</v>
          </cell>
          <cell r="C538" t="str">
            <v>PROD/25-26/08115</v>
          </cell>
          <cell r="D538" t="str">
            <v/>
          </cell>
          <cell r="E538" t="str">
            <v>TJ/25-26/184-CS</v>
          </cell>
          <cell r="F538" t="str">
            <v>P5,P1</v>
          </cell>
          <cell r="G538">
            <v>0</v>
          </cell>
          <cell r="H538">
            <v>2</v>
          </cell>
          <cell r="I538" t="str">
            <v>Yes</v>
          </cell>
          <cell r="J538" t="str">
            <v/>
          </cell>
          <cell r="K538" t="str">
            <v>No</v>
          </cell>
          <cell r="L538" t="str">
            <v/>
          </cell>
          <cell r="M538" t="str">
            <v/>
          </cell>
          <cell r="N538" t="str">
            <v>Spool</v>
          </cell>
          <cell r="O538">
            <v>0</v>
          </cell>
          <cell r="P538">
            <v>0</v>
          </cell>
          <cell r="Q538" t="str">
            <v>CS</v>
          </cell>
          <cell r="R538">
            <v>1</v>
          </cell>
          <cell r="S538">
            <v>1</v>
          </cell>
          <cell r="T538">
            <v>188.99633318400001</v>
          </cell>
          <cell r="U538">
            <v>188.99633318400001</v>
          </cell>
        </row>
        <row r="539">
          <cell r="B539" t="str">
            <v>V17551-PIND-0150-02</v>
          </cell>
          <cell r="C539" t="str">
            <v>PROD/25-26/08666</v>
          </cell>
          <cell r="D539" t="str">
            <v/>
          </cell>
          <cell r="E539" t="str">
            <v>TJ/25-26/184-CS</v>
          </cell>
          <cell r="F539" t="str">
            <v>P5</v>
          </cell>
          <cell r="G539">
            <v>0</v>
          </cell>
          <cell r="H539">
            <v>2</v>
          </cell>
          <cell r="I539" t="str">
            <v>Yes</v>
          </cell>
          <cell r="J539" t="str">
            <v/>
          </cell>
          <cell r="K539" t="str">
            <v>No</v>
          </cell>
          <cell r="L539" t="str">
            <v/>
          </cell>
          <cell r="M539" t="str">
            <v/>
          </cell>
          <cell r="N539" t="str">
            <v>Spool</v>
          </cell>
          <cell r="O539">
            <v>0</v>
          </cell>
          <cell r="P539">
            <v>0</v>
          </cell>
          <cell r="Q539" t="str">
            <v>P11</v>
          </cell>
          <cell r="R539">
            <v>1</v>
          </cell>
          <cell r="S539">
            <v>1</v>
          </cell>
          <cell r="T539">
            <v>148.10239999999999</v>
          </cell>
          <cell r="U539">
            <v>148.10239999999999</v>
          </cell>
        </row>
        <row r="540">
          <cell r="B540" t="str">
            <v>V17551-PIND-0153-02</v>
          </cell>
          <cell r="C540" t="str">
            <v>PROD/25-26/06821</v>
          </cell>
          <cell r="D540" t="str">
            <v>S-5230</v>
          </cell>
          <cell r="E540" t="str">
            <v>TJ/25-26/184-CS</v>
          </cell>
          <cell r="F540" t="str">
            <v>P5</v>
          </cell>
          <cell r="G540">
            <v>0</v>
          </cell>
          <cell r="H540">
            <v>2</v>
          </cell>
          <cell r="I540" t="str">
            <v>Yes</v>
          </cell>
          <cell r="J540" t="str">
            <v/>
          </cell>
          <cell r="K540" t="str">
            <v>No</v>
          </cell>
          <cell r="L540" t="str">
            <v/>
          </cell>
          <cell r="M540" t="str">
            <v/>
          </cell>
          <cell r="N540" t="str">
            <v>Spool</v>
          </cell>
          <cell r="O540">
            <v>0</v>
          </cell>
          <cell r="P540">
            <v>0</v>
          </cell>
          <cell r="Q540" t="str">
            <v>CS</v>
          </cell>
          <cell r="R540">
            <v>1</v>
          </cell>
          <cell r="S540">
            <v>1</v>
          </cell>
          <cell r="T540">
            <v>42.075099999999999</v>
          </cell>
          <cell r="U540">
            <v>42.075099999999999</v>
          </cell>
        </row>
        <row r="541">
          <cell r="B541" t="str">
            <v>V17551-PIND-0155-02</v>
          </cell>
          <cell r="C541" t="str">
            <v>PROD/25-26/14063</v>
          </cell>
          <cell r="D541" t="str">
            <v/>
          </cell>
          <cell r="E541" t="str">
            <v>TJ/25-26/184-CS</v>
          </cell>
          <cell r="F541" t="str">
            <v>P5,P1</v>
          </cell>
          <cell r="G541">
            <v>0</v>
          </cell>
          <cell r="H541">
            <v>2</v>
          </cell>
          <cell r="I541" t="str">
            <v>Yes</v>
          </cell>
          <cell r="J541" t="str">
            <v/>
          </cell>
          <cell r="K541" t="str">
            <v>No</v>
          </cell>
          <cell r="L541" t="str">
            <v/>
          </cell>
          <cell r="M541" t="str">
            <v/>
          </cell>
          <cell r="N541" t="str">
            <v>Spool</v>
          </cell>
          <cell r="O541">
            <v>0</v>
          </cell>
          <cell r="P541">
            <v>0</v>
          </cell>
          <cell r="Q541" t="str">
            <v>CS</v>
          </cell>
          <cell r="R541">
            <v>1</v>
          </cell>
          <cell r="S541">
            <v>1</v>
          </cell>
          <cell r="T541">
            <v>466.32756659199998</v>
          </cell>
          <cell r="U541">
            <v>466.32756659199998</v>
          </cell>
        </row>
        <row r="542">
          <cell r="B542" t="str">
            <v>V17551-PIND-0156-02</v>
          </cell>
          <cell r="C542" t="str">
            <v>PROD/25-26/08667</v>
          </cell>
          <cell r="D542" t="str">
            <v>S-5233</v>
          </cell>
          <cell r="E542" t="str">
            <v>TJ/25-26/184-CS</v>
          </cell>
          <cell r="F542" t="str">
            <v>P5,P1</v>
          </cell>
          <cell r="G542">
            <v>0</v>
          </cell>
          <cell r="H542">
            <v>2</v>
          </cell>
          <cell r="I542" t="str">
            <v>Yes</v>
          </cell>
          <cell r="J542" t="str">
            <v/>
          </cell>
          <cell r="K542" t="str">
            <v>No</v>
          </cell>
          <cell r="L542" t="str">
            <v/>
          </cell>
          <cell r="M542" t="str">
            <v/>
          </cell>
          <cell r="N542" t="str">
            <v>Spool</v>
          </cell>
          <cell r="O542">
            <v>0</v>
          </cell>
          <cell r="P542">
            <v>0</v>
          </cell>
          <cell r="Q542" t="str">
            <v>CS</v>
          </cell>
          <cell r="R542">
            <v>1</v>
          </cell>
          <cell r="S542">
            <v>1</v>
          </cell>
          <cell r="T542">
            <v>1540.4143450080001</v>
          </cell>
          <cell r="U542">
            <v>1540.4143450080001</v>
          </cell>
        </row>
        <row r="543">
          <cell r="B543" t="str">
            <v>V17551-PIND-0157-02</v>
          </cell>
          <cell r="C543" t="str">
            <v>PROD/25-26/08438</v>
          </cell>
          <cell r="D543" t="str">
            <v/>
          </cell>
          <cell r="E543" t="str">
            <v>TJ/25-26/184-CS</v>
          </cell>
          <cell r="F543" t="str">
            <v>P5</v>
          </cell>
          <cell r="G543">
            <v>0</v>
          </cell>
          <cell r="H543">
            <v>2</v>
          </cell>
          <cell r="I543" t="str">
            <v>Yes</v>
          </cell>
          <cell r="J543" t="str">
            <v/>
          </cell>
          <cell r="K543" t="str">
            <v>No</v>
          </cell>
          <cell r="L543" t="str">
            <v/>
          </cell>
          <cell r="M543" t="str">
            <v/>
          </cell>
          <cell r="N543" t="str">
            <v>Spool</v>
          </cell>
          <cell r="O543">
            <v>0</v>
          </cell>
          <cell r="P543">
            <v>0</v>
          </cell>
          <cell r="Q543" t="str">
            <v>CS</v>
          </cell>
          <cell r="R543">
            <v>1</v>
          </cell>
          <cell r="S543">
            <v>1</v>
          </cell>
          <cell r="T543">
            <v>67.294675760000004</v>
          </cell>
          <cell r="U543">
            <v>67.294675760000004</v>
          </cell>
        </row>
        <row r="544">
          <cell r="B544" t="str">
            <v>V17551-PIND-0158-03</v>
          </cell>
          <cell r="C544" t="str">
            <v>PROD/25-26/08439</v>
          </cell>
          <cell r="D544" t="str">
            <v/>
          </cell>
          <cell r="E544" t="str">
            <v>TJ/25-26/184-CS</v>
          </cell>
          <cell r="F544" t="str">
            <v>P5</v>
          </cell>
          <cell r="G544">
            <v>0</v>
          </cell>
          <cell r="H544">
            <v>2</v>
          </cell>
          <cell r="I544" t="str">
            <v>Yes</v>
          </cell>
          <cell r="J544" t="str">
            <v/>
          </cell>
          <cell r="K544" t="str">
            <v>No</v>
          </cell>
          <cell r="L544" t="str">
            <v/>
          </cell>
          <cell r="M544" t="str">
            <v/>
          </cell>
          <cell r="N544" t="str">
            <v>Spool</v>
          </cell>
          <cell r="O544">
            <v>0</v>
          </cell>
          <cell r="P544">
            <v>0</v>
          </cell>
          <cell r="Q544" t="str">
            <v>CS</v>
          </cell>
          <cell r="R544">
            <v>1</v>
          </cell>
          <cell r="S544">
            <v>1</v>
          </cell>
          <cell r="T544">
            <v>9.6399457599999998</v>
          </cell>
          <cell r="U544">
            <v>9.6399457599999998</v>
          </cell>
        </row>
        <row r="545">
          <cell r="B545" t="str">
            <v>V17551-PIND-0159-02</v>
          </cell>
          <cell r="C545" t="str">
            <v>PROD/25-26/08440</v>
          </cell>
          <cell r="D545" t="str">
            <v/>
          </cell>
          <cell r="E545" t="str">
            <v>TJ/25-26/184-CS</v>
          </cell>
          <cell r="F545" t="str">
            <v>P5</v>
          </cell>
          <cell r="G545">
            <v>0</v>
          </cell>
          <cell r="H545">
            <v>2</v>
          </cell>
          <cell r="I545" t="str">
            <v>Yes</v>
          </cell>
          <cell r="J545" t="str">
            <v/>
          </cell>
          <cell r="K545" t="str">
            <v>No</v>
          </cell>
          <cell r="L545" t="str">
            <v/>
          </cell>
          <cell r="M545" t="str">
            <v/>
          </cell>
          <cell r="N545" t="str">
            <v>Spool</v>
          </cell>
          <cell r="O545">
            <v>0</v>
          </cell>
          <cell r="P545">
            <v>0</v>
          </cell>
          <cell r="Q545" t="str">
            <v>P22</v>
          </cell>
          <cell r="R545">
            <v>1</v>
          </cell>
          <cell r="S545">
            <v>1</v>
          </cell>
          <cell r="T545">
            <v>85.055850000000007</v>
          </cell>
          <cell r="U545">
            <v>85.055850000000007</v>
          </cell>
        </row>
        <row r="546">
          <cell r="B546" t="str">
            <v>V17551-PIND-0301-02</v>
          </cell>
          <cell r="C546" t="str">
            <v>PROD/25-26/14064</v>
          </cell>
          <cell r="D546" t="str">
            <v/>
          </cell>
          <cell r="E546" t="str">
            <v>TJ/25-26/184-CS</v>
          </cell>
          <cell r="F546" t="str">
            <v>P5</v>
          </cell>
          <cell r="G546">
            <v>0</v>
          </cell>
          <cell r="H546">
            <v>2</v>
          </cell>
          <cell r="I546" t="str">
            <v>Yes</v>
          </cell>
          <cell r="J546" t="str">
            <v/>
          </cell>
          <cell r="K546" t="str">
            <v>No</v>
          </cell>
          <cell r="L546" t="str">
            <v/>
          </cell>
          <cell r="M546" t="str">
            <v/>
          </cell>
          <cell r="N546" t="str">
            <v>Spool</v>
          </cell>
          <cell r="O546">
            <v>0</v>
          </cell>
          <cell r="P546">
            <v>0</v>
          </cell>
          <cell r="Q546" t="str">
            <v>CS</v>
          </cell>
          <cell r="R546">
            <v>1</v>
          </cell>
          <cell r="S546">
            <v>1</v>
          </cell>
          <cell r="T546">
            <v>28.301839999999999</v>
          </cell>
          <cell r="U546">
            <v>28.301839999999999</v>
          </cell>
        </row>
        <row r="547">
          <cell r="B547" t="str">
            <v>V17551-PIND-0304-02</v>
          </cell>
          <cell r="C547" t="str">
            <v>PROD/25-26/13719</v>
          </cell>
          <cell r="D547" t="str">
            <v/>
          </cell>
          <cell r="E547" t="str">
            <v>TJ/25-26/184-CS</v>
          </cell>
          <cell r="F547" t="str">
            <v>P1</v>
          </cell>
          <cell r="G547">
            <v>0</v>
          </cell>
          <cell r="H547">
            <v>2</v>
          </cell>
          <cell r="I547" t="str">
            <v>Yes</v>
          </cell>
          <cell r="J547" t="str">
            <v/>
          </cell>
          <cell r="K547" t="str">
            <v>No</v>
          </cell>
          <cell r="L547" t="str">
            <v/>
          </cell>
          <cell r="M547" t="str">
            <v/>
          </cell>
          <cell r="N547" t="str">
            <v>Spool</v>
          </cell>
          <cell r="O547">
            <v>0</v>
          </cell>
          <cell r="P547">
            <v>0</v>
          </cell>
          <cell r="Q547" t="str">
            <v>CS</v>
          </cell>
          <cell r="R547">
            <v>1</v>
          </cell>
          <cell r="S547">
            <v>1</v>
          </cell>
          <cell r="T547">
            <v>4.2506000000000004</v>
          </cell>
          <cell r="U547">
            <v>4.2506000000000004</v>
          </cell>
        </row>
        <row r="548">
          <cell r="B548" t="str">
            <v>V17551-PIND-0305-02</v>
          </cell>
          <cell r="C548" t="str">
            <v>PROD/25-26/13720</v>
          </cell>
          <cell r="D548" t="str">
            <v/>
          </cell>
          <cell r="E548" t="str">
            <v>TJ/25-26/184-CS</v>
          </cell>
          <cell r="F548" t="str">
            <v>P1</v>
          </cell>
          <cell r="G548">
            <v>0</v>
          </cell>
          <cell r="H548">
            <v>2</v>
          </cell>
          <cell r="I548" t="str">
            <v>Yes</v>
          </cell>
          <cell r="J548" t="str">
            <v/>
          </cell>
          <cell r="K548" t="str">
            <v>No</v>
          </cell>
          <cell r="L548" t="str">
            <v/>
          </cell>
          <cell r="M548" t="str">
            <v/>
          </cell>
          <cell r="N548" t="str">
            <v>Spool</v>
          </cell>
          <cell r="O548">
            <v>0</v>
          </cell>
          <cell r="P548">
            <v>0</v>
          </cell>
          <cell r="Q548" t="str">
            <v>CS</v>
          </cell>
          <cell r="R548">
            <v>1</v>
          </cell>
          <cell r="S548">
            <v>1</v>
          </cell>
          <cell r="T548">
            <v>24.190519999999999</v>
          </cell>
          <cell r="U548">
            <v>24.190519999999999</v>
          </cell>
        </row>
        <row r="549">
          <cell r="B549" t="str">
            <v>V17551-PIND-0306-02</v>
          </cell>
          <cell r="C549" t="str">
            <v>PROD/25-26/13721</v>
          </cell>
          <cell r="D549" t="str">
            <v/>
          </cell>
          <cell r="E549" t="str">
            <v>TJ/25-26/184-CS</v>
          </cell>
          <cell r="F549" t="str">
            <v>P1</v>
          </cell>
          <cell r="G549">
            <v>0</v>
          </cell>
          <cell r="H549">
            <v>2</v>
          </cell>
          <cell r="I549" t="str">
            <v>Yes</v>
          </cell>
          <cell r="J549" t="str">
            <v/>
          </cell>
          <cell r="K549" t="str">
            <v>No</v>
          </cell>
          <cell r="L549" t="str">
            <v/>
          </cell>
          <cell r="M549" t="str">
            <v/>
          </cell>
          <cell r="N549" t="str">
            <v>Spool</v>
          </cell>
          <cell r="O549">
            <v>0</v>
          </cell>
          <cell r="P549">
            <v>0</v>
          </cell>
          <cell r="Q549" t="str">
            <v>CS</v>
          </cell>
          <cell r="R549">
            <v>1</v>
          </cell>
          <cell r="S549">
            <v>1</v>
          </cell>
          <cell r="T549">
            <v>5.9145799999999999</v>
          </cell>
          <cell r="U549">
            <v>5.9145799999999999</v>
          </cell>
        </row>
        <row r="550">
          <cell r="B550" t="str">
            <v>V17551-PIND-0307-02</v>
          </cell>
          <cell r="C550" t="str">
            <v>PROD/25-26/13722</v>
          </cell>
          <cell r="D550" t="str">
            <v/>
          </cell>
          <cell r="E550" t="str">
            <v>TJ/25-26/184-SS</v>
          </cell>
          <cell r="F550" t="str">
            <v>P1</v>
          </cell>
          <cell r="G550">
            <v>0</v>
          </cell>
          <cell r="H550">
            <v>2</v>
          </cell>
          <cell r="I550" t="str">
            <v>Yes</v>
          </cell>
          <cell r="J550" t="str">
            <v/>
          </cell>
          <cell r="K550" t="str">
            <v>No</v>
          </cell>
          <cell r="L550" t="str">
            <v/>
          </cell>
          <cell r="M550" t="str">
            <v/>
          </cell>
          <cell r="N550" t="str">
            <v>Spool</v>
          </cell>
          <cell r="O550">
            <v>0</v>
          </cell>
          <cell r="P550">
            <v>0</v>
          </cell>
          <cell r="Q550" t="str">
            <v>SS</v>
          </cell>
          <cell r="R550">
            <v>1</v>
          </cell>
          <cell r="S550">
            <v>1</v>
          </cell>
          <cell r="T550">
            <v>39.912649999999999</v>
          </cell>
          <cell r="U550">
            <v>39.912649999999999</v>
          </cell>
        </row>
        <row r="551">
          <cell r="B551" t="str">
            <v>V17551-PIND-0308-02</v>
          </cell>
          <cell r="C551" t="str">
            <v>PROD/25-26/13723</v>
          </cell>
          <cell r="D551" t="str">
            <v/>
          </cell>
          <cell r="E551" t="str">
            <v>TJ/25-26/184-CS</v>
          </cell>
          <cell r="F551" t="str">
            <v>P1</v>
          </cell>
          <cell r="G551">
            <v>0</v>
          </cell>
          <cell r="H551">
            <v>2</v>
          </cell>
          <cell r="I551" t="str">
            <v>Yes</v>
          </cell>
          <cell r="J551" t="str">
            <v/>
          </cell>
          <cell r="K551" t="str">
            <v>No</v>
          </cell>
          <cell r="L551" t="str">
            <v/>
          </cell>
          <cell r="M551" t="str">
            <v/>
          </cell>
          <cell r="N551" t="str">
            <v>Spool</v>
          </cell>
          <cell r="O551">
            <v>0</v>
          </cell>
          <cell r="P551">
            <v>0</v>
          </cell>
          <cell r="Q551" t="str">
            <v>CS</v>
          </cell>
          <cell r="R551">
            <v>1</v>
          </cell>
          <cell r="S551">
            <v>1</v>
          </cell>
          <cell r="T551">
            <v>3.7130000000000001</v>
          </cell>
          <cell r="U551">
            <v>3.7130000000000001</v>
          </cell>
        </row>
        <row r="552">
          <cell r="B552" t="str">
            <v>V17551-PIND-0309-02</v>
          </cell>
          <cell r="C552" t="str">
            <v>PROD/25-26/13724</v>
          </cell>
          <cell r="D552" t="str">
            <v/>
          </cell>
          <cell r="E552" t="str">
            <v>TJ/25-26/184-CS</v>
          </cell>
          <cell r="F552" t="str">
            <v>P1</v>
          </cell>
          <cell r="G552">
            <v>0</v>
          </cell>
          <cell r="H552">
            <v>2</v>
          </cell>
          <cell r="I552" t="str">
            <v>Yes</v>
          </cell>
          <cell r="J552" t="str">
            <v/>
          </cell>
          <cell r="K552" t="str">
            <v>No</v>
          </cell>
          <cell r="L552" t="str">
            <v/>
          </cell>
          <cell r="M552" t="str">
            <v/>
          </cell>
          <cell r="N552" t="str">
            <v>Spool</v>
          </cell>
          <cell r="O552">
            <v>0</v>
          </cell>
          <cell r="P552">
            <v>0</v>
          </cell>
          <cell r="Q552" t="str">
            <v>CS</v>
          </cell>
          <cell r="R552">
            <v>1</v>
          </cell>
          <cell r="S552">
            <v>1</v>
          </cell>
          <cell r="T552">
            <v>3.7151999999999998</v>
          </cell>
          <cell r="U552">
            <v>3.7151999999999998</v>
          </cell>
        </row>
        <row r="553">
          <cell r="B553" t="str">
            <v>V17551-PIND-0310-02</v>
          </cell>
          <cell r="C553" t="str">
            <v>PROD/25-26/13725</v>
          </cell>
          <cell r="D553" t="str">
            <v/>
          </cell>
          <cell r="E553" t="str">
            <v>TJ/25-26/184-CS</v>
          </cell>
          <cell r="F553" t="str">
            <v>P1</v>
          </cell>
          <cell r="G553">
            <v>0</v>
          </cell>
          <cell r="H553">
            <v>2</v>
          </cell>
          <cell r="I553" t="str">
            <v>Yes</v>
          </cell>
          <cell r="J553" t="str">
            <v/>
          </cell>
          <cell r="K553" t="str">
            <v>No</v>
          </cell>
          <cell r="L553" t="str">
            <v/>
          </cell>
          <cell r="M553" t="str">
            <v/>
          </cell>
          <cell r="N553" t="str">
            <v>Spool</v>
          </cell>
          <cell r="O553">
            <v>0</v>
          </cell>
          <cell r="P553">
            <v>0</v>
          </cell>
          <cell r="Q553" t="str">
            <v>CS</v>
          </cell>
          <cell r="R553">
            <v>1</v>
          </cell>
          <cell r="S553">
            <v>1</v>
          </cell>
          <cell r="T553">
            <v>3.7130000000000001</v>
          </cell>
          <cell r="U553">
            <v>3.7130000000000001</v>
          </cell>
        </row>
        <row r="554">
          <cell r="B554" t="str">
            <v>V17551-PIND-0311-02</v>
          </cell>
          <cell r="C554" t="str">
            <v>PROD/25-26/13726</v>
          </cell>
          <cell r="D554" t="str">
            <v/>
          </cell>
          <cell r="E554" t="str">
            <v>TJ/25-26/184-CS</v>
          </cell>
          <cell r="F554" t="str">
            <v>P1</v>
          </cell>
          <cell r="G554">
            <v>0</v>
          </cell>
          <cell r="H554">
            <v>2</v>
          </cell>
          <cell r="I554" t="str">
            <v>Yes</v>
          </cell>
          <cell r="J554" t="str">
            <v/>
          </cell>
          <cell r="K554" t="str">
            <v>No</v>
          </cell>
          <cell r="L554" t="str">
            <v/>
          </cell>
          <cell r="M554" t="str">
            <v/>
          </cell>
          <cell r="N554" t="str">
            <v>Spool</v>
          </cell>
          <cell r="O554">
            <v>0</v>
          </cell>
          <cell r="P554">
            <v>0</v>
          </cell>
          <cell r="Q554" t="str">
            <v>CS</v>
          </cell>
          <cell r="R554">
            <v>1</v>
          </cell>
          <cell r="S554">
            <v>1</v>
          </cell>
          <cell r="T554">
            <v>3.7130000000000001</v>
          </cell>
          <cell r="U554">
            <v>3.7130000000000001</v>
          </cell>
        </row>
        <row r="555">
          <cell r="B555" t="str">
            <v>V17551-PIND-0312-02</v>
          </cell>
          <cell r="C555" t="str">
            <v>PROD/25-26/13727</v>
          </cell>
          <cell r="D555" t="str">
            <v/>
          </cell>
          <cell r="E555" t="str">
            <v>TJ/25-26/184-CS</v>
          </cell>
          <cell r="F555" t="str">
            <v>P1</v>
          </cell>
          <cell r="G555">
            <v>0</v>
          </cell>
          <cell r="H555">
            <v>2</v>
          </cell>
          <cell r="I555" t="str">
            <v>Yes</v>
          </cell>
          <cell r="J555" t="str">
            <v/>
          </cell>
          <cell r="K555" t="str">
            <v>No</v>
          </cell>
          <cell r="L555" t="str">
            <v/>
          </cell>
          <cell r="M555" t="str">
            <v/>
          </cell>
          <cell r="N555" t="str">
            <v>Spool</v>
          </cell>
          <cell r="O555">
            <v>0</v>
          </cell>
          <cell r="P555">
            <v>0</v>
          </cell>
          <cell r="Q555" t="str">
            <v>CS</v>
          </cell>
          <cell r="R555">
            <v>1</v>
          </cell>
          <cell r="S555">
            <v>1</v>
          </cell>
          <cell r="T555">
            <v>3.7130000000000001</v>
          </cell>
          <cell r="U555">
            <v>3.7130000000000001</v>
          </cell>
        </row>
        <row r="556">
          <cell r="B556" t="str">
            <v>V17551-PIND-0313-02</v>
          </cell>
          <cell r="C556" t="str">
            <v>PROD/25-26/13728</v>
          </cell>
          <cell r="D556" t="str">
            <v/>
          </cell>
          <cell r="E556" t="str">
            <v>TJ/25-26/184-CS</v>
          </cell>
          <cell r="F556" t="str">
            <v>P1</v>
          </cell>
          <cell r="G556">
            <v>0</v>
          </cell>
          <cell r="H556">
            <v>2</v>
          </cell>
          <cell r="I556" t="str">
            <v>Yes</v>
          </cell>
          <cell r="J556" t="str">
            <v/>
          </cell>
          <cell r="K556" t="str">
            <v>No</v>
          </cell>
          <cell r="L556" t="str">
            <v/>
          </cell>
          <cell r="M556" t="str">
            <v/>
          </cell>
          <cell r="N556" t="str">
            <v>Spool</v>
          </cell>
          <cell r="O556">
            <v>0</v>
          </cell>
          <cell r="P556">
            <v>0</v>
          </cell>
          <cell r="Q556" t="str">
            <v>CS</v>
          </cell>
          <cell r="R556">
            <v>1</v>
          </cell>
          <cell r="S556">
            <v>1</v>
          </cell>
          <cell r="T556">
            <v>3.7086000000000001</v>
          </cell>
          <cell r="U556">
            <v>3.7086000000000001</v>
          </cell>
        </row>
        <row r="557">
          <cell r="B557" t="str">
            <v>V17551-PIND-0314-02</v>
          </cell>
          <cell r="C557" t="str">
            <v>PROD/25-26/13729</v>
          </cell>
          <cell r="D557" t="str">
            <v/>
          </cell>
          <cell r="E557" t="str">
            <v>TJ/25-26/184-CS</v>
          </cell>
          <cell r="F557" t="str">
            <v>P1</v>
          </cell>
          <cell r="G557">
            <v>0</v>
          </cell>
          <cell r="H557">
            <v>2</v>
          </cell>
          <cell r="I557" t="str">
            <v>Yes</v>
          </cell>
          <cell r="J557" t="str">
            <v/>
          </cell>
          <cell r="K557" t="str">
            <v>No</v>
          </cell>
          <cell r="L557" t="str">
            <v/>
          </cell>
          <cell r="M557" t="str">
            <v/>
          </cell>
          <cell r="N557" t="str">
            <v>Spool</v>
          </cell>
          <cell r="O557">
            <v>0</v>
          </cell>
          <cell r="P557">
            <v>0</v>
          </cell>
          <cell r="Q557" t="str">
            <v>CS</v>
          </cell>
          <cell r="R557">
            <v>1</v>
          </cell>
          <cell r="S557">
            <v>1</v>
          </cell>
          <cell r="T557">
            <v>65.733080000000001</v>
          </cell>
          <cell r="U557">
            <v>65.733080000000001</v>
          </cell>
        </row>
        <row r="558">
          <cell r="B558" t="str">
            <v>V17551-PIND-0315-02</v>
          </cell>
          <cell r="C558" t="str">
            <v>PROD/25-26/14065</v>
          </cell>
          <cell r="D558" t="str">
            <v/>
          </cell>
          <cell r="E558" t="str">
            <v>TJ/25-26/184-CS</v>
          </cell>
          <cell r="F558" t="str">
            <v>P5</v>
          </cell>
          <cell r="G558">
            <v>0</v>
          </cell>
          <cell r="H558">
            <v>2</v>
          </cell>
          <cell r="I558" t="str">
            <v>Yes</v>
          </cell>
          <cell r="J558" t="str">
            <v/>
          </cell>
          <cell r="K558" t="str">
            <v>No</v>
          </cell>
          <cell r="L558" t="str">
            <v/>
          </cell>
          <cell r="M558" t="str">
            <v/>
          </cell>
          <cell r="N558" t="str">
            <v>Spool</v>
          </cell>
          <cell r="O558">
            <v>0</v>
          </cell>
          <cell r="P558">
            <v>0</v>
          </cell>
          <cell r="Q558" t="str">
            <v>CS</v>
          </cell>
          <cell r="R558">
            <v>1</v>
          </cell>
          <cell r="S558">
            <v>1</v>
          </cell>
          <cell r="T558">
            <v>210.80506</v>
          </cell>
          <cell r="U558">
            <v>210.80506</v>
          </cell>
        </row>
        <row r="559">
          <cell r="B559" t="str">
            <v>V17551-PIND-0316-02</v>
          </cell>
          <cell r="C559" t="str">
            <v>PROD/25-26/13731</v>
          </cell>
          <cell r="D559" t="str">
            <v/>
          </cell>
          <cell r="E559" t="str">
            <v>TJ/25-26/184-CS</v>
          </cell>
          <cell r="F559" t="str">
            <v>P5</v>
          </cell>
          <cell r="G559">
            <v>0</v>
          </cell>
          <cell r="H559">
            <v>2</v>
          </cell>
          <cell r="I559" t="str">
            <v>Yes</v>
          </cell>
          <cell r="J559" t="str">
            <v/>
          </cell>
          <cell r="K559" t="str">
            <v>No</v>
          </cell>
          <cell r="L559" t="str">
            <v/>
          </cell>
          <cell r="M559" t="str">
            <v/>
          </cell>
          <cell r="N559" t="str">
            <v>Spool</v>
          </cell>
          <cell r="O559">
            <v>0</v>
          </cell>
          <cell r="P559">
            <v>0</v>
          </cell>
          <cell r="Q559" t="str">
            <v>CS</v>
          </cell>
          <cell r="R559">
            <v>1</v>
          </cell>
          <cell r="S559">
            <v>1</v>
          </cell>
          <cell r="T559">
            <v>30.66968</v>
          </cell>
          <cell r="U559">
            <v>30.66968</v>
          </cell>
        </row>
        <row r="560">
          <cell r="B560" t="str">
            <v>V17551-PIND-0318-02</v>
          </cell>
          <cell r="C560" t="str">
            <v>PROD/25-26/13622</v>
          </cell>
          <cell r="D560" t="str">
            <v/>
          </cell>
          <cell r="E560" t="str">
            <v>TJ/25-26/184-CS</v>
          </cell>
          <cell r="F560" t="str">
            <v>P5</v>
          </cell>
          <cell r="G560">
            <v>0</v>
          </cell>
          <cell r="H560">
            <v>2</v>
          </cell>
          <cell r="I560" t="str">
            <v>Yes</v>
          </cell>
          <cell r="J560" t="str">
            <v/>
          </cell>
          <cell r="K560" t="str">
            <v>No</v>
          </cell>
          <cell r="L560" t="str">
            <v/>
          </cell>
          <cell r="M560" t="str">
            <v/>
          </cell>
          <cell r="N560" t="str">
            <v>Spool</v>
          </cell>
          <cell r="O560">
            <v>0</v>
          </cell>
          <cell r="P560">
            <v>0</v>
          </cell>
          <cell r="Q560" t="str">
            <v>CS</v>
          </cell>
          <cell r="R560">
            <v>1</v>
          </cell>
          <cell r="S560">
            <v>1</v>
          </cell>
          <cell r="T560">
            <v>8.5565999999999995</v>
          </cell>
          <cell r="U560">
            <v>8.5565999999999995</v>
          </cell>
        </row>
        <row r="561">
          <cell r="B561" t="str">
            <v>V17551-PIND-0319-02</v>
          </cell>
          <cell r="C561" t="str">
            <v>PROD/25-26/13733</v>
          </cell>
          <cell r="D561" t="str">
            <v/>
          </cell>
          <cell r="E561" t="str">
            <v>TJ/25-26/184-CS</v>
          </cell>
          <cell r="F561" t="str">
            <v>P5</v>
          </cell>
          <cell r="G561">
            <v>0</v>
          </cell>
          <cell r="H561">
            <v>2</v>
          </cell>
          <cell r="I561" t="str">
            <v>Yes</v>
          </cell>
          <cell r="J561" t="str">
            <v/>
          </cell>
          <cell r="K561" t="str">
            <v>No</v>
          </cell>
          <cell r="L561" t="str">
            <v/>
          </cell>
          <cell r="M561" t="str">
            <v/>
          </cell>
          <cell r="N561" t="str">
            <v>Spool</v>
          </cell>
          <cell r="O561">
            <v>0</v>
          </cell>
          <cell r="P561">
            <v>0</v>
          </cell>
          <cell r="Q561" t="str">
            <v>CS</v>
          </cell>
          <cell r="R561">
            <v>1</v>
          </cell>
          <cell r="S561">
            <v>1</v>
          </cell>
          <cell r="T561">
            <v>38.933999999999997</v>
          </cell>
          <cell r="U561">
            <v>38.933999999999997</v>
          </cell>
        </row>
        <row r="562">
          <cell r="B562" t="str">
            <v>V17551-PIND-0320-02</v>
          </cell>
          <cell r="C562" t="str">
            <v>PROD/25-26/13734</v>
          </cell>
          <cell r="D562" t="str">
            <v/>
          </cell>
          <cell r="E562" t="str">
            <v>TJ/25-26/184-CS</v>
          </cell>
          <cell r="F562" t="str">
            <v>P5</v>
          </cell>
          <cell r="G562">
            <v>0</v>
          </cell>
          <cell r="H562">
            <v>2</v>
          </cell>
          <cell r="I562" t="str">
            <v>Yes</v>
          </cell>
          <cell r="J562" t="str">
            <v/>
          </cell>
          <cell r="K562" t="str">
            <v>No</v>
          </cell>
          <cell r="L562" t="str">
            <v/>
          </cell>
          <cell r="M562" t="str">
            <v/>
          </cell>
          <cell r="N562" t="str">
            <v>Spool</v>
          </cell>
          <cell r="O562">
            <v>0</v>
          </cell>
          <cell r="P562">
            <v>0</v>
          </cell>
          <cell r="Q562" t="str">
            <v>CS</v>
          </cell>
          <cell r="R562">
            <v>1</v>
          </cell>
          <cell r="S562">
            <v>1</v>
          </cell>
          <cell r="T562">
            <v>39.209879999999998</v>
          </cell>
          <cell r="U562">
            <v>39.209879999999998</v>
          </cell>
        </row>
        <row r="563">
          <cell r="B563" t="str">
            <v>V17551-PIND-0321-02</v>
          </cell>
          <cell r="C563" t="str">
            <v>PROD/25-26/13735</v>
          </cell>
          <cell r="D563" t="str">
            <v/>
          </cell>
          <cell r="E563" t="str">
            <v>TJ/25-26/184-CS</v>
          </cell>
          <cell r="F563" t="str">
            <v>P5</v>
          </cell>
          <cell r="G563">
            <v>0</v>
          </cell>
          <cell r="H563">
            <v>2</v>
          </cell>
          <cell r="I563" t="str">
            <v>Yes</v>
          </cell>
          <cell r="J563" t="str">
            <v/>
          </cell>
          <cell r="K563" t="str">
            <v>No</v>
          </cell>
          <cell r="L563" t="str">
            <v/>
          </cell>
          <cell r="M563" t="str">
            <v/>
          </cell>
          <cell r="N563" t="str">
            <v>Spool</v>
          </cell>
          <cell r="O563">
            <v>0</v>
          </cell>
          <cell r="P563">
            <v>0</v>
          </cell>
          <cell r="Q563" t="str">
            <v>CS</v>
          </cell>
          <cell r="R563">
            <v>1</v>
          </cell>
          <cell r="S563">
            <v>1</v>
          </cell>
          <cell r="T563">
            <v>39.167760000000001</v>
          </cell>
          <cell r="U563">
            <v>39.167760000000001</v>
          </cell>
        </row>
        <row r="564">
          <cell r="B564" t="str">
            <v>V17551-PIND-0322-02</v>
          </cell>
          <cell r="C564" t="str">
            <v>PROD/25-26/13736</v>
          </cell>
          <cell r="D564" t="str">
            <v/>
          </cell>
          <cell r="E564" t="str">
            <v>TJ/25-26/184-CS</v>
          </cell>
          <cell r="F564" t="str">
            <v>P5</v>
          </cell>
          <cell r="G564">
            <v>0</v>
          </cell>
          <cell r="H564">
            <v>2</v>
          </cell>
          <cell r="I564" t="str">
            <v>Yes</v>
          </cell>
          <cell r="J564" t="str">
            <v/>
          </cell>
          <cell r="K564" t="str">
            <v>No</v>
          </cell>
          <cell r="L564" t="str">
            <v/>
          </cell>
          <cell r="M564" t="str">
            <v/>
          </cell>
          <cell r="N564" t="str">
            <v>Spool</v>
          </cell>
          <cell r="O564">
            <v>0</v>
          </cell>
          <cell r="P564">
            <v>0</v>
          </cell>
          <cell r="Q564" t="str">
            <v>CS</v>
          </cell>
          <cell r="R564">
            <v>1</v>
          </cell>
          <cell r="S564">
            <v>1</v>
          </cell>
          <cell r="T564">
            <v>39.167760000000001</v>
          </cell>
          <cell r="U564">
            <v>39.167760000000001</v>
          </cell>
        </row>
        <row r="565">
          <cell r="B565" t="str">
            <v>V17551-PIND-0323-02</v>
          </cell>
          <cell r="C565" t="str">
            <v>PROD/25-26/13737</v>
          </cell>
          <cell r="D565" t="str">
            <v/>
          </cell>
          <cell r="E565" t="str">
            <v>TJ/25-26/184-CS</v>
          </cell>
          <cell r="F565" t="str">
            <v>P5</v>
          </cell>
          <cell r="G565">
            <v>0</v>
          </cell>
          <cell r="H565">
            <v>2</v>
          </cell>
          <cell r="I565" t="str">
            <v>Yes</v>
          </cell>
          <cell r="J565" t="str">
            <v/>
          </cell>
          <cell r="K565" t="str">
            <v>No</v>
          </cell>
          <cell r="L565" t="str">
            <v/>
          </cell>
          <cell r="M565" t="str">
            <v/>
          </cell>
          <cell r="N565" t="str">
            <v>Spool</v>
          </cell>
          <cell r="O565">
            <v>0</v>
          </cell>
          <cell r="P565">
            <v>0</v>
          </cell>
          <cell r="Q565" t="str">
            <v>CS</v>
          </cell>
          <cell r="R565">
            <v>1</v>
          </cell>
          <cell r="S565">
            <v>1</v>
          </cell>
          <cell r="T565">
            <v>34.576560000000001</v>
          </cell>
          <cell r="U565">
            <v>34.576560000000001</v>
          </cell>
        </row>
        <row r="566">
          <cell r="B566" t="str">
            <v>V17551-PIND-0324-02</v>
          </cell>
          <cell r="C566" t="str">
            <v>PROD/25-26/13738</v>
          </cell>
          <cell r="D566" t="str">
            <v/>
          </cell>
          <cell r="E566" t="str">
            <v>TJ/25-26/184-CS</v>
          </cell>
          <cell r="F566" t="str">
            <v>P5</v>
          </cell>
          <cell r="G566">
            <v>0</v>
          </cell>
          <cell r="H566">
            <v>2</v>
          </cell>
          <cell r="I566" t="str">
            <v>Yes</v>
          </cell>
          <cell r="J566" t="str">
            <v/>
          </cell>
          <cell r="K566" t="str">
            <v>No</v>
          </cell>
          <cell r="L566" t="str">
            <v/>
          </cell>
          <cell r="M566" t="str">
            <v/>
          </cell>
          <cell r="N566" t="str">
            <v>Spool</v>
          </cell>
          <cell r="O566">
            <v>0</v>
          </cell>
          <cell r="P566">
            <v>0</v>
          </cell>
          <cell r="Q566" t="str">
            <v>CS</v>
          </cell>
          <cell r="R566">
            <v>1</v>
          </cell>
          <cell r="S566">
            <v>1</v>
          </cell>
          <cell r="T566">
            <v>32.615400000000001</v>
          </cell>
          <cell r="U566">
            <v>32.615400000000001</v>
          </cell>
        </row>
        <row r="567">
          <cell r="B567" t="str">
            <v>V17551-PIND-0325-02</v>
          </cell>
          <cell r="C567" t="str">
            <v>PROD/25-26/13739</v>
          </cell>
          <cell r="D567" t="str">
            <v/>
          </cell>
          <cell r="E567" t="str">
            <v>TJ/25-26/184-CS</v>
          </cell>
          <cell r="F567" t="str">
            <v>P5</v>
          </cell>
          <cell r="G567">
            <v>0</v>
          </cell>
          <cell r="H567">
            <v>2</v>
          </cell>
          <cell r="I567" t="str">
            <v>Yes</v>
          </cell>
          <cell r="J567" t="str">
            <v/>
          </cell>
          <cell r="K567" t="str">
            <v>No</v>
          </cell>
          <cell r="L567" t="str">
            <v/>
          </cell>
          <cell r="M567" t="str">
            <v/>
          </cell>
          <cell r="N567" t="str">
            <v>Spool</v>
          </cell>
          <cell r="O567">
            <v>0</v>
          </cell>
          <cell r="P567">
            <v>0</v>
          </cell>
          <cell r="Q567" t="str">
            <v>CS</v>
          </cell>
          <cell r="R567">
            <v>1</v>
          </cell>
          <cell r="S567">
            <v>1</v>
          </cell>
          <cell r="T567">
            <v>32.596919999999997</v>
          </cell>
          <cell r="U567">
            <v>32.596919999999997</v>
          </cell>
        </row>
        <row r="568">
          <cell r="B568" t="str">
            <v>V17551-PIND-0326-02</v>
          </cell>
          <cell r="C568" t="str">
            <v>PROD/25-26/13740</v>
          </cell>
          <cell r="D568" t="str">
            <v/>
          </cell>
          <cell r="E568" t="str">
            <v>TJ/25-26/184-CS</v>
          </cell>
          <cell r="F568" t="str">
            <v>P5</v>
          </cell>
          <cell r="G568">
            <v>0</v>
          </cell>
          <cell r="H568">
            <v>2</v>
          </cell>
          <cell r="I568" t="str">
            <v>Yes</v>
          </cell>
          <cell r="J568" t="str">
            <v/>
          </cell>
          <cell r="K568" t="str">
            <v>No</v>
          </cell>
          <cell r="L568" t="str">
            <v/>
          </cell>
          <cell r="M568" t="str">
            <v/>
          </cell>
          <cell r="N568" t="str">
            <v>Spool</v>
          </cell>
          <cell r="O568">
            <v>0</v>
          </cell>
          <cell r="P568">
            <v>0</v>
          </cell>
          <cell r="Q568" t="str">
            <v>CS</v>
          </cell>
          <cell r="R568">
            <v>1</v>
          </cell>
          <cell r="S568">
            <v>1</v>
          </cell>
          <cell r="T568">
            <v>9.1359999999999992</v>
          </cell>
          <cell r="U568">
            <v>9.1359999999999992</v>
          </cell>
        </row>
        <row r="569">
          <cell r="B569" t="str">
            <v>V17551-PIND-0327-02</v>
          </cell>
          <cell r="C569" t="str">
            <v>PROD/25-26/14073</v>
          </cell>
          <cell r="D569" t="str">
            <v/>
          </cell>
          <cell r="E569" t="str">
            <v>TJ/25-26/184-CS</v>
          </cell>
          <cell r="F569" t="str">
            <v>P5</v>
          </cell>
          <cell r="G569">
            <v>0</v>
          </cell>
          <cell r="H569">
            <v>2</v>
          </cell>
          <cell r="I569" t="str">
            <v>Yes</v>
          </cell>
          <cell r="J569" t="str">
            <v/>
          </cell>
          <cell r="K569" t="str">
            <v>No</v>
          </cell>
          <cell r="L569" t="str">
            <v/>
          </cell>
          <cell r="M569" t="str">
            <v/>
          </cell>
          <cell r="N569" t="str">
            <v>Spool</v>
          </cell>
          <cell r="O569">
            <v>0</v>
          </cell>
          <cell r="P569">
            <v>0</v>
          </cell>
          <cell r="Q569" t="str">
            <v>CS</v>
          </cell>
          <cell r="R569">
            <v>1</v>
          </cell>
          <cell r="S569">
            <v>1</v>
          </cell>
          <cell r="T569">
            <v>131.69049999999999</v>
          </cell>
          <cell r="U569">
            <v>131.69049999999999</v>
          </cell>
        </row>
        <row r="570">
          <cell r="B570" t="str">
            <v>V17551-PIND-0328-02</v>
          </cell>
          <cell r="C570" t="str">
            <v>PROD/25-26/13742</v>
          </cell>
          <cell r="D570" t="str">
            <v/>
          </cell>
          <cell r="E570" t="str">
            <v>TJ/25-26/184-CS</v>
          </cell>
          <cell r="F570" t="str">
            <v>P5</v>
          </cell>
          <cell r="G570">
            <v>0</v>
          </cell>
          <cell r="H570">
            <v>2</v>
          </cell>
          <cell r="I570" t="str">
            <v>Yes</v>
          </cell>
          <cell r="J570" t="str">
            <v/>
          </cell>
          <cell r="K570" t="str">
            <v>No</v>
          </cell>
          <cell r="L570" t="str">
            <v/>
          </cell>
          <cell r="M570" t="str">
            <v/>
          </cell>
          <cell r="N570" t="str">
            <v>Spool</v>
          </cell>
          <cell r="O570">
            <v>0</v>
          </cell>
          <cell r="P570">
            <v>0</v>
          </cell>
          <cell r="Q570" t="str">
            <v>CS</v>
          </cell>
          <cell r="R570">
            <v>1</v>
          </cell>
          <cell r="S570">
            <v>1</v>
          </cell>
          <cell r="T570">
            <v>8.9558400000000002</v>
          </cell>
          <cell r="U570">
            <v>8.9558400000000002</v>
          </cell>
        </row>
        <row r="571">
          <cell r="B571" t="str">
            <v>V17551-PIND-0329-02</v>
          </cell>
          <cell r="C571" t="str">
            <v>PROD/25-26/13743</v>
          </cell>
          <cell r="D571" t="str">
            <v/>
          </cell>
          <cell r="E571" t="str">
            <v>TJ/25-26/184-CS</v>
          </cell>
          <cell r="F571" t="str">
            <v>P5</v>
          </cell>
          <cell r="G571">
            <v>0</v>
          </cell>
          <cell r="H571">
            <v>2</v>
          </cell>
          <cell r="I571" t="str">
            <v>Yes</v>
          </cell>
          <cell r="J571" t="str">
            <v/>
          </cell>
          <cell r="K571" t="str">
            <v>No</v>
          </cell>
          <cell r="L571" t="str">
            <v/>
          </cell>
          <cell r="M571" t="str">
            <v/>
          </cell>
          <cell r="N571" t="str">
            <v>Spool</v>
          </cell>
          <cell r="O571">
            <v>0</v>
          </cell>
          <cell r="P571">
            <v>0</v>
          </cell>
          <cell r="Q571" t="str">
            <v>CS</v>
          </cell>
          <cell r="R571">
            <v>1</v>
          </cell>
          <cell r="S571">
            <v>1</v>
          </cell>
          <cell r="T571">
            <v>24.823</v>
          </cell>
          <cell r="U571">
            <v>24.823</v>
          </cell>
        </row>
        <row r="572">
          <cell r="B572" t="str">
            <v>V17551-PIND-0330-02</v>
          </cell>
          <cell r="C572" t="str">
            <v>PROD/25-26/13623</v>
          </cell>
          <cell r="D572" t="str">
            <v/>
          </cell>
          <cell r="E572" t="str">
            <v>TJ/25-26/184-CS</v>
          </cell>
          <cell r="F572" t="str">
            <v>P5</v>
          </cell>
          <cell r="G572">
            <v>0</v>
          </cell>
          <cell r="H572">
            <v>2</v>
          </cell>
          <cell r="I572" t="str">
            <v>Yes</v>
          </cell>
          <cell r="J572" t="str">
            <v/>
          </cell>
          <cell r="K572" t="str">
            <v>No</v>
          </cell>
          <cell r="L572" t="str">
            <v/>
          </cell>
          <cell r="M572" t="str">
            <v/>
          </cell>
          <cell r="N572" t="str">
            <v>Spool</v>
          </cell>
          <cell r="O572">
            <v>0</v>
          </cell>
          <cell r="P572">
            <v>0</v>
          </cell>
          <cell r="Q572" t="str">
            <v>CS</v>
          </cell>
          <cell r="R572">
            <v>1</v>
          </cell>
          <cell r="S572">
            <v>1</v>
          </cell>
          <cell r="T572">
            <v>24.823</v>
          </cell>
          <cell r="U572">
            <v>24.823</v>
          </cell>
        </row>
        <row r="573">
          <cell r="B573" t="str">
            <v>V17551-PIND-0331-02</v>
          </cell>
          <cell r="C573" t="str">
            <v>PROD/25-26/13745</v>
          </cell>
          <cell r="D573" t="str">
            <v/>
          </cell>
          <cell r="E573" t="str">
            <v>TJ/25-26/184-CS</v>
          </cell>
          <cell r="F573" t="str">
            <v>P5</v>
          </cell>
          <cell r="G573">
            <v>0</v>
          </cell>
          <cell r="H573">
            <v>2</v>
          </cell>
          <cell r="I573" t="str">
            <v>Yes</v>
          </cell>
          <cell r="J573" t="str">
            <v/>
          </cell>
          <cell r="K573" t="str">
            <v>No</v>
          </cell>
          <cell r="L573" t="str">
            <v/>
          </cell>
          <cell r="M573" t="str">
            <v/>
          </cell>
          <cell r="N573" t="str">
            <v>Spool</v>
          </cell>
          <cell r="O573">
            <v>0</v>
          </cell>
          <cell r="P573">
            <v>0</v>
          </cell>
          <cell r="Q573" t="str">
            <v>CS</v>
          </cell>
          <cell r="R573">
            <v>1</v>
          </cell>
          <cell r="S573">
            <v>1</v>
          </cell>
          <cell r="T573">
            <v>13.23724</v>
          </cell>
          <cell r="U573">
            <v>13.23724</v>
          </cell>
        </row>
        <row r="574">
          <cell r="B574" t="str">
            <v>V17551-PIND-0332-02</v>
          </cell>
          <cell r="C574" t="str">
            <v>PROD/25-26/13746</v>
          </cell>
          <cell r="D574" t="str">
            <v/>
          </cell>
          <cell r="E574" t="str">
            <v>TJ/25-26/184-CS</v>
          </cell>
          <cell r="F574" t="str">
            <v>P5</v>
          </cell>
          <cell r="G574">
            <v>0</v>
          </cell>
          <cell r="H574">
            <v>2</v>
          </cell>
          <cell r="I574" t="str">
            <v>Yes</v>
          </cell>
          <cell r="J574" t="str">
            <v/>
          </cell>
          <cell r="K574" t="str">
            <v>No</v>
          </cell>
          <cell r="L574" t="str">
            <v/>
          </cell>
          <cell r="M574" t="str">
            <v/>
          </cell>
          <cell r="N574" t="str">
            <v>Spool</v>
          </cell>
          <cell r="O574">
            <v>0</v>
          </cell>
          <cell r="P574">
            <v>0</v>
          </cell>
          <cell r="Q574" t="str">
            <v>CS</v>
          </cell>
          <cell r="R574">
            <v>1</v>
          </cell>
          <cell r="S574">
            <v>1</v>
          </cell>
          <cell r="T574">
            <v>27.804960000000001</v>
          </cell>
          <cell r="U574">
            <v>27.804960000000001</v>
          </cell>
        </row>
        <row r="575">
          <cell r="B575" t="str">
            <v>V17551-PIND-0333-02</v>
          </cell>
          <cell r="C575" t="str">
            <v>PROD/25-26/13747</v>
          </cell>
          <cell r="D575" t="str">
            <v/>
          </cell>
          <cell r="E575" t="str">
            <v>TJ/25-26/184-CS</v>
          </cell>
          <cell r="F575" t="str">
            <v>P5</v>
          </cell>
          <cell r="G575">
            <v>0</v>
          </cell>
          <cell r="H575">
            <v>2</v>
          </cell>
          <cell r="I575" t="str">
            <v>Yes</v>
          </cell>
          <cell r="J575" t="str">
            <v/>
          </cell>
          <cell r="K575" t="str">
            <v>No</v>
          </cell>
          <cell r="L575" t="str">
            <v/>
          </cell>
          <cell r="M575" t="str">
            <v/>
          </cell>
          <cell r="N575" t="str">
            <v>Spool</v>
          </cell>
          <cell r="O575">
            <v>0</v>
          </cell>
          <cell r="P575">
            <v>0</v>
          </cell>
          <cell r="Q575" t="str">
            <v>CS</v>
          </cell>
          <cell r="R575">
            <v>1</v>
          </cell>
          <cell r="S575">
            <v>1</v>
          </cell>
          <cell r="T575">
            <v>24.998919999999998</v>
          </cell>
          <cell r="U575">
            <v>24.998919999999998</v>
          </cell>
        </row>
        <row r="576">
          <cell r="B576" t="str">
            <v>V17551-PIND-0334-02</v>
          </cell>
          <cell r="C576" t="str">
            <v>PROD/25-26/13748</v>
          </cell>
          <cell r="D576" t="str">
            <v/>
          </cell>
          <cell r="E576" t="str">
            <v>TJ/25-26/184-CS</v>
          </cell>
          <cell r="F576" t="str">
            <v>P5</v>
          </cell>
          <cell r="G576">
            <v>0</v>
          </cell>
          <cell r="H576">
            <v>2</v>
          </cell>
          <cell r="I576" t="str">
            <v>Yes</v>
          </cell>
          <cell r="J576" t="str">
            <v/>
          </cell>
          <cell r="K576" t="str">
            <v>No</v>
          </cell>
          <cell r="L576" t="str">
            <v/>
          </cell>
          <cell r="M576" t="str">
            <v/>
          </cell>
          <cell r="N576" t="str">
            <v>Spool</v>
          </cell>
          <cell r="O576">
            <v>0</v>
          </cell>
          <cell r="P576">
            <v>0</v>
          </cell>
          <cell r="Q576" t="str">
            <v>CS</v>
          </cell>
          <cell r="R576">
            <v>1</v>
          </cell>
          <cell r="S576">
            <v>1</v>
          </cell>
          <cell r="T576">
            <v>9.0285600000000006</v>
          </cell>
          <cell r="U576">
            <v>9.0285600000000006</v>
          </cell>
        </row>
        <row r="577">
          <cell r="B577" t="str">
            <v>V17551-PIND-0335-02</v>
          </cell>
          <cell r="C577" t="str">
            <v>PROD/25-26/13749</v>
          </cell>
          <cell r="D577" t="str">
            <v/>
          </cell>
          <cell r="E577" t="str">
            <v>TJ/25-26/184-CS</v>
          </cell>
          <cell r="F577" t="str">
            <v>P5</v>
          </cell>
          <cell r="G577">
            <v>0</v>
          </cell>
          <cell r="H577">
            <v>2</v>
          </cell>
          <cell r="I577" t="str">
            <v>Yes</v>
          </cell>
          <cell r="J577" t="str">
            <v/>
          </cell>
          <cell r="K577" t="str">
            <v>No</v>
          </cell>
          <cell r="L577" t="str">
            <v/>
          </cell>
          <cell r="M577" t="str">
            <v/>
          </cell>
          <cell r="N577" t="str">
            <v>Spool</v>
          </cell>
          <cell r="O577">
            <v>0</v>
          </cell>
          <cell r="P577">
            <v>0</v>
          </cell>
          <cell r="Q577" t="str">
            <v>CS</v>
          </cell>
          <cell r="R577">
            <v>1</v>
          </cell>
          <cell r="S577">
            <v>1</v>
          </cell>
          <cell r="T577">
            <v>5.2303199999999999</v>
          </cell>
          <cell r="U577">
            <v>5.2303199999999999</v>
          </cell>
        </row>
        <row r="578">
          <cell r="B578" t="str">
            <v>V17551-PIND-0336-02</v>
          </cell>
          <cell r="C578" t="str">
            <v>PROD/25-26/13750</v>
          </cell>
          <cell r="D578" t="str">
            <v/>
          </cell>
          <cell r="E578" t="str">
            <v>TJ/25-26/184-CS</v>
          </cell>
          <cell r="F578" t="str">
            <v>P5</v>
          </cell>
          <cell r="G578">
            <v>0</v>
          </cell>
          <cell r="H578">
            <v>2</v>
          </cell>
          <cell r="I578" t="str">
            <v>Yes</v>
          </cell>
          <cell r="J578" t="str">
            <v/>
          </cell>
          <cell r="K578" t="str">
            <v>No</v>
          </cell>
          <cell r="L578" t="str">
            <v/>
          </cell>
          <cell r="M578" t="str">
            <v/>
          </cell>
          <cell r="N578" t="str">
            <v>Spool</v>
          </cell>
          <cell r="O578">
            <v>0</v>
          </cell>
          <cell r="P578">
            <v>0</v>
          </cell>
          <cell r="Q578" t="str">
            <v>CS</v>
          </cell>
          <cell r="R578">
            <v>1</v>
          </cell>
          <cell r="S578">
            <v>1</v>
          </cell>
          <cell r="T578">
            <v>4.7378400000000003</v>
          </cell>
          <cell r="U578">
            <v>4.7378400000000003</v>
          </cell>
        </row>
        <row r="579">
          <cell r="B579" t="str">
            <v>V17551-PIND-0337-02</v>
          </cell>
          <cell r="C579" t="str">
            <v>PROD/25-26/13751</v>
          </cell>
          <cell r="D579" t="str">
            <v/>
          </cell>
          <cell r="E579" t="str">
            <v>TJ/25-26/184-CS</v>
          </cell>
          <cell r="F579" t="str">
            <v>P5</v>
          </cell>
          <cell r="G579">
            <v>0</v>
          </cell>
          <cell r="H579">
            <v>2</v>
          </cell>
          <cell r="I579" t="str">
            <v>Yes</v>
          </cell>
          <cell r="J579" t="str">
            <v/>
          </cell>
          <cell r="K579" t="str">
            <v>No</v>
          </cell>
          <cell r="L579" t="str">
            <v/>
          </cell>
          <cell r="M579" t="str">
            <v/>
          </cell>
          <cell r="N579" t="str">
            <v>Spool</v>
          </cell>
          <cell r="O579">
            <v>0</v>
          </cell>
          <cell r="P579">
            <v>0</v>
          </cell>
          <cell r="Q579" t="str">
            <v>CS</v>
          </cell>
          <cell r="R579">
            <v>1</v>
          </cell>
          <cell r="S579">
            <v>1</v>
          </cell>
          <cell r="T579">
            <v>5.6612400000000003</v>
          </cell>
          <cell r="U579">
            <v>5.6612400000000003</v>
          </cell>
        </row>
        <row r="580">
          <cell r="B580" t="str">
            <v>V17551-PIND-0339-02</v>
          </cell>
          <cell r="C580" t="str">
            <v>PROD/25-26/13752</v>
          </cell>
          <cell r="D580" t="str">
            <v/>
          </cell>
          <cell r="E580" t="str">
            <v>TJ/25-26/184-CS</v>
          </cell>
          <cell r="F580" t="str">
            <v>P5</v>
          </cell>
          <cell r="G580">
            <v>0</v>
          </cell>
          <cell r="H580">
            <v>2</v>
          </cell>
          <cell r="I580" t="str">
            <v>Yes</v>
          </cell>
          <cell r="J580" t="str">
            <v/>
          </cell>
          <cell r="K580" t="str">
            <v>No</v>
          </cell>
          <cell r="L580" t="str">
            <v/>
          </cell>
          <cell r="M580" t="str">
            <v/>
          </cell>
          <cell r="N580" t="str">
            <v>Spool</v>
          </cell>
          <cell r="O580">
            <v>0</v>
          </cell>
          <cell r="P580">
            <v>0</v>
          </cell>
          <cell r="Q580" t="str">
            <v>CS</v>
          </cell>
          <cell r="R580">
            <v>1</v>
          </cell>
          <cell r="S580">
            <v>1</v>
          </cell>
          <cell r="T580">
            <v>21.896879999999999</v>
          </cell>
          <cell r="U580">
            <v>21.896879999999999</v>
          </cell>
        </row>
        <row r="581">
          <cell r="B581" t="str">
            <v>V17551-PIND-0340-02</v>
          </cell>
          <cell r="C581" t="str">
            <v>PROD/25-26/13753</v>
          </cell>
          <cell r="D581" t="str">
            <v/>
          </cell>
          <cell r="E581" t="str">
            <v>TJ/25-26/184-CS</v>
          </cell>
          <cell r="F581" t="str">
            <v>P5</v>
          </cell>
          <cell r="G581">
            <v>0</v>
          </cell>
          <cell r="H581">
            <v>2</v>
          </cell>
          <cell r="I581" t="str">
            <v>Yes</v>
          </cell>
          <cell r="J581" t="str">
            <v/>
          </cell>
          <cell r="K581" t="str">
            <v>No</v>
          </cell>
          <cell r="L581" t="str">
            <v/>
          </cell>
          <cell r="M581" t="str">
            <v/>
          </cell>
          <cell r="N581" t="str">
            <v>Spool</v>
          </cell>
          <cell r="O581">
            <v>0</v>
          </cell>
          <cell r="P581">
            <v>0</v>
          </cell>
          <cell r="Q581" t="str">
            <v>CS</v>
          </cell>
          <cell r="R581">
            <v>1</v>
          </cell>
          <cell r="S581">
            <v>1</v>
          </cell>
          <cell r="T581">
            <v>16.579799999999999</v>
          </cell>
          <cell r="U581">
            <v>16.579799999999999</v>
          </cell>
        </row>
        <row r="582">
          <cell r="B582" t="str">
            <v>V17551-PIND-0341-02</v>
          </cell>
          <cell r="C582" t="str">
            <v>PROD/25-26/13754</v>
          </cell>
          <cell r="D582" t="str">
            <v/>
          </cell>
          <cell r="E582" t="str">
            <v>TJ/25-26/184-CS</v>
          </cell>
          <cell r="F582" t="str">
            <v>P5</v>
          </cell>
          <cell r="G582">
            <v>0</v>
          </cell>
          <cell r="H582">
            <v>2</v>
          </cell>
          <cell r="I582" t="str">
            <v>Yes</v>
          </cell>
          <cell r="J582" t="str">
            <v/>
          </cell>
          <cell r="K582" t="str">
            <v>No</v>
          </cell>
          <cell r="L582" t="str">
            <v/>
          </cell>
          <cell r="M582" t="str">
            <v/>
          </cell>
          <cell r="N582" t="str">
            <v>Spool</v>
          </cell>
          <cell r="O582">
            <v>0</v>
          </cell>
          <cell r="P582">
            <v>0</v>
          </cell>
          <cell r="Q582" t="str">
            <v>CS</v>
          </cell>
          <cell r="R582">
            <v>1</v>
          </cell>
          <cell r="S582">
            <v>1</v>
          </cell>
          <cell r="T582">
            <v>8.1495599999999992</v>
          </cell>
          <cell r="U582">
            <v>8.1495599999999992</v>
          </cell>
        </row>
        <row r="583">
          <cell r="B583" t="str">
            <v>V17551-PIND-0342-02</v>
          </cell>
          <cell r="C583" t="str">
            <v>PROD/25-26/13755</v>
          </cell>
          <cell r="D583" t="str">
            <v/>
          </cell>
          <cell r="E583" t="str">
            <v>TJ/25-26/184-CS</v>
          </cell>
          <cell r="F583" t="str">
            <v>P5</v>
          </cell>
          <cell r="G583">
            <v>0</v>
          </cell>
          <cell r="H583">
            <v>2</v>
          </cell>
          <cell r="I583" t="str">
            <v>Yes</v>
          </cell>
          <cell r="J583" t="str">
            <v/>
          </cell>
          <cell r="K583" t="str">
            <v>No</v>
          </cell>
          <cell r="L583" t="str">
            <v/>
          </cell>
          <cell r="M583" t="str">
            <v/>
          </cell>
          <cell r="N583" t="str">
            <v>Spool</v>
          </cell>
          <cell r="O583">
            <v>0</v>
          </cell>
          <cell r="P583">
            <v>0</v>
          </cell>
          <cell r="Q583" t="str">
            <v>CS</v>
          </cell>
          <cell r="R583">
            <v>1</v>
          </cell>
          <cell r="S583">
            <v>1</v>
          </cell>
          <cell r="T583">
            <v>5.9463600000000003</v>
          </cell>
          <cell r="U583">
            <v>5.9463600000000003</v>
          </cell>
        </row>
        <row r="584">
          <cell r="B584" t="str">
            <v>V17551-PIND-0343-02</v>
          </cell>
          <cell r="C584" t="str">
            <v>PROD/25-26/13756</v>
          </cell>
          <cell r="D584" t="str">
            <v/>
          </cell>
          <cell r="E584" t="str">
            <v>TJ/25-26/184-CS</v>
          </cell>
          <cell r="F584" t="str">
            <v>P5</v>
          </cell>
          <cell r="G584">
            <v>0</v>
          </cell>
          <cell r="H584">
            <v>2</v>
          </cell>
          <cell r="I584" t="str">
            <v>Yes</v>
          </cell>
          <cell r="J584" t="str">
            <v/>
          </cell>
          <cell r="K584" t="str">
            <v>No</v>
          </cell>
          <cell r="L584" t="str">
            <v/>
          </cell>
          <cell r="M584" t="str">
            <v/>
          </cell>
          <cell r="N584" t="str">
            <v>Spool</v>
          </cell>
          <cell r="O584">
            <v>0</v>
          </cell>
          <cell r="P584">
            <v>0</v>
          </cell>
          <cell r="Q584" t="str">
            <v>CS</v>
          </cell>
          <cell r="R584">
            <v>1</v>
          </cell>
          <cell r="S584">
            <v>1</v>
          </cell>
          <cell r="T584">
            <v>28.33464</v>
          </cell>
          <cell r="U584">
            <v>28.33464</v>
          </cell>
        </row>
        <row r="585">
          <cell r="B585" t="str">
            <v>V17551-PIND-0344-02</v>
          </cell>
          <cell r="C585" t="str">
            <v>PROD/25-26/13757</v>
          </cell>
          <cell r="D585" t="str">
            <v/>
          </cell>
          <cell r="E585" t="str">
            <v>TJ/25-26/184-CS</v>
          </cell>
          <cell r="F585" t="str">
            <v>P5</v>
          </cell>
          <cell r="G585">
            <v>0</v>
          </cell>
          <cell r="H585">
            <v>2</v>
          </cell>
          <cell r="I585" t="str">
            <v>Yes</v>
          </cell>
          <cell r="J585" t="str">
            <v/>
          </cell>
          <cell r="K585" t="str">
            <v>No</v>
          </cell>
          <cell r="L585" t="str">
            <v/>
          </cell>
          <cell r="M585" t="str">
            <v/>
          </cell>
          <cell r="N585" t="str">
            <v>Spool</v>
          </cell>
          <cell r="O585">
            <v>0</v>
          </cell>
          <cell r="P585">
            <v>0</v>
          </cell>
          <cell r="Q585" t="str">
            <v>CS</v>
          </cell>
          <cell r="R585">
            <v>1</v>
          </cell>
          <cell r="S585">
            <v>1</v>
          </cell>
          <cell r="T585">
            <v>12.11364</v>
          </cell>
          <cell r="U585">
            <v>12.11364</v>
          </cell>
        </row>
        <row r="586">
          <cell r="B586" t="str">
            <v>V17551-PIND-0345-02</v>
          </cell>
          <cell r="C586" t="str">
            <v>PROD/25-26/13758</v>
          </cell>
          <cell r="D586" t="str">
            <v/>
          </cell>
          <cell r="E586" t="str">
            <v>TJ/25-26/184-CS</v>
          </cell>
          <cell r="F586" t="str">
            <v>P5</v>
          </cell>
          <cell r="G586">
            <v>0</v>
          </cell>
          <cell r="H586">
            <v>2</v>
          </cell>
          <cell r="I586" t="str">
            <v>Yes</v>
          </cell>
          <cell r="J586" t="str">
            <v/>
          </cell>
          <cell r="K586" t="str">
            <v>No</v>
          </cell>
          <cell r="L586" t="str">
            <v/>
          </cell>
          <cell r="M586" t="str">
            <v/>
          </cell>
          <cell r="N586" t="str">
            <v>Spool</v>
          </cell>
          <cell r="O586">
            <v>0</v>
          </cell>
          <cell r="P586">
            <v>0</v>
          </cell>
          <cell r="Q586" t="str">
            <v>CS</v>
          </cell>
          <cell r="R586">
            <v>1</v>
          </cell>
          <cell r="S586">
            <v>1</v>
          </cell>
          <cell r="T586">
            <v>10.2174</v>
          </cell>
          <cell r="U586">
            <v>10.2174</v>
          </cell>
        </row>
        <row r="587">
          <cell r="B587" t="str">
            <v>V17551-PIND-0346-02</v>
          </cell>
          <cell r="C587" t="str">
            <v>PROD/25-26/13759</v>
          </cell>
          <cell r="D587" t="str">
            <v/>
          </cell>
          <cell r="E587" t="str">
            <v>TJ/25-26/184-CS</v>
          </cell>
          <cell r="F587" t="str">
            <v>P5</v>
          </cell>
          <cell r="G587">
            <v>0</v>
          </cell>
          <cell r="H587">
            <v>2</v>
          </cell>
          <cell r="I587" t="str">
            <v>Yes</v>
          </cell>
          <cell r="J587" t="str">
            <v/>
          </cell>
          <cell r="K587" t="str">
            <v>No</v>
          </cell>
          <cell r="L587" t="str">
            <v/>
          </cell>
          <cell r="M587" t="str">
            <v/>
          </cell>
          <cell r="N587" t="str">
            <v>Spool</v>
          </cell>
          <cell r="O587">
            <v>0</v>
          </cell>
          <cell r="P587">
            <v>0</v>
          </cell>
          <cell r="Q587" t="str">
            <v>CS</v>
          </cell>
          <cell r="R587">
            <v>1</v>
          </cell>
          <cell r="S587">
            <v>1</v>
          </cell>
          <cell r="T587">
            <v>25.375800000000002</v>
          </cell>
          <cell r="U587">
            <v>25.375800000000002</v>
          </cell>
        </row>
        <row r="588">
          <cell r="B588" t="str">
            <v>V17551-PIND-0347-02</v>
          </cell>
          <cell r="C588" t="str">
            <v>PROD/25-26/13624</v>
          </cell>
          <cell r="D588" t="str">
            <v/>
          </cell>
          <cell r="E588" t="str">
            <v>TJ/25-26/184-CS</v>
          </cell>
          <cell r="F588" t="str">
            <v>P5</v>
          </cell>
          <cell r="G588">
            <v>0</v>
          </cell>
          <cell r="H588">
            <v>2</v>
          </cell>
          <cell r="I588" t="str">
            <v>Yes</v>
          </cell>
          <cell r="J588" t="str">
            <v/>
          </cell>
          <cell r="K588" t="str">
            <v>No</v>
          </cell>
          <cell r="L588" t="str">
            <v/>
          </cell>
          <cell r="M588" t="str">
            <v/>
          </cell>
          <cell r="N588" t="str">
            <v>Spool</v>
          </cell>
          <cell r="O588">
            <v>0</v>
          </cell>
          <cell r="P588">
            <v>0</v>
          </cell>
          <cell r="Q588" t="str">
            <v>CS</v>
          </cell>
          <cell r="R588">
            <v>1</v>
          </cell>
          <cell r="S588">
            <v>1</v>
          </cell>
          <cell r="T588">
            <v>26.489719999999998</v>
          </cell>
          <cell r="U588">
            <v>26.489719999999998</v>
          </cell>
        </row>
        <row r="589">
          <cell r="B589" t="str">
            <v>V17551-PIND-0348-02</v>
          </cell>
          <cell r="C589" t="str">
            <v>PROD/25-26/13761</v>
          </cell>
          <cell r="D589" t="str">
            <v/>
          </cell>
          <cell r="E589" t="str">
            <v>TJ/25-26/184-CS</v>
          </cell>
          <cell r="F589" t="str">
            <v>P5</v>
          </cell>
          <cell r="G589">
            <v>0</v>
          </cell>
          <cell r="H589">
            <v>2</v>
          </cell>
          <cell r="I589" t="str">
            <v>Yes</v>
          </cell>
          <cell r="J589" t="str">
            <v/>
          </cell>
          <cell r="K589" t="str">
            <v>No</v>
          </cell>
          <cell r="L589" t="str">
            <v/>
          </cell>
          <cell r="M589" t="str">
            <v/>
          </cell>
          <cell r="N589" t="str">
            <v>Spool</v>
          </cell>
          <cell r="O589">
            <v>0</v>
          </cell>
          <cell r="P589">
            <v>0</v>
          </cell>
          <cell r="Q589" t="str">
            <v>CS</v>
          </cell>
          <cell r="R589">
            <v>1</v>
          </cell>
          <cell r="S589">
            <v>1</v>
          </cell>
          <cell r="T589">
            <v>25.615400000000001</v>
          </cell>
          <cell r="U589">
            <v>25.615400000000001</v>
          </cell>
        </row>
        <row r="590">
          <cell r="B590" t="str">
            <v>V17551-PIND-0349-05</v>
          </cell>
          <cell r="C590" t="str">
            <v>PROD/25-26/13762</v>
          </cell>
          <cell r="D590" t="str">
            <v/>
          </cell>
          <cell r="E590" t="str">
            <v>TJ/25-26/184-CS</v>
          </cell>
          <cell r="F590" t="str">
            <v>P5</v>
          </cell>
          <cell r="G590">
            <v>0</v>
          </cell>
          <cell r="H590">
            <v>2</v>
          </cell>
          <cell r="I590" t="str">
            <v>Yes</v>
          </cell>
          <cell r="J590" t="str">
            <v/>
          </cell>
          <cell r="K590" t="str">
            <v>No</v>
          </cell>
          <cell r="L590" t="str">
            <v/>
          </cell>
          <cell r="M590" t="str">
            <v/>
          </cell>
          <cell r="N590" t="str">
            <v>Spool</v>
          </cell>
          <cell r="O590">
            <v>0</v>
          </cell>
          <cell r="P590">
            <v>0</v>
          </cell>
          <cell r="Q590" t="str">
            <v>CS</v>
          </cell>
          <cell r="R590">
            <v>1</v>
          </cell>
          <cell r="S590">
            <v>1</v>
          </cell>
          <cell r="T590">
            <v>20.190000000000001</v>
          </cell>
          <cell r="U590">
            <v>20.190000000000001</v>
          </cell>
        </row>
        <row r="591">
          <cell r="B591" t="str">
            <v>V17551-PIND-0355-02</v>
          </cell>
          <cell r="C591" t="str">
            <v>PROD/25-26/13766</v>
          </cell>
          <cell r="D591" t="str">
            <v/>
          </cell>
          <cell r="E591" t="str">
            <v>TJ/25-26/184-CS</v>
          </cell>
          <cell r="F591" t="str">
            <v>P5</v>
          </cell>
          <cell r="G591">
            <v>0</v>
          </cell>
          <cell r="H591">
            <v>2</v>
          </cell>
          <cell r="I591" t="str">
            <v>Yes</v>
          </cell>
          <cell r="J591" t="str">
            <v/>
          </cell>
          <cell r="K591" t="str">
            <v>No</v>
          </cell>
          <cell r="L591" t="str">
            <v/>
          </cell>
          <cell r="M591" t="str">
            <v/>
          </cell>
          <cell r="N591" t="str">
            <v>Spool</v>
          </cell>
          <cell r="O591">
            <v>0</v>
          </cell>
          <cell r="P591">
            <v>0</v>
          </cell>
          <cell r="Q591" t="str">
            <v>CS</v>
          </cell>
          <cell r="R591">
            <v>1</v>
          </cell>
          <cell r="S591">
            <v>1</v>
          </cell>
          <cell r="T591">
            <v>4.5132000000000003</v>
          </cell>
          <cell r="U591">
            <v>4.5132000000000003</v>
          </cell>
        </row>
        <row r="592">
          <cell r="B592" t="str">
            <v>V17551-PIND-0356-02</v>
          </cell>
          <cell r="C592" t="str">
            <v>PROD/25-26/13767</v>
          </cell>
          <cell r="D592" t="str">
            <v/>
          </cell>
          <cell r="E592" t="str">
            <v>TJ/25-26/184-CS</v>
          </cell>
          <cell r="F592" t="str">
            <v>P5</v>
          </cell>
          <cell r="G592">
            <v>0</v>
          </cell>
          <cell r="H592">
            <v>2</v>
          </cell>
          <cell r="I592" t="str">
            <v>Yes</v>
          </cell>
          <cell r="J592" t="str">
            <v/>
          </cell>
          <cell r="K592" t="str">
            <v>No</v>
          </cell>
          <cell r="L592" t="str">
            <v/>
          </cell>
          <cell r="M592" t="str">
            <v/>
          </cell>
          <cell r="N592" t="str">
            <v>Spool</v>
          </cell>
          <cell r="O592">
            <v>0</v>
          </cell>
          <cell r="P592">
            <v>0</v>
          </cell>
          <cell r="Q592" t="str">
            <v>CS</v>
          </cell>
          <cell r="R592">
            <v>1</v>
          </cell>
          <cell r="S592">
            <v>1</v>
          </cell>
          <cell r="T592">
            <v>4.5132000000000003</v>
          </cell>
          <cell r="U592">
            <v>4.5132000000000003</v>
          </cell>
        </row>
        <row r="593">
          <cell r="B593" t="str">
            <v>V17551-PIND-0361-02</v>
          </cell>
          <cell r="C593" t="str">
            <v>PROD/25-26/13772</v>
          </cell>
          <cell r="D593" t="str">
            <v/>
          </cell>
          <cell r="E593" t="str">
            <v>TJ/25-26/184-CS</v>
          </cell>
          <cell r="F593" t="str">
            <v>P5</v>
          </cell>
          <cell r="G593">
            <v>0</v>
          </cell>
          <cell r="H593">
            <v>2</v>
          </cell>
          <cell r="I593" t="str">
            <v>Yes</v>
          </cell>
          <cell r="J593" t="str">
            <v/>
          </cell>
          <cell r="K593" t="str">
            <v>No</v>
          </cell>
          <cell r="L593" t="str">
            <v/>
          </cell>
          <cell r="M593" t="str">
            <v/>
          </cell>
          <cell r="N593" t="str">
            <v>Spool</v>
          </cell>
          <cell r="O593">
            <v>0</v>
          </cell>
          <cell r="P593">
            <v>0</v>
          </cell>
          <cell r="Q593" t="str">
            <v>CS</v>
          </cell>
          <cell r="R593">
            <v>1</v>
          </cell>
          <cell r="S593">
            <v>1</v>
          </cell>
          <cell r="T593">
            <v>22.642980000000001</v>
          </cell>
          <cell r="U593">
            <v>22.642980000000001</v>
          </cell>
        </row>
        <row r="594">
          <cell r="B594" t="str">
            <v>V17551-PIND-0362-02</v>
          </cell>
          <cell r="C594" t="str">
            <v>PROD/25-26/14085</v>
          </cell>
          <cell r="D594" t="str">
            <v/>
          </cell>
          <cell r="E594" t="str">
            <v>TJ/25-26/184-CS</v>
          </cell>
          <cell r="F594" t="str">
            <v>P5</v>
          </cell>
          <cell r="G594">
            <v>0</v>
          </cell>
          <cell r="H594">
            <v>2</v>
          </cell>
          <cell r="I594" t="str">
            <v>Yes</v>
          </cell>
          <cell r="J594" t="str">
            <v/>
          </cell>
          <cell r="K594" t="str">
            <v>No</v>
          </cell>
          <cell r="L594" t="str">
            <v/>
          </cell>
          <cell r="M594" t="str">
            <v/>
          </cell>
          <cell r="N594" t="str">
            <v>Spool</v>
          </cell>
          <cell r="O594">
            <v>0</v>
          </cell>
          <cell r="P594">
            <v>0</v>
          </cell>
          <cell r="Q594" t="str">
            <v>CS</v>
          </cell>
          <cell r="R594">
            <v>1</v>
          </cell>
          <cell r="S594">
            <v>1</v>
          </cell>
          <cell r="T594">
            <v>94.396000000000001</v>
          </cell>
          <cell r="U594">
            <v>94.396000000000001</v>
          </cell>
        </row>
        <row r="595">
          <cell r="B595" t="str">
            <v>V17551-PIND-0363-02</v>
          </cell>
          <cell r="C595" t="str">
            <v>PROD/25-26/13774</v>
          </cell>
          <cell r="D595" t="str">
            <v/>
          </cell>
          <cell r="E595" t="str">
            <v>TJ/25-26/184-CS</v>
          </cell>
          <cell r="F595" t="str">
            <v>P5</v>
          </cell>
          <cell r="G595">
            <v>0</v>
          </cell>
          <cell r="H595">
            <v>2</v>
          </cell>
          <cell r="I595" t="str">
            <v>Yes</v>
          </cell>
          <cell r="J595" t="str">
            <v/>
          </cell>
          <cell r="K595" t="str">
            <v>No</v>
          </cell>
          <cell r="L595" t="str">
            <v/>
          </cell>
          <cell r="M595" t="str">
            <v/>
          </cell>
          <cell r="N595" t="str">
            <v>Spool</v>
          </cell>
          <cell r="O595">
            <v>0</v>
          </cell>
          <cell r="P595">
            <v>0</v>
          </cell>
          <cell r="Q595" t="str">
            <v>CS</v>
          </cell>
          <cell r="R595">
            <v>1</v>
          </cell>
          <cell r="S595">
            <v>1</v>
          </cell>
          <cell r="T595">
            <v>8.2111199999999993</v>
          </cell>
          <cell r="U595">
            <v>8.2111199999999993</v>
          </cell>
        </row>
        <row r="596">
          <cell r="B596" t="str">
            <v>V17551-PIND-0366-02</v>
          </cell>
          <cell r="C596" t="str">
            <v>PROD/25-26/13629</v>
          </cell>
          <cell r="D596" t="str">
            <v/>
          </cell>
          <cell r="E596" t="str">
            <v>TJ/25-26/184-CS</v>
          </cell>
          <cell r="F596" t="str">
            <v>P5</v>
          </cell>
          <cell r="G596">
            <v>0</v>
          </cell>
          <cell r="H596">
            <v>2</v>
          </cell>
          <cell r="I596" t="str">
            <v>Yes</v>
          </cell>
          <cell r="J596" t="str">
            <v/>
          </cell>
          <cell r="K596" t="str">
            <v>No</v>
          </cell>
          <cell r="L596" t="str">
            <v/>
          </cell>
          <cell r="M596" t="str">
            <v/>
          </cell>
          <cell r="N596" t="str">
            <v>Spool</v>
          </cell>
          <cell r="O596">
            <v>0</v>
          </cell>
          <cell r="P596">
            <v>0</v>
          </cell>
          <cell r="Q596" t="str">
            <v>CS</v>
          </cell>
          <cell r="R596">
            <v>1</v>
          </cell>
          <cell r="S596">
            <v>1</v>
          </cell>
          <cell r="T596">
            <v>8.4179999999999993</v>
          </cell>
          <cell r="U596">
            <v>8.4179999999999993</v>
          </cell>
        </row>
        <row r="597">
          <cell r="B597" t="str">
            <v>V17551-PIND-0367-02</v>
          </cell>
          <cell r="C597" t="str">
            <v>PROD/25-26/13777</v>
          </cell>
          <cell r="D597" t="str">
            <v/>
          </cell>
          <cell r="E597" t="str">
            <v>TJ/25-26/184-CS</v>
          </cell>
          <cell r="F597" t="str">
            <v>P5</v>
          </cell>
          <cell r="G597">
            <v>0</v>
          </cell>
          <cell r="H597">
            <v>2</v>
          </cell>
          <cell r="I597" t="str">
            <v>Yes</v>
          </cell>
          <cell r="J597" t="str">
            <v/>
          </cell>
          <cell r="K597" t="str">
            <v>No</v>
          </cell>
          <cell r="L597" t="str">
            <v/>
          </cell>
          <cell r="M597" t="str">
            <v/>
          </cell>
          <cell r="N597" t="str">
            <v>Spool</v>
          </cell>
          <cell r="O597">
            <v>0</v>
          </cell>
          <cell r="P597">
            <v>0</v>
          </cell>
          <cell r="Q597" t="str">
            <v>CS</v>
          </cell>
          <cell r="R597">
            <v>1</v>
          </cell>
          <cell r="S597">
            <v>1</v>
          </cell>
          <cell r="T597">
            <v>34.424759999999999</v>
          </cell>
          <cell r="U597">
            <v>34.424759999999999</v>
          </cell>
        </row>
        <row r="598">
          <cell r="B598" t="str">
            <v>V17551-PIND-0371-02</v>
          </cell>
          <cell r="C598" t="str">
            <v>PROD/25-26/13781</v>
          </cell>
          <cell r="D598" t="str">
            <v/>
          </cell>
          <cell r="E598" t="str">
            <v>TJ/25-26/184-P22</v>
          </cell>
          <cell r="F598" t="str">
            <v>P5</v>
          </cell>
          <cell r="G598">
            <v>0</v>
          </cell>
          <cell r="H598">
            <v>2</v>
          </cell>
          <cell r="I598" t="str">
            <v>Yes</v>
          </cell>
          <cell r="J598" t="str">
            <v/>
          </cell>
          <cell r="K598" t="str">
            <v>No</v>
          </cell>
          <cell r="L598" t="str">
            <v/>
          </cell>
          <cell r="M598" t="str">
            <v/>
          </cell>
          <cell r="N598" t="str">
            <v>Spool</v>
          </cell>
          <cell r="O598">
            <v>0</v>
          </cell>
          <cell r="P598">
            <v>0</v>
          </cell>
          <cell r="Q598" t="str">
            <v>P22</v>
          </cell>
          <cell r="R598">
            <v>1</v>
          </cell>
          <cell r="S598">
            <v>1</v>
          </cell>
          <cell r="T598">
            <v>12.51484</v>
          </cell>
          <cell r="U598">
            <v>12.51484</v>
          </cell>
        </row>
        <row r="599">
          <cell r="B599" t="str">
            <v>V17551-PIND-0372-02</v>
          </cell>
          <cell r="C599" t="str">
            <v>PROD/25-26/13782</v>
          </cell>
          <cell r="D599" t="str">
            <v/>
          </cell>
          <cell r="E599" t="str">
            <v>TJ/25-26/184-P91</v>
          </cell>
          <cell r="F599" t="str">
            <v>P5</v>
          </cell>
          <cell r="G599">
            <v>0</v>
          </cell>
          <cell r="H599">
            <v>2</v>
          </cell>
          <cell r="I599" t="str">
            <v>Yes</v>
          </cell>
          <cell r="J599" t="str">
            <v/>
          </cell>
          <cell r="K599" t="str">
            <v>No</v>
          </cell>
          <cell r="L599" t="str">
            <v/>
          </cell>
          <cell r="M599" t="str">
            <v/>
          </cell>
          <cell r="N599" t="str">
            <v>Spool</v>
          </cell>
          <cell r="O599">
            <v>0</v>
          </cell>
          <cell r="P599">
            <v>0</v>
          </cell>
          <cell r="Q599" t="str">
            <v>P91</v>
          </cell>
          <cell r="R599">
            <v>1</v>
          </cell>
          <cell r="S599">
            <v>1</v>
          </cell>
          <cell r="T599">
            <v>114.55668</v>
          </cell>
          <cell r="U599">
            <v>114.55668</v>
          </cell>
        </row>
        <row r="600">
          <cell r="B600" t="str">
            <v>V17551-PIND-0373-02</v>
          </cell>
          <cell r="C600" t="str">
            <v>PROD/25-26/13783</v>
          </cell>
          <cell r="D600" t="str">
            <v/>
          </cell>
          <cell r="E600" t="str">
            <v>TJ/25-26/184-P22</v>
          </cell>
          <cell r="F600" t="str">
            <v>P5</v>
          </cell>
          <cell r="G600">
            <v>0</v>
          </cell>
          <cell r="H600">
            <v>2</v>
          </cell>
          <cell r="I600" t="str">
            <v>Yes</v>
          </cell>
          <cell r="J600" t="str">
            <v/>
          </cell>
          <cell r="K600" t="str">
            <v>No</v>
          </cell>
          <cell r="L600" t="str">
            <v/>
          </cell>
          <cell r="M600" t="str">
            <v/>
          </cell>
          <cell r="N600" t="str">
            <v>Spool</v>
          </cell>
          <cell r="O600">
            <v>0</v>
          </cell>
          <cell r="P600">
            <v>0</v>
          </cell>
          <cell r="Q600" t="str">
            <v>P91</v>
          </cell>
          <cell r="R600">
            <v>1</v>
          </cell>
          <cell r="S600">
            <v>1</v>
          </cell>
          <cell r="T600">
            <v>18.004439999999999</v>
          </cell>
          <cell r="U600">
            <v>18.004439999999999</v>
          </cell>
        </row>
        <row r="601">
          <cell r="B601" t="str">
            <v>V17551-PIND-0374-02</v>
          </cell>
          <cell r="C601" t="str">
            <v>PROD/25-26/13784</v>
          </cell>
          <cell r="D601" t="str">
            <v/>
          </cell>
          <cell r="E601" t="str">
            <v>TJ/25-26/184-CS</v>
          </cell>
          <cell r="F601" t="str">
            <v>P5</v>
          </cell>
          <cell r="G601">
            <v>0</v>
          </cell>
          <cell r="H601">
            <v>2</v>
          </cell>
          <cell r="I601" t="str">
            <v>Yes</v>
          </cell>
          <cell r="J601" t="str">
            <v/>
          </cell>
          <cell r="K601" t="str">
            <v>No</v>
          </cell>
          <cell r="L601" t="str">
            <v/>
          </cell>
          <cell r="M601" t="str">
            <v/>
          </cell>
          <cell r="N601" t="str">
            <v>Spool</v>
          </cell>
          <cell r="O601">
            <v>0</v>
          </cell>
          <cell r="P601">
            <v>0</v>
          </cell>
          <cell r="Q601" t="str">
            <v>CS</v>
          </cell>
          <cell r="R601">
            <v>1</v>
          </cell>
          <cell r="S601">
            <v>1</v>
          </cell>
          <cell r="T601">
            <v>7.7051999999999996</v>
          </cell>
          <cell r="U601">
            <v>7.7051999999999996</v>
          </cell>
        </row>
        <row r="602">
          <cell r="B602" t="str">
            <v>V17551-PIND-0375-02</v>
          </cell>
          <cell r="C602" t="str">
            <v>PROD/25-26/13785</v>
          </cell>
          <cell r="D602" t="str">
            <v/>
          </cell>
          <cell r="E602" t="str">
            <v>TJ/25-26/184-CS</v>
          </cell>
          <cell r="F602" t="str">
            <v>P5</v>
          </cell>
          <cell r="G602">
            <v>0</v>
          </cell>
          <cell r="H602">
            <v>2</v>
          </cell>
          <cell r="I602" t="str">
            <v>Yes</v>
          </cell>
          <cell r="J602" t="str">
            <v/>
          </cell>
          <cell r="K602" t="str">
            <v>No</v>
          </cell>
          <cell r="L602" t="str">
            <v/>
          </cell>
          <cell r="M602" t="str">
            <v/>
          </cell>
          <cell r="N602" t="str">
            <v>Spool</v>
          </cell>
          <cell r="O602">
            <v>0</v>
          </cell>
          <cell r="P602">
            <v>0</v>
          </cell>
          <cell r="Q602" t="str">
            <v>CS</v>
          </cell>
          <cell r="R602">
            <v>1</v>
          </cell>
          <cell r="S602">
            <v>1</v>
          </cell>
          <cell r="T602">
            <v>3.5417999999999998</v>
          </cell>
          <cell r="U602">
            <v>3.5417999999999998</v>
          </cell>
        </row>
        <row r="603">
          <cell r="B603" t="str">
            <v>V17551-PIND-0376-02</v>
          </cell>
          <cell r="C603" t="str">
            <v>PROD/25-26/13786</v>
          </cell>
          <cell r="D603" t="str">
            <v/>
          </cell>
          <cell r="E603" t="str">
            <v>TJ/25-26/184-CS</v>
          </cell>
          <cell r="F603" t="str">
            <v>P5</v>
          </cell>
          <cell r="G603">
            <v>0</v>
          </cell>
          <cell r="H603">
            <v>2</v>
          </cell>
          <cell r="I603" t="str">
            <v>Yes</v>
          </cell>
          <cell r="J603" t="str">
            <v/>
          </cell>
          <cell r="K603" t="str">
            <v>No</v>
          </cell>
          <cell r="L603" t="str">
            <v/>
          </cell>
          <cell r="M603" t="str">
            <v/>
          </cell>
          <cell r="N603" t="str">
            <v>Spool</v>
          </cell>
          <cell r="O603">
            <v>0</v>
          </cell>
          <cell r="P603">
            <v>0</v>
          </cell>
          <cell r="Q603" t="str">
            <v>CS</v>
          </cell>
          <cell r="R603">
            <v>1</v>
          </cell>
          <cell r="S603">
            <v>1</v>
          </cell>
          <cell r="T603">
            <v>23.869039999999998</v>
          </cell>
          <cell r="U603">
            <v>23.869039999999998</v>
          </cell>
        </row>
        <row r="604">
          <cell r="B604" t="str">
            <v>V17551-PIND-0377-02</v>
          </cell>
          <cell r="C604" t="str">
            <v>PROD/25-26/13787</v>
          </cell>
          <cell r="D604" t="str">
            <v/>
          </cell>
          <cell r="E604" t="str">
            <v>TJ/25-26/184-P22</v>
          </cell>
          <cell r="F604" t="str">
            <v>P5</v>
          </cell>
          <cell r="G604">
            <v>0</v>
          </cell>
          <cell r="H604">
            <v>2</v>
          </cell>
          <cell r="I604" t="str">
            <v>Yes</v>
          </cell>
          <cell r="J604" t="str">
            <v/>
          </cell>
          <cell r="K604" t="str">
            <v>No</v>
          </cell>
          <cell r="L604" t="str">
            <v/>
          </cell>
          <cell r="M604" t="str">
            <v/>
          </cell>
          <cell r="N604" t="str">
            <v>Spool</v>
          </cell>
          <cell r="O604">
            <v>0</v>
          </cell>
          <cell r="P604">
            <v>0</v>
          </cell>
          <cell r="Q604" t="str">
            <v>P22</v>
          </cell>
          <cell r="R604">
            <v>1</v>
          </cell>
          <cell r="S604">
            <v>1</v>
          </cell>
          <cell r="T604">
            <v>15.075559999999999</v>
          </cell>
          <cell r="U604">
            <v>15.075559999999999</v>
          </cell>
        </row>
        <row r="605">
          <cell r="B605" t="str">
            <v>V17551-PIND-0380-02</v>
          </cell>
          <cell r="C605" t="str">
            <v>PROD/25-26/13789</v>
          </cell>
          <cell r="D605" t="str">
            <v/>
          </cell>
          <cell r="E605" t="str">
            <v>TJ/25-26/184-P91</v>
          </cell>
          <cell r="F605" t="str">
            <v>P5</v>
          </cell>
          <cell r="G605">
            <v>0</v>
          </cell>
          <cell r="H605">
            <v>2</v>
          </cell>
          <cell r="I605" t="str">
            <v>Yes</v>
          </cell>
          <cell r="J605" t="str">
            <v/>
          </cell>
          <cell r="K605" t="str">
            <v>No</v>
          </cell>
          <cell r="L605" t="str">
            <v/>
          </cell>
          <cell r="M605" t="str">
            <v/>
          </cell>
          <cell r="N605" t="str">
            <v>Spool</v>
          </cell>
          <cell r="O605">
            <v>0</v>
          </cell>
          <cell r="P605">
            <v>0</v>
          </cell>
          <cell r="Q605" t="str">
            <v>P91</v>
          </cell>
          <cell r="R605">
            <v>1</v>
          </cell>
          <cell r="S605">
            <v>1</v>
          </cell>
          <cell r="T605">
            <v>9.3691999999999993</v>
          </cell>
          <cell r="U605">
            <v>9.3691999999999993</v>
          </cell>
        </row>
        <row r="606">
          <cell r="B606" t="str">
            <v>V17551-PIND-0381-02</v>
          </cell>
          <cell r="C606" t="str">
            <v>PROD/25-26/13790</v>
          </cell>
          <cell r="D606" t="str">
            <v/>
          </cell>
          <cell r="E606" t="str">
            <v>TJ/25-26/184-P22</v>
          </cell>
          <cell r="F606" t="str">
            <v>P5</v>
          </cell>
          <cell r="G606">
            <v>0</v>
          </cell>
          <cell r="H606">
            <v>2</v>
          </cell>
          <cell r="I606" t="str">
            <v>Yes</v>
          </cell>
          <cell r="J606" t="str">
            <v/>
          </cell>
          <cell r="K606" t="str">
            <v>No</v>
          </cell>
          <cell r="L606" t="str">
            <v/>
          </cell>
          <cell r="M606" t="str">
            <v/>
          </cell>
          <cell r="N606" t="str">
            <v>Spool</v>
          </cell>
          <cell r="O606">
            <v>0</v>
          </cell>
          <cell r="P606">
            <v>0</v>
          </cell>
          <cell r="Q606" t="str">
            <v>P22</v>
          </cell>
          <cell r="R606">
            <v>1</v>
          </cell>
          <cell r="S606">
            <v>1</v>
          </cell>
          <cell r="T606">
            <v>38.588239999999999</v>
          </cell>
          <cell r="U606">
            <v>38.588239999999999</v>
          </cell>
        </row>
        <row r="607">
          <cell r="B607" t="str">
            <v>V17551-PIND-0382-02</v>
          </cell>
          <cell r="C607" t="str">
            <v>PROD/25-26/14087</v>
          </cell>
          <cell r="D607" t="str">
            <v/>
          </cell>
          <cell r="E607" t="str">
            <v>TJ/25-26/184-CS</v>
          </cell>
          <cell r="F607" t="str">
            <v>P5</v>
          </cell>
          <cell r="G607">
            <v>0</v>
          </cell>
          <cell r="H607">
            <v>2</v>
          </cell>
          <cell r="I607" t="str">
            <v>Yes</v>
          </cell>
          <cell r="J607" t="str">
            <v/>
          </cell>
          <cell r="K607" t="str">
            <v>No</v>
          </cell>
          <cell r="L607" t="str">
            <v/>
          </cell>
          <cell r="M607" t="str">
            <v/>
          </cell>
          <cell r="N607" t="str">
            <v>Spool</v>
          </cell>
          <cell r="O607">
            <v>0</v>
          </cell>
          <cell r="P607">
            <v>0</v>
          </cell>
          <cell r="Q607" t="str">
            <v>CS</v>
          </cell>
          <cell r="R607">
            <v>1</v>
          </cell>
          <cell r="S607">
            <v>1</v>
          </cell>
          <cell r="T607">
            <v>88.36788</v>
          </cell>
          <cell r="U607">
            <v>88.36788</v>
          </cell>
        </row>
        <row r="608">
          <cell r="B608" t="str">
            <v>V17551-PIND-0383-02</v>
          </cell>
          <cell r="C608" t="str">
            <v>PROD/25-26/13792</v>
          </cell>
          <cell r="D608" t="str">
            <v/>
          </cell>
          <cell r="E608" t="str">
            <v>TJ/25-26/184-CS</v>
          </cell>
          <cell r="F608" t="str">
            <v>P5</v>
          </cell>
          <cell r="G608">
            <v>0</v>
          </cell>
          <cell r="H608">
            <v>2</v>
          </cell>
          <cell r="I608" t="str">
            <v>Yes</v>
          </cell>
          <cell r="J608" t="str">
            <v/>
          </cell>
          <cell r="K608" t="str">
            <v>No</v>
          </cell>
          <cell r="L608" t="str">
            <v/>
          </cell>
          <cell r="M608" t="str">
            <v/>
          </cell>
          <cell r="N608" t="str">
            <v>Spool</v>
          </cell>
          <cell r="O608">
            <v>0</v>
          </cell>
          <cell r="P608">
            <v>0</v>
          </cell>
          <cell r="Q608" t="str">
            <v>CS</v>
          </cell>
          <cell r="R608">
            <v>1</v>
          </cell>
          <cell r="S608">
            <v>1</v>
          </cell>
          <cell r="T608">
            <v>1.9741200000000001</v>
          </cell>
          <cell r="U608">
            <v>1.9741200000000001</v>
          </cell>
        </row>
        <row r="609">
          <cell r="B609" t="str">
            <v>V17551-PIND-0384-02</v>
          </cell>
          <cell r="C609" t="str">
            <v>PROD/25-26/13793</v>
          </cell>
          <cell r="D609" t="str">
            <v/>
          </cell>
          <cell r="E609" t="str">
            <v>TJ/25-26/184-CS</v>
          </cell>
          <cell r="F609" t="str">
            <v>P5</v>
          </cell>
          <cell r="G609">
            <v>0</v>
          </cell>
          <cell r="H609">
            <v>2</v>
          </cell>
          <cell r="I609" t="str">
            <v>Yes</v>
          </cell>
          <cell r="J609" t="str">
            <v/>
          </cell>
          <cell r="K609" t="str">
            <v>No</v>
          </cell>
          <cell r="L609" t="str">
            <v/>
          </cell>
          <cell r="M609" t="str">
            <v/>
          </cell>
          <cell r="N609" t="str">
            <v>Spool</v>
          </cell>
          <cell r="O609">
            <v>0</v>
          </cell>
          <cell r="P609">
            <v>0</v>
          </cell>
          <cell r="Q609" t="str">
            <v>CS</v>
          </cell>
          <cell r="R609">
            <v>1</v>
          </cell>
          <cell r="S609">
            <v>1</v>
          </cell>
          <cell r="T609">
            <v>32.26896</v>
          </cell>
          <cell r="U609">
            <v>32.26896</v>
          </cell>
        </row>
        <row r="610">
          <cell r="B610" t="str">
            <v>V17551-PIND-0385-07</v>
          </cell>
          <cell r="C610" t="str">
            <v>PROD/25-26/13794</v>
          </cell>
          <cell r="D610" t="str">
            <v/>
          </cell>
          <cell r="E610" t="str">
            <v>TJ/25-26/184-CS</v>
          </cell>
          <cell r="F610" t="str">
            <v>P5</v>
          </cell>
          <cell r="G610">
            <v>0</v>
          </cell>
          <cell r="H610">
            <v>2</v>
          </cell>
          <cell r="I610" t="str">
            <v>Yes</v>
          </cell>
          <cell r="J610" t="str">
            <v/>
          </cell>
          <cell r="K610" t="str">
            <v>No</v>
          </cell>
          <cell r="L610" t="str">
            <v/>
          </cell>
          <cell r="M610" t="str">
            <v/>
          </cell>
          <cell r="N610" t="str">
            <v>Spool</v>
          </cell>
          <cell r="O610">
            <v>0</v>
          </cell>
          <cell r="P610">
            <v>0</v>
          </cell>
          <cell r="Q610" t="str">
            <v>CS</v>
          </cell>
          <cell r="R610">
            <v>1</v>
          </cell>
          <cell r="S610">
            <v>1</v>
          </cell>
          <cell r="T610">
            <v>55.631839999999997</v>
          </cell>
          <cell r="U610">
            <v>55.631839999999997</v>
          </cell>
        </row>
        <row r="611">
          <cell r="B611" t="str">
            <v>V17551-PIND-0389-02</v>
          </cell>
          <cell r="C611" t="str">
            <v>PROD/25-26/13633</v>
          </cell>
          <cell r="D611" t="str">
            <v/>
          </cell>
          <cell r="E611" t="str">
            <v>TJ/25-26/184-CS</v>
          </cell>
          <cell r="F611" t="str">
            <v>P5</v>
          </cell>
          <cell r="G611">
            <v>0</v>
          </cell>
          <cell r="H611">
            <v>2</v>
          </cell>
          <cell r="I611" t="str">
            <v>Yes</v>
          </cell>
          <cell r="J611" t="str">
            <v/>
          </cell>
          <cell r="K611" t="str">
            <v>No</v>
          </cell>
          <cell r="L611" t="str">
            <v/>
          </cell>
          <cell r="M611" t="str">
            <v/>
          </cell>
          <cell r="N611" t="str">
            <v>Spool</v>
          </cell>
          <cell r="O611">
            <v>0</v>
          </cell>
          <cell r="P611">
            <v>0</v>
          </cell>
          <cell r="Q611" t="str">
            <v>CS</v>
          </cell>
          <cell r="R611">
            <v>1</v>
          </cell>
          <cell r="S611">
            <v>1</v>
          </cell>
          <cell r="T611">
            <v>10.473000000000001</v>
          </cell>
          <cell r="U611">
            <v>10.473000000000001</v>
          </cell>
        </row>
        <row r="612">
          <cell r="B612" t="str">
            <v>V17551-PIND-0390-02</v>
          </cell>
          <cell r="C612" t="str">
            <v>PROD/25-26/13797</v>
          </cell>
          <cell r="D612" t="str">
            <v/>
          </cell>
          <cell r="E612" t="str">
            <v>TJ/25-26/184-CS</v>
          </cell>
          <cell r="F612" t="str">
            <v>P5</v>
          </cell>
          <cell r="G612">
            <v>0</v>
          </cell>
          <cell r="H612">
            <v>2</v>
          </cell>
          <cell r="I612" t="str">
            <v>Yes</v>
          </cell>
          <cell r="J612" t="str">
            <v/>
          </cell>
          <cell r="K612" t="str">
            <v>No</v>
          </cell>
          <cell r="L612" t="str">
            <v/>
          </cell>
          <cell r="M612" t="str">
            <v/>
          </cell>
          <cell r="N612" t="str">
            <v>Spool</v>
          </cell>
          <cell r="O612">
            <v>0</v>
          </cell>
          <cell r="P612">
            <v>0</v>
          </cell>
          <cell r="Q612" t="str">
            <v>CS</v>
          </cell>
          <cell r="R612">
            <v>1</v>
          </cell>
          <cell r="S612">
            <v>1</v>
          </cell>
          <cell r="T612">
            <v>31.038119999999999</v>
          </cell>
          <cell r="U612">
            <v>31.038119999999999</v>
          </cell>
        </row>
        <row r="613">
          <cell r="B613" t="str">
            <v>V17551-PIND-0391-02</v>
          </cell>
          <cell r="C613" t="str">
            <v>PROD/25-26/14198</v>
          </cell>
          <cell r="D613" t="str">
            <v/>
          </cell>
          <cell r="E613" t="str">
            <v>TJ/25-26/184-CS</v>
          </cell>
          <cell r="F613" t="str">
            <v>P5</v>
          </cell>
          <cell r="G613">
            <v>0</v>
          </cell>
          <cell r="H613">
            <v>2</v>
          </cell>
          <cell r="I613" t="str">
            <v>Yes</v>
          </cell>
          <cell r="J613" t="str">
            <v/>
          </cell>
          <cell r="K613" t="str">
            <v>No</v>
          </cell>
          <cell r="L613" t="str">
            <v/>
          </cell>
          <cell r="M613" t="str">
            <v/>
          </cell>
          <cell r="N613" t="str">
            <v>Spool</v>
          </cell>
          <cell r="O613">
            <v>0</v>
          </cell>
          <cell r="P613">
            <v>0</v>
          </cell>
          <cell r="Q613" t="str">
            <v>CS</v>
          </cell>
          <cell r="R613">
            <v>1</v>
          </cell>
          <cell r="S613">
            <v>1</v>
          </cell>
          <cell r="T613">
            <v>26.270800000000001</v>
          </cell>
          <cell r="U613">
            <v>26.270800000000001</v>
          </cell>
        </row>
        <row r="614">
          <cell r="B614" t="str">
            <v>V17551-PIND-0392-02</v>
          </cell>
          <cell r="C614" t="str">
            <v>PROD/25-26/14197</v>
          </cell>
          <cell r="D614" t="str">
            <v/>
          </cell>
          <cell r="E614" t="str">
            <v>TJ/25-26/184-CS</v>
          </cell>
          <cell r="F614" t="str">
            <v>P5</v>
          </cell>
          <cell r="G614">
            <v>0</v>
          </cell>
          <cell r="H614">
            <v>2</v>
          </cell>
          <cell r="I614" t="str">
            <v>Yes</v>
          </cell>
          <cell r="J614" t="str">
            <v/>
          </cell>
          <cell r="K614" t="str">
            <v>No</v>
          </cell>
          <cell r="L614" t="str">
            <v/>
          </cell>
          <cell r="M614" t="str">
            <v/>
          </cell>
          <cell r="N614" t="str">
            <v>Spool</v>
          </cell>
          <cell r="O614">
            <v>0</v>
          </cell>
          <cell r="P614">
            <v>0</v>
          </cell>
          <cell r="Q614" t="str">
            <v>CS</v>
          </cell>
          <cell r="R614">
            <v>1</v>
          </cell>
          <cell r="S614">
            <v>1</v>
          </cell>
          <cell r="T614">
            <v>26.270800000000001</v>
          </cell>
          <cell r="U614">
            <v>26.270800000000001</v>
          </cell>
        </row>
        <row r="615">
          <cell r="B615" t="str">
            <v>V17551-PIND-0395-02</v>
          </cell>
          <cell r="C615" t="str">
            <v>PROD/25-26/13802</v>
          </cell>
          <cell r="D615" t="str">
            <v/>
          </cell>
          <cell r="E615" t="str">
            <v>TJ/25-26/184-CS</v>
          </cell>
          <cell r="F615" t="str">
            <v>P5</v>
          </cell>
          <cell r="G615">
            <v>0</v>
          </cell>
          <cell r="H615">
            <v>2</v>
          </cell>
          <cell r="I615" t="str">
            <v>Yes</v>
          </cell>
          <cell r="J615" t="str">
            <v/>
          </cell>
          <cell r="K615" t="str">
            <v>No</v>
          </cell>
          <cell r="L615" t="str">
            <v/>
          </cell>
          <cell r="M615" t="str">
            <v/>
          </cell>
          <cell r="N615" t="str">
            <v>Spool</v>
          </cell>
          <cell r="O615">
            <v>0</v>
          </cell>
          <cell r="P615">
            <v>0</v>
          </cell>
          <cell r="Q615" t="str">
            <v>CS</v>
          </cell>
          <cell r="R615">
            <v>1</v>
          </cell>
          <cell r="S615">
            <v>1</v>
          </cell>
          <cell r="T615">
            <v>8.5864799999999999</v>
          </cell>
          <cell r="U615">
            <v>8.5864799999999999</v>
          </cell>
        </row>
        <row r="616">
          <cell r="B616" t="str">
            <v>V17551-PIND-0396-02</v>
          </cell>
          <cell r="C616" t="str">
            <v>PROD/25-26/13803</v>
          </cell>
          <cell r="D616" t="str">
            <v/>
          </cell>
          <cell r="E616" t="str">
            <v>TJ/25-26/184-CS</v>
          </cell>
          <cell r="F616" t="str">
            <v>P5</v>
          </cell>
          <cell r="G616">
            <v>0</v>
          </cell>
          <cell r="H616">
            <v>2</v>
          </cell>
          <cell r="I616" t="str">
            <v>Yes</v>
          </cell>
          <cell r="J616" t="str">
            <v/>
          </cell>
          <cell r="K616" t="str">
            <v>No</v>
          </cell>
          <cell r="L616" t="str">
            <v/>
          </cell>
          <cell r="M616" t="str">
            <v/>
          </cell>
          <cell r="N616" t="str">
            <v>Spool</v>
          </cell>
          <cell r="O616">
            <v>0</v>
          </cell>
          <cell r="P616">
            <v>0</v>
          </cell>
          <cell r="Q616" t="str">
            <v>CS</v>
          </cell>
          <cell r="R616">
            <v>1</v>
          </cell>
          <cell r="S616">
            <v>1</v>
          </cell>
          <cell r="T616">
            <v>9.5098800000000008</v>
          </cell>
          <cell r="U616">
            <v>9.5098800000000008</v>
          </cell>
        </row>
        <row r="617">
          <cell r="B617" t="str">
            <v>V17551-PIND-0397-02</v>
          </cell>
          <cell r="C617" t="str">
            <v>PROD/25-26/13804</v>
          </cell>
          <cell r="D617" t="str">
            <v/>
          </cell>
          <cell r="E617" t="str">
            <v>TJ/25-26/184-CS</v>
          </cell>
          <cell r="F617" t="str">
            <v>P5</v>
          </cell>
          <cell r="G617">
            <v>0</v>
          </cell>
          <cell r="H617">
            <v>2</v>
          </cell>
          <cell r="I617" t="str">
            <v>Yes</v>
          </cell>
          <cell r="J617" t="str">
            <v/>
          </cell>
          <cell r="K617" t="str">
            <v>No</v>
          </cell>
          <cell r="L617" t="str">
            <v/>
          </cell>
          <cell r="M617" t="str">
            <v/>
          </cell>
          <cell r="N617" t="str">
            <v>Spool</v>
          </cell>
          <cell r="O617">
            <v>0</v>
          </cell>
          <cell r="P617">
            <v>0</v>
          </cell>
          <cell r="Q617" t="str">
            <v>CS</v>
          </cell>
          <cell r="R617">
            <v>1</v>
          </cell>
          <cell r="S617">
            <v>1</v>
          </cell>
          <cell r="T617">
            <v>7.2485200000000001</v>
          </cell>
          <cell r="U617">
            <v>7.2485200000000001</v>
          </cell>
        </row>
        <row r="618">
          <cell r="B618" t="str">
            <v>V17551-PIND-0398-02</v>
          </cell>
          <cell r="C618" t="str">
            <v>PROD/25-26/13805</v>
          </cell>
          <cell r="D618" t="str">
            <v/>
          </cell>
          <cell r="E618" t="str">
            <v>TJ/25-26/184-CS</v>
          </cell>
          <cell r="F618" t="str">
            <v>P5</v>
          </cell>
          <cell r="G618">
            <v>0</v>
          </cell>
          <cell r="H618">
            <v>2</v>
          </cell>
          <cell r="I618" t="str">
            <v>Yes</v>
          </cell>
          <cell r="J618" t="str">
            <v/>
          </cell>
          <cell r="K618" t="str">
            <v>No</v>
          </cell>
          <cell r="L618" t="str">
            <v/>
          </cell>
          <cell r="M618" t="str">
            <v/>
          </cell>
          <cell r="N618" t="str">
            <v>Spool</v>
          </cell>
          <cell r="O618">
            <v>0</v>
          </cell>
          <cell r="P618">
            <v>0</v>
          </cell>
          <cell r="Q618" t="str">
            <v>CS</v>
          </cell>
          <cell r="R618">
            <v>1</v>
          </cell>
          <cell r="S618">
            <v>1</v>
          </cell>
          <cell r="T618">
            <v>10.27824</v>
          </cell>
          <cell r="U618">
            <v>10.27824</v>
          </cell>
        </row>
        <row r="619">
          <cell r="B619" t="str">
            <v>V17551-PIND-0399-02</v>
          </cell>
          <cell r="C619" t="str">
            <v>PROD/25-26/13806</v>
          </cell>
          <cell r="D619" t="str">
            <v/>
          </cell>
          <cell r="E619" t="str">
            <v>TJ/25-26/184-CS</v>
          </cell>
          <cell r="F619" t="str">
            <v>P5</v>
          </cell>
          <cell r="G619">
            <v>0</v>
          </cell>
          <cell r="H619">
            <v>2</v>
          </cell>
          <cell r="I619" t="str">
            <v>Yes</v>
          </cell>
          <cell r="J619" t="str">
            <v/>
          </cell>
          <cell r="K619" t="str">
            <v>No</v>
          </cell>
          <cell r="L619" t="str">
            <v/>
          </cell>
          <cell r="M619" t="str">
            <v/>
          </cell>
          <cell r="N619" t="str">
            <v>Spool</v>
          </cell>
          <cell r="O619">
            <v>0</v>
          </cell>
          <cell r="P619">
            <v>0</v>
          </cell>
          <cell r="Q619" t="str">
            <v>CS</v>
          </cell>
          <cell r="R619">
            <v>1</v>
          </cell>
          <cell r="S619">
            <v>1</v>
          </cell>
          <cell r="T619">
            <v>13.116</v>
          </cell>
          <cell r="U619">
            <v>13.116</v>
          </cell>
        </row>
        <row r="620">
          <cell r="B620" t="str">
            <v>V17551-PIND-0400-02</v>
          </cell>
          <cell r="C620" t="str">
            <v>PROD/25-26/13807</v>
          </cell>
          <cell r="D620" t="str">
            <v/>
          </cell>
          <cell r="E620" t="str">
            <v>TJ/25-26/184-CS</v>
          </cell>
          <cell r="F620" t="str">
            <v>P5</v>
          </cell>
          <cell r="G620">
            <v>0</v>
          </cell>
          <cell r="H620">
            <v>2</v>
          </cell>
          <cell r="I620" t="str">
            <v>Yes</v>
          </cell>
          <cell r="J620" t="str">
            <v/>
          </cell>
          <cell r="K620" t="str">
            <v>No</v>
          </cell>
          <cell r="L620" t="str">
            <v/>
          </cell>
          <cell r="M620" t="str">
            <v/>
          </cell>
          <cell r="N620" t="str">
            <v>Spool</v>
          </cell>
          <cell r="O620">
            <v>0</v>
          </cell>
          <cell r="P620">
            <v>0</v>
          </cell>
          <cell r="Q620" t="str">
            <v>CS</v>
          </cell>
          <cell r="R620">
            <v>1</v>
          </cell>
          <cell r="S620">
            <v>1</v>
          </cell>
          <cell r="T620">
            <v>18.397680000000001</v>
          </cell>
          <cell r="U620">
            <v>18.397680000000001</v>
          </cell>
        </row>
        <row r="621">
          <cell r="B621" t="str">
            <v>V17551-PIND-0401-02</v>
          </cell>
          <cell r="C621" t="str">
            <v>PROD/25-26/13808</v>
          </cell>
          <cell r="D621" t="str">
            <v/>
          </cell>
          <cell r="E621" t="str">
            <v>TJ/25-26/184-CS</v>
          </cell>
          <cell r="F621" t="str">
            <v>P5</v>
          </cell>
          <cell r="G621">
            <v>0</v>
          </cell>
          <cell r="H621">
            <v>2</v>
          </cell>
          <cell r="I621" t="str">
            <v>Yes</v>
          </cell>
          <cell r="J621" t="str">
            <v/>
          </cell>
          <cell r="K621" t="str">
            <v>No</v>
          </cell>
          <cell r="L621" t="str">
            <v/>
          </cell>
          <cell r="M621" t="str">
            <v/>
          </cell>
          <cell r="N621" t="str">
            <v>Spool</v>
          </cell>
          <cell r="O621">
            <v>0</v>
          </cell>
          <cell r="P621">
            <v>0</v>
          </cell>
          <cell r="Q621" t="str">
            <v>CS</v>
          </cell>
          <cell r="R621">
            <v>1</v>
          </cell>
          <cell r="S621">
            <v>1</v>
          </cell>
          <cell r="T621">
            <v>17.4192</v>
          </cell>
          <cell r="U621">
            <v>17.4192</v>
          </cell>
        </row>
        <row r="622">
          <cell r="B622" t="str">
            <v>V17551-PIND-0402-02</v>
          </cell>
          <cell r="C622" t="str">
            <v>PROD/25-26/13809</v>
          </cell>
          <cell r="D622" t="str">
            <v/>
          </cell>
          <cell r="E622" t="str">
            <v>TJ/25-26/184-CS</v>
          </cell>
          <cell r="F622" t="str">
            <v>P5</v>
          </cell>
          <cell r="G622">
            <v>0</v>
          </cell>
          <cell r="H622">
            <v>2</v>
          </cell>
          <cell r="I622" t="str">
            <v>Yes</v>
          </cell>
          <cell r="J622" t="str">
            <v/>
          </cell>
          <cell r="K622" t="str">
            <v>No</v>
          </cell>
          <cell r="L622" t="str">
            <v/>
          </cell>
          <cell r="M622" t="str">
            <v/>
          </cell>
          <cell r="N622" t="str">
            <v>Spool</v>
          </cell>
          <cell r="O622">
            <v>0</v>
          </cell>
          <cell r="P622">
            <v>0</v>
          </cell>
          <cell r="Q622" t="str">
            <v>CS</v>
          </cell>
          <cell r="R622">
            <v>1</v>
          </cell>
          <cell r="S622">
            <v>1</v>
          </cell>
          <cell r="T622">
            <v>11.42984</v>
          </cell>
          <cell r="U622">
            <v>11.42984</v>
          </cell>
        </row>
        <row r="623">
          <cell r="B623" t="str">
            <v>V17551-PIND-0403-02</v>
          </cell>
          <cell r="C623" t="str">
            <v>PROD/25-26/13810</v>
          </cell>
          <cell r="D623" t="str">
            <v/>
          </cell>
          <cell r="E623" t="str">
            <v>TJ/25-26/184-P11</v>
          </cell>
          <cell r="F623" t="str">
            <v>P5</v>
          </cell>
          <cell r="G623">
            <v>0</v>
          </cell>
          <cell r="H623">
            <v>2</v>
          </cell>
          <cell r="I623" t="str">
            <v>Yes</v>
          </cell>
          <cell r="J623" t="str">
            <v/>
          </cell>
          <cell r="K623" t="str">
            <v>No</v>
          </cell>
          <cell r="L623" t="str">
            <v/>
          </cell>
          <cell r="M623" t="str">
            <v/>
          </cell>
          <cell r="N623" t="str">
            <v>Spool</v>
          </cell>
          <cell r="O623">
            <v>0</v>
          </cell>
          <cell r="P623">
            <v>0</v>
          </cell>
          <cell r="Q623" t="str">
            <v>P11</v>
          </cell>
          <cell r="R623">
            <v>1</v>
          </cell>
          <cell r="S623">
            <v>1</v>
          </cell>
          <cell r="T623">
            <v>24.360959999999999</v>
          </cell>
          <cell r="U623">
            <v>24.360959999999999</v>
          </cell>
        </row>
        <row r="624">
          <cell r="B624" t="str">
            <v>V17551-PIND-0404-02</v>
          </cell>
          <cell r="C624" t="str">
            <v>PROD/25-26/14196</v>
          </cell>
          <cell r="D624" t="str">
            <v/>
          </cell>
          <cell r="E624" t="str">
            <v>TJ/25-26/184-CS</v>
          </cell>
          <cell r="F624" t="str">
            <v>P5</v>
          </cell>
          <cell r="G624">
            <v>0</v>
          </cell>
          <cell r="H624">
            <v>2</v>
          </cell>
          <cell r="I624" t="str">
            <v>Yes</v>
          </cell>
          <cell r="J624" t="str">
            <v/>
          </cell>
          <cell r="K624" t="str">
            <v>No</v>
          </cell>
          <cell r="L624" t="str">
            <v/>
          </cell>
          <cell r="M624" t="str">
            <v/>
          </cell>
          <cell r="N624" t="str">
            <v>Spool</v>
          </cell>
          <cell r="O624">
            <v>0</v>
          </cell>
          <cell r="P624">
            <v>0</v>
          </cell>
          <cell r="Q624" t="str">
            <v>CS</v>
          </cell>
          <cell r="R624">
            <v>1</v>
          </cell>
          <cell r="S624">
            <v>1</v>
          </cell>
          <cell r="T624">
            <v>4.6989999999999998</v>
          </cell>
          <cell r="U624">
            <v>4.6989999999999998</v>
          </cell>
        </row>
        <row r="625">
          <cell r="B625" t="str">
            <v>V17551-PIND-0405-02</v>
          </cell>
          <cell r="C625" t="str">
            <v>PROD/25-26/13812</v>
          </cell>
          <cell r="D625" t="str">
            <v/>
          </cell>
          <cell r="E625" t="str">
            <v>TJ/25-26/184-CS</v>
          </cell>
          <cell r="F625" t="str">
            <v>P5</v>
          </cell>
          <cell r="G625">
            <v>0</v>
          </cell>
          <cell r="H625">
            <v>2</v>
          </cell>
          <cell r="I625" t="str">
            <v>Yes</v>
          </cell>
          <cell r="J625" t="str">
            <v/>
          </cell>
          <cell r="K625" t="str">
            <v>No</v>
          </cell>
          <cell r="L625" t="str">
            <v/>
          </cell>
          <cell r="M625" t="str">
            <v/>
          </cell>
          <cell r="N625" t="str">
            <v>Spool</v>
          </cell>
          <cell r="O625">
            <v>0</v>
          </cell>
          <cell r="P625">
            <v>0</v>
          </cell>
          <cell r="Q625" t="str">
            <v>CS</v>
          </cell>
          <cell r="R625">
            <v>1</v>
          </cell>
          <cell r="S625">
            <v>1</v>
          </cell>
          <cell r="T625">
            <v>1.77864</v>
          </cell>
          <cell r="U625">
            <v>1.77864</v>
          </cell>
        </row>
        <row r="626">
          <cell r="B626" t="str">
            <v>V17551-PIND-0406-02</v>
          </cell>
          <cell r="C626" t="str">
            <v>PROD/25-26/13813</v>
          </cell>
          <cell r="D626" t="str">
            <v/>
          </cell>
          <cell r="E626" t="str">
            <v>TJ/25-26/184-CS</v>
          </cell>
          <cell r="F626" t="str">
            <v>P5</v>
          </cell>
          <cell r="G626">
            <v>0</v>
          </cell>
          <cell r="H626">
            <v>2</v>
          </cell>
          <cell r="I626" t="str">
            <v>Yes</v>
          </cell>
          <cell r="J626" t="str">
            <v/>
          </cell>
          <cell r="K626" t="str">
            <v>No</v>
          </cell>
          <cell r="L626" t="str">
            <v/>
          </cell>
          <cell r="M626" t="str">
            <v/>
          </cell>
          <cell r="N626" t="str">
            <v>Spool</v>
          </cell>
          <cell r="O626">
            <v>0</v>
          </cell>
          <cell r="P626">
            <v>0</v>
          </cell>
          <cell r="Q626" t="str">
            <v>CS</v>
          </cell>
          <cell r="R626">
            <v>1</v>
          </cell>
          <cell r="S626">
            <v>1</v>
          </cell>
          <cell r="T626">
            <v>16.27872</v>
          </cell>
          <cell r="U626">
            <v>16.27872</v>
          </cell>
        </row>
        <row r="627">
          <cell r="B627" t="str">
            <v>V17551-PIND-0409-02</v>
          </cell>
          <cell r="C627" t="str">
            <v>PROD/25-26/13815</v>
          </cell>
          <cell r="D627" t="str">
            <v/>
          </cell>
          <cell r="E627" t="str">
            <v>TJ/25-26/184-CS</v>
          </cell>
          <cell r="F627" t="str">
            <v>P5</v>
          </cell>
          <cell r="G627">
            <v>0</v>
          </cell>
          <cell r="H627">
            <v>2</v>
          </cell>
          <cell r="I627" t="str">
            <v>Yes</v>
          </cell>
          <cell r="J627" t="str">
            <v/>
          </cell>
          <cell r="K627" t="str">
            <v>No</v>
          </cell>
          <cell r="L627" t="str">
            <v/>
          </cell>
          <cell r="M627" t="str">
            <v/>
          </cell>
          <cell r="N627" t="str">
            <v>Spool</v>
          </cell>
          <cell r="O627">
            <v>0</v>
          </cell>
          <cell r="P627">
            <v>0</v>
          </cell>
          <cell r="Q627" t="str">
            <v>CS</v>
          </cell>
          <cell r="R627">
            <v>1</v>
          </cell>
          <cell r="S627">
            <v>1</v>
          </cell>
          <cell r="T627">
            <v>4.6168800000000001</v>
          </cell>
          <cell r="U627">
            <v>4.6168800000000001</v>
          </cell>
        </row>
        <row r="628">
          <cell r="B628" t="str">
            <v>V17551-PIND-0410-02</v>
          </cell>
          <cell r="C628" t="str">
            <v>PROD/25-26/13816</v>
          </cell>
          <cell r="D628" t="str">
            <v/>
          </cell>
          <cell r="E628" t="str">
            <v>TJ/25-26/184-CS</v>
          </cell>
          <cell r="F628" t="str">
            <v>P5</v>
          </cell>
          <cell r="G628">
            <v>0</v>
          </cell>
          <cell r="H628">
            <v>2</v>
          </cell>
          <cell r="I628" t="str">
            <v>Yes</v>
          </cell>
          <cell r="J628" t="str">
            <v/>
          </cell>
          <cell r="K628" t="str">
            <v>No</v>
          </cell>
          <cell r="L628" t="str">
            <v/>
          </cell>
          <cell r="M628" t="str">
            <v/>
          </cell>
          <cell r="N628" t="str">
            <v>Spool</v>
          </cell>
          <cell r="O628">
            <v>0</v>
          </cell>
          <cell r="P628">
            <v>0</v>
          </cell>
          <cell r="Q628" t="str">
            <v>CS</v>
          </cell>
          <cell r="R628">
            <v>1</v>
          </cell>
          <cell r="S628">
            <v>1</v>
          </cell>
          <cell r="T628">
            <v>4.6006799999999997</v>
          </cell>
          <cell r="U628">
            <v>4.6006799999999997</v>
          </cell>
        </row>
        <row r="629">
          <cell r="B629" t="str">
            <v>V17551-PIND-0411-02</v>
          </cell>
          <cell r="C629" t="str">
            <v>PROD/25-26/13817</v>
          </cell>
          <cell r="D629" t="str">
            <v/>
          </cell>
          <cell r="E629" t="str">
            <v>TJ/25-26/184-CS</v>
          </cell>
          <cell r="F629" t="str">
            <v>P5</v>
          </cell>
          <cell r="G629">
            <v>0</v>
          </cell>
          <cell r="H629">
            <v>2</v>
          </cell>
          <cell r="I629" t="str">
            <v>Yes</v>
          </cell>
          <cell r="J629" t="str">
            <v/>
          </cell>
          <cell r="K629" t="str">
            <v>No</v>
          </cell>
          <cell r="L629" t="str">
            <v/>
          </cell>
          <cell r="M629" t="str">
            <v/>
          </cell>
          <cell r="N629" t="str">
            <v>Spool</v>
          </cell>
          <cell r="O629">
            <v>0</v>
          </cell>
          <cell r="P629">
            <v>0</v>
          </cell>
          <cell r="Q629" t="str">
            <v>CS</v>
          </cell>
          <cell r="R629">
            <v>1</v>
          </cell>
          <cell r="S629">
            <v>1</v>
          </cell>
          <cell r="T629">
            <v>4.5132000000000003</v>
          </cell>
          <cell r="U629">
            <v>4.5132000000000003</v>
          </cell>
        </row>
        <row r="630">
          <cell r="B630" t="str">
            <v>V17551-PIND-0412-02</v>
          </cell>
          <cell r="C630" t="str">
            <v>PROD/25-26/13818</v>
          </cell>
          <cell r="D630" t="str">
            <v/>
          </cell>
          <cell r="E630" t="str">
            <v>TJ/25-26/184-CS</v>
          </cell>
          <cell r="F630" t="str">
            <v>P5</v>
          </cell>
          <cell r="G630">
            <v>0</v>
          </cell>
          <cell r="H630">
            <v>2</v>
          </cell>
          <cell r="I630" t="str">
            <v>Yes</v>
          </cell>
          <cell r="J630" t="str">
            <v/>
          </cell>
          <cell r="K630" t="str">
            <v>No</v>
          </cell>
          <cell r="L630" t="str">
            <v/>
          </cell>
          <cell r="M630" t="str">
            <v/>
          </cell>
          <cell r="N630" t="str">
            <v>Spool</v>
          </cell>
          <cell r="O630">
            <v>0</v>
          </cell>
          <cell r="P630">
            <v>0</v>
          </cell>
          <cell r="Q630" t="str">
            <v>CS</v>
          </cell>
          <cell r="R630">
            <v>1</v>
          </cell>
          <cell r="S630">
            <v>1</v>
          </cell>
          <cell r="T630">
            <v>4.5099600000000004</v>
          </cell>
          <cell r="U630">
            <v>4.5099600000000004</v>
          </cell>
        </row>
        <row r="631">
          <cell r="B631" t="str">
            <v>V17551-PIND-0413-02</v>
          </cell>
          <cell r="C631" t="str">
            <v>PROD/25-26/13639</v>
          </cell>
          <cell r="D631" t="str">
            <v/>
          </cell>
          <cell r="E631" t="str">
            <v>TJ/25-26/184-CS</v>
          </cell>
          <cell r="F631" t="str">
            <v>P5</v>
          </cell>
          <cell r="G631">
            <v>0</v>
          </cell>
          <cell r="H631">
            <v>2</v>
          </cell>
          <cell r="I631" t="str">
            <v>Yes</v>
          </cell>
          <cell r="J631" t="str">
            <v/>
          </cell>
          <cell r="K631" t="str">
            <v>No</v>
          </cell>
          <cell r="L631" t="str">
            <v/>
          </cell>
          <cell r="M631" t="str">
            <v/>
          </cell>
          <cell r="N631" t="str">
            <v>Spool</v>
          </cell>
          <cell r="O631">
            <v>0</v>
          </cell>
          <cell r="P631">
            <v>0</v>
          </cell>
          <cell r="Q631" t="str">
            <v>CS</v>
          </cell>
          <cell r="R631">
            <v>1</v>
          </cell>
          <cell r="S631">
            <v>1</v>
          </cell>
          <cell r="T631">
            <v>4.5353199999999996</v>
          </cell>
          <cell r="U631">
            <v>4.5353199999999996</v>
          </cell>
        </row>
        <row r="632">
          <cell r="B632" t="str">
            <v>V17551-PIND-0417-02</v>
          </cell>
          <cell r="C632" t="str">
            <v>PROD/25-26/14095</v>
          </cell>
          <cell r="D632" t="str">
            <v/>
          </cell>
          <cell r="E632" t="str">
            <v>TJ/25-26/184-CS</v>
          </cell>
          <cell r="F632" t="str">
            <v>P5</v>
          </cell>
          <cell r="G632">
            <v>0</v>
          </cell>
          <cell r="H632">
            <v>2</v>
          </cell>
          <cell r="I632" t="str">
            <v>Yes</v>
          </cell>
          <cell r="J632" t="str">
            <v/>
          </cell>
          <cell r="K632" t="str">
            <v>No</v>
          </cell>
          <cell r="L632" t="str">
            <v/>
          </cell>
          <cell r="M632" t="str">
            <v/>
          </cell>
          <cell r="N632" t="str">
            <v>Spool</v>
          </cell>
          <cell r="O632">
            <v>0</v>
          </cell>
          <cell r="P632">
            <v>0</v>
          </cell>
          <cell r="Q632" t="str">
            <v>CS</v>
          </cell>
          <cell r="R632">
            <v>1</v>
          </cell>
          <cell r="S632">
            <v>1</v>
          </cell>
          <cell r="T632">
            <v>61.122039999999998</v>
          </cell>
          <cell r="U632">
            <v>61.122039999999998</v>
          </cell>
        </row>
        <row r="633">
          <cell r="B633" t="str">
            <v>V17551-PIND-0418-02</v>
          </cell>
          <cell r="C633" t="str">
            <v>PROD/25-26/13822</v>
          </cell>
          <cell r="D633" t="str">
            <v/>
          </cell>
          <cell r="E633" t="str">
            <v>TJ/25-26/184-CS</v>
          </cell>
          <cell r="F633" t="str">
            <v>P5</v>
          </cell>
          <cell r="G633">
            <v>0</v>
          </cell>
          <cell r="H633">
            <v>2</v>
          </cell>
          <cell r="I633" t="str">
            <v>Yes</v>
          </cell>
          <cell r="J633" t="str">
            <v/>
          </cell>
          <cell r="K633" t="str">
            <v>No</v>
          </cell>
          <cell r="L633" t="str">
            <v/>
          </cell>
          <cell r="M633" t="str">
            <v/>
          </cell>
          <cell r="N633" t="str">
            <v>Spool</v>
          </cell>
          <cell r="O633">
            <v>0</v>
          </cell>
          <cell r="P633">
            <v>0</v>
          </cell>
          <cell r="Q633" t="str">
            <v>CS</v>
          </cell>
          <cell r="R633">
            <v>1</v>
          </cell>
          <cell r="S633">
            <v>1</v>
          </cell>
          <cell r="T633">
            <v>15.24564</v>
          </cell>
          <cell r="U633">
            <v>15.24564</v>
          </cell>
        </row>
        <row r="634">
          <cell r="B634" t="str">
            <v>V17551-PIND-0422-02</v>
          </cell>
          <cell r="C634" t="str">
            <v>PROD/25-26/13825</v>
          </cell>
          <cell r="D634" t="str">
            <v/>
          </cell>
          <cell r="E634" t="str">
            <v>TJ/25-26/184-CS</v>
          </cell>
          <cell r="F634" t="str">
            <v>P5</v>
          </cell>
          <cell r="G634">
            <v>0</v>
          </cell>
          <cell r="H634">
            <v>2</v>
          </cell>
          <cell r="I634" t="str">
            <v>Yes</v>
          </cell>
          <cell r="J634" t="str">
            <v/>
          </cell>
          <cell r="K634" t="str">
            <v>No</v>
          </cell>
          <cell r="L634" t="str">
            <v/>
          </cell>
          <cell r="M634" t="str">
            <v/>
          </cell>
          <cell r="N634" t="str">
            <v>Spool</v>
          </cell>
          <cell r="O634">
            <v>0</v>
          </cell>
          <cell r="P634">
            <v>0</v>
          </cell>
          <cell r="Q634" t="str">
            <v>CS</v>
          </cell>
          <cell r="R634">
            <v>1</v>
          </cell>
          <cell r="S634">
            <v>1</v>
          </cell>
          <cell r="T634">
            <v>12.254160000000001</v>
          </cell>
          <cell r="U634">
            <v>12.254160000000001</v>
          </cell>
        </row>
        <row r="635">
          <cell r="B635" t="str">
            <v>V17551-PIND-0423-02</v>
          </cell>
          <cell r="C635" t="str">
            <v>PROD/25-26/13826</v>
          </cell>
          <cell r="D635" t="str">
            <v/>
          </cell>
          <cell r="E635" t="str">
            <v>TJ/25-26/184-CS</v>
          </cell>
          <cell r="F635" t="str">
            <v>P5</v>
          </cell>
          <cell r="G635">
            <v>0</v>
          </cell>
          <cell r="H635">
            <v>2</v>
          </cell>
          <cell r="I635" t="str">
            <v>Yes</v>
          </cell>
          <cell r="J635" t="str">
            <v/>
          </cell>
          <cell r="K635" t="str">
            <v>No</v>
          </cell>
          <cell r="L635" t="str">
            <v/>
          </cell>
          <cell r="M635" t="str">
            <v/>
          </cell>
          <cell r="N635" t="str">
            <v>Spool</v>
          </cell>
          <cell r="O635">
            <v>0</v>
          </cell>
          <cell r="P635">
            <v>0</v>
          </cell>
          <cell r="Q635" t="str">
            <v>CS</v>
          </cell>
          <cell r="R635">
            <v>1</v>
          </cell>
          <cell r="S635">
            <v>1</v>
          </cell>
          <cell r="T635">
            <v>3.3841999999999999</v>
          </cell>
          <cell r="U635">
            <v>3.3841999999999999</v>
          </cell>
        </row>
        <row r="636">
          <cell r="B636" t="str">
            <v>V17551-PIND-0424-02</v>
          </cell>
          <cell r="C636" t="str">
            <v>PROD/25-26/13827</v>
          </cell>
          <cell r="D636" t="str">
            <v/>
          </cell>
          <cell r="E636" t="str">
            <v>TJ/25-26/184-CS</v>
          </cell>
          <cell r="F636" t="str">
            <v>P5</v>
          </cell>
          <cell r="G636">
            <v>0</v>
          </cell>
          <cell r="H636">
            <v>2</v>
          </cell>
          <cell r="I636" t="str">
            <v>Yes</v>
          </cell>
          <cell r="J636" t="str">
            <v/>
          </cell>
          <cell r="K636" t="str">
            <v>No</v>
          </cell>
          <cell r="L636" t="str">
            <v/>
          </cell>
          <cell r="M636" t="str">
            <v/>
          </cell>
          <cell r="N636" t="str">
            <v>Spool</v>
          </cell>
          <cell r="O636">
            <v>0</v>
          </cell>
          <cell r="P636">
            <v>0</v>
          </cell>
          <cell r="Q636" t="str">
            <v>CS</v>
          </cell>
          <cell r="R636">
            <v>1</v>
          </cell>
          <cell r="S636">
            <v>1</v>
          </cell>
          <cell r="T636">
            <v>9.9890000000000008</v>
          </cell>
          <cell r="U636">
            <v>9.9890000000000008</v>
          </cell>
        </row>
        <row r="637">
          <cell r="B637" t="str">
            <v>V17551-PIND-0426-02</v>
          </cell>
          <cell r="C637" t="str">
            <v>PROD/25-26/13642</v>
          </cell>
          <cell r="D637" t="str">
            <v/>
          </cell>
          <cell r="E637" t="str">
            <v>TJ/25-26/184-CS</v>
          </cell>
          <cell r="F637" t="str">
            <v>P5</v>
          </cell>
          <cell r="G637">
            <v>0</v>
          </cell>
          <cell r="H637">
            <v>2</v>
          </cell>
          <cell r="I637" t="str">
            <v>Yes</v>
          </cell>
          <cell r="J637" t="str">
            <v/>
          </cell>
          <cell r="K637" t="str">
            <v>No</v>
          </cell>
          <cell r="L637" t="str">
            <v/>
          </cell>
          <cell r="M637" t="str">
            <v/>
          </cell>
          <cell r="N637" t="str">
            <v>Spool</v>
          </cell>
          <cell r="O637">
            <v>0</v>
          </cell>
          <cell r="P637">
            <v>0</v>
          </cell>
          <cell r="Q637" t="str">
            <v>CS</v>
          </cell>
          <cell r="R637">
            <v>1</v>
          </cell>
          <cell r="S637">
            <v>1</v>
          </cell>
          <cell r="T637">
            <v>6.0107999999999997</v>
          </cell>
          <cell r="U637">
            <v>6.0107999999999997</v>
          </cell>
        </row>
        <row r="638">
          <cell r="B638" t="str">
            <v>V17551-PIND-0427-02</v>
          </cell>
          <cell r="C638" t="str">
            <v>PROD/25-26/13830</v>
          </cell>
          <cell r="D638" t="str">
            <v/>
          </cell>
          <cell r="E638" t="str">
            <v>TJ/25-26/184-CS</v>
          </cell>
          <cell r="F638" t="str">
            <v>P5</v>
          </cell>
          <cell r="G638">
            <v>0</v>
          </cell>
          <cell r="H638">
            <v>2</v>
          </cell>
          <cell r="I638" t="str">
            <v>Yes</v>
          </cell>
          <cell r="J638" t="str">
            <v/>
          </cell>
          <cell r="K638" t="str">
            <v>No</v>
          </cell>
          <cell r="L638" t="str">
            <v/>
          </cell>
          <cell r="M638" t="str">
            <v/>
          </cell>
          <cell r="N638" t="str">
            <v>Spool</v>
          </cell>
          <cell r="O638">
            <v>0</v>
          </cell>
          <cell r="P638">
            <v>0</v>
          </cell>
          <cell r="Q638" t="str">
            <v>CS</v>
          </cell>
          <cell r="R638">
            <v>1</v>
          </cell>
          <cell r="S638">
            <v>1</v>
          </cell>
          <cell r="T638">
            <v>54.144080000000002</v>
          </cell>
          <cell r="U638">
            <v>54.144080000000002</v>
          </cell>
        </row>
        <row r="639">
          <cell r="B639" t="str">
            <v>V17551-PIND-0428-02</v>
          </cell>
          <cell r="C639" t="str">
            <v>PROD/25-26/13831</v>
          </cell>
          <cell r="D639" t="str">
            <v/>
          </cell>
          <cell r="E639" t="str">
            <v>TJ/25-26/184-CS</v>
          </cell>
          <cell r="F639" t="str">
            <v>P5</v>
          </cell>
          <cell r="G639">
            <v>0</v>
          </cell>
          <cell r="H639">
            <v>2</v>
          </cell>
          <cell r="I639" t="str">
            <v>Yes</v>
          </cell>
          <cell r="J639" t="str">
            <v/>
          </cell>
          <cell r="K639" t="str">
            <v>No</v>
          </cell>
          <cell r="L639" t="str">
            <v/>
          </cell>
          <cell r="M639" t="str">
            <v/>
          </cell>
          <cell r="N639" t="str">
            <v>Spool</v>
          </cell>
          <cell r="O639">
            <v>0</v>
          </cell>
          <cell r="P639">
            <v>0</v>
          </cell>
          <cell r="Q639" t="str">
            <v>CS</v>
          </cell>
          <cell r="R639">
            <v>1</v>
          </cell>
          <cell r="S639">
            <v>1</v>
          </cell>
          <cell r="T639">
            <v>31.4588</v>
          </cell>
          <cell r="U639">
            <v>31.4588</v>
          </cell>
        </row>
        <row r="640">
          <cell r="B640" t="str">
            <v>V17551-PIND-0429-02</v>
          </cell>
          <cell r="C640" t="str">
            <v>PROD/25-26/13832</v>
          </cell>
          <cell r="D640" t="str">
            <v/>
          </cell>
          <cell r="E640" t="str">
            <v>TJ/25-26/184-CS</v>
          </cell>
          <cell r="F640" t="str">
            <v>P5</v>
          </cell>
          <cell r="G640">
            <v>0</v>
          </cell>
          <cell r="H640">
            <v>2</v>
          </cell>
          <cell r="I640" t="str">
            <v>Yes</v>
          </cell>
          <cell r="J640" t="str">
            <v/>
          </cell>
          <cell r="K640" t="str">
            <v>No</v>
          </cell>
          <cell r="L640" t="str">
            <v/>
          </cell>
          <cell r="M640" t="str">
            <v/>
          </cell>
          <cell r="N640" t="str">
            <v>Spool</v>
          </cell>
          <cell r="O640">
            <v>0</v>
          </cell>
          <cell r="P640">
            <v>0</v>
          </cell>
          <cell r="Q640" t="str">
            <v>CS</v>
          </cell>
          <cell r="R640">
            <v>1</v>
          </cell>
          <cell r="S640">
            <v>1</v>
          </cell>
          <cell r="T640">
            <v>55.372959999999999</v>
          </cell>
          <cell r="U640">
            <v>55.372959999999999</v>
          </cell>
        </row>
        <row r="641">
          <cell r="B641" t="str">
            <v>V17551-PIND-0431-02</v>
          </cell>
          <cell r="C641" t="str">
            <v>PROD/25-26/14097</v>
          </cell>
          <cell r="D641" t="str">
            <v/>
          </cell>
          <cell r="E641" t="str">
            <v>TJ/25-26/184-CS</v>
          </cell>
          <cell r="F641" t="str">
            <v>P5</v>
          </cell>
          <cell r="G641">
            <v>0</v>
          </cell>
          <cell r="H641">
            <v>2</v>
          </cell>
          <cell r="I641" t="str">
            <v>Yes</v>
          </cell>
          <cell r="J641" t="str">
            <v/>
          </cell>
          <cell r="K641" t="str">
            <v>No</v>
          </cell>
          <cell r="L641" t="str">
            <v/>
          </cell>
          <cell r="M641" t="str">
            <v/>
          </cell>
          <cell r="N641" t="str">
            <v>Spool</v>
          </cell>
          <cell r="O641">
            <v>0</v>
          </cell>
          <cell r="P641">
            <v>0</v>
          </cell>
          <cell r="Q641" t="str">
            <v>CS</v>
          </cell>
          <cell r="R641">
            <v>1</v>
          </cell>
          <cell r="S641">
            <v>1</v>
          </cell>
          <cell r="T641">
            <v>93.760959999999997</v>
          </cell>
          <cell r="U641">
            <v>93.760959999999997</v>
          </cell>
        </row>
        <row r="642">
          <cell r="B642" t="str">
            <v>V17551-PIND-0432-01</v>
          </cell>
          <cell r="C642" t="str">
            <v>PROD/25-26/13643</v>
          </cell>
          <cell r="D642" t="str">
            <v/>
          </cell>
          <cell r="E642" t="str">
            <v>TJ/25-26/184-CS</v>
          </cell>
          <cell r="F642" t="str">
            <v>P5</v>
          </cell>
          <cell r="G642">
            <v>0</v>
          </cell>
          <cell r="H642">
            <v>2</v>
          </cell>
          <cell r="I642" t="str">
            <v>Yes</v>
          </cell>
          <cell r="J642" t="str">
            <v/>
          </cell>
          <cell r="K642" t="str">
            <v>Yes</v>
          </cell>
          <cell r="L642" t="str">
            <v/>
          </cell>
          <cell r="M642" t="str">
            <v/>
          </cell>
          <cell r="N642" t="str">
            <v>Spool</v>
          </cell>
          <cell r="O642">
            <v>0</v>
          </cell>
          <cell r="P642">
            <v>0</v>
          </cell>
          <cell r="Q642" t="str">
            <v>CS</v>
          </cell>
          <cell r="R642">
            <v>1</v>
          </cell>
          <cell r="S642">
            <v>1</v>
          </cell>
          <cell r="T642">
            <v>8.5867199999999997</v>
          </cell>
          <cell r="U642">
            <v>8.5867199999999997</v>
          </cell>
        </row>
        <row r="643">
          <cell r="B643" t="str">
            <v>V17551-PIND-0433-02</v>
          </cell>
          <cell r="C643" t="str">
            <v>PROD/25-26/14098</v>
          </cell>
          <cell r="D643" t="str">
            <v/>
          </cell>
          <cell r="E643" t="str">
            <v>TJ/25-26/184-CS</v>
          </cell>
          <cell r="F643" t="str">
            <v>P5</v>
          </cell>
          <cell r="G643">
            <v>0</v>
          </cell>
          <cell r="H643">
            <v>2</v>
          </cell>
          <cell r="I643" t="str">
            <v>Yes</v>
          </cell>
          <cell r="J643" t="str">
            <v/>
          </cell>
          <cell r="K643" t="str">
            <v>No</v>
          </cell>
          <cell r="L643" t="str">
            <v/>
          </cell>
          <cell r="M643" t="str">
            <v/>
          </cell>
          <cell r="N643" t="str">
            <v>Spool</v>
          </cell>
          <cell r="O643">
            <v>0</v>
          </cell>
          <cell r="P643">
            <v>0</v>
          </cell>
          <cell r="Q643" t="str">
            <v>CS</v>
          </cell>
          <cell r="R643">
            <v>1</v>
          </cell>
          <cell r="S643">
            <v>1</v>
          </cell>
          <cell r="T643">
            <v>96.916359999999997</v>
          </cell>
          <cell r="U643">
            <v>96.916359999999997</v>
          </cell>
        </row>
        <row r="644">
          <cell r="B644" t="str">
            <v>V17551-PIND-0434-02</v>
          </cell>
          <cell r="C644" t="str">
            <v>PROD/25-26/13837</v>
          </cell>
          <cell r="D644" t="str">
            <v/>
          </cell>
          <cell r="E644" t="str">
            <v>TJ/25-26/184-P11</v>
          </cell>
          <cell r="F644" t="str">
            <v>P5</v>
          </cell>
          <cell r="G644">
            <v>0</v>
          </cell>
          <cell r="H644">
            <v>2</v>
          </cell>
          <cell r="I644" t="str">
            <v>Yes</v>
          </cell>
          <cell r="J644" t="str">
            <v/>
          </cell>
          <cell r="K644" t="str">
            <v>No</v>
          </cell>
          <cell r="L644" t="str">
            <v/>
          </cell>
          <cell r="M644" t="str">
            <v/>
          </cell>
          <cell r="N644" t="str">
            <v>Spool</v>
          </cell>
          <cell r="O644">
            <v>0</v>
          </cell>
          <cell r="P644">
            <v>0</v>
          </cell>
          <cell r="Q644" t="str">
            <v>P11</v>
          </cell>
          <cell r="R644">
            <v>1</v>
          </cell>
          <cell r="S644">
            <v>1</v>
          </cell>
          <cell r="T644">
            <v>10.08352</v>
          </cell>
          <cell r="U644">
            <v>10.08352</v>
          </cell>
        </row>
        <row r="645">
          <cell r="B645" t="str">
            <v>V17551-PIND-0435-02</v>
          </cell>
          <cell r="C645" t="str">
            <v>PROD/25-26/13838</v>
          </cell>
          <cell r="D645" t="str">
            <v/>
          </cell>
          <cell r="E645" t="str">
            <v>TJ/25-26/184-CS</v>
          </cell>
          <cell r="F645" t="str">
            <v>P5</v>
          </cell>
          <cell r="G645">
            <v>0</v>
          </cell>
          <cell r="H645">
            <v>2</v>
          </cell>
          <cell r="I645" t="str">
            <v>Yes</v>
          </cell>
          <cell r="J645" t="str">
            <v/>
          </cell>
          <cell r="K645" t="str">
            <v>No</v>
          </cell>
          <cell r="L645" t="str">
            <v/>
          </cell>
          <cell r="M645" t="str">
            <v/>
          </cell>
          <cell r="N645" t="str">
            <v>Spool</v>
          </cell>
          <cell r="O645">
            <v>0</v>
          </cell>
          <cell r="P645">
            <v>0</v>
          </cell>
          <cell r="Q645" t="str">
            <v>CS</v>
          </cell>
          <cell r="R645">
            <v>1</v>
          </cell>
          <cell r="S645">
            <v>1</v>
          </cell>
          <cell r="T645">
            <v>8.8352400000000006</v>
          </cell>
          <cell r="U645">
            <v>8.8352400000000006</v>
          </cell>
        </row>
        <row r="646">
          <cell r="B646" t="str">
            <v>V17551-PIND-0437-02</v>
          </cell>
          <cell r="C646" t="str">
            <v>PROD/25-26/13840</v>
          </cell>
          <cell r="D646" t="str">
            <v/>
          </cell>
          <cell r="E646" t="str">
            <v>TJ/25-26/184-CS</v>
          </cell>
          <cell r="F646" t="str">
            <v>P5</v>
          </cell>
          <cell r="G646">
            <v>0</v>
          </cell>
          <cell r="H646">
            <v>2</v>
          </cell>
          <cell r="I646" t="str">
            <v>Yes</v>
          </cell>
          <cell r="J646" t="str">
            <v/>
          </cell>
          <cell r="K646" t="str">
            <v>No</v>
          </cell>
          <cell r="L646" t="str">
            <v/>
          </cell>
          <cell r="M646" t="str">
            <v/>
          </cell>
          <cell r="N646" t="str">
            <v>Spool</v>
          </cell>
          <cell r="O646">
            <v>0</v>
          </cell>
          <cell r="P646">
            <v>0</v>
          </cell>
          <cell r="Q646" t="str">
            <v>CS</v>
          </cell>
          <cell r="R646">
            <v>1</v>
          </cell>
          <cell r="S646">
            <v>1</v>
          </cell>
          <cell r="T646">
            <v>0.49243999999999999</v>
          </cell>
          <cell r="U646">
            <v>0.49243999999999999</v>
          </cell>
        </row>
        <row r="647">
          <cell r="B647" t="str">
            <v>V17551-PIND-0438-02</v>
          </cell>
          <cell r="C647" t="str">
            <v>PROD/25-26/13841</v>
          </cell>
          <cell r="D647" t="str">
            <v/>
          </cell>
          <cell r="E647" t="str">
            <v>TJ/25-26/184-CS</v>
          </cell>
          <cell r="F647" t="str">
            <v>P5</v>
          </cell>
          <cell r="G647">
            <v>0</v>
          </cell>
          <cell r="H647">
            <v>2</v>
          </cell>
          <cell r="I647" t="str">
            <v>Yes</v>
          </cell>
          <cell r="J647" t="str">
            <v/>
          </cell>
          <cell r="K647" t="str">
            <v>No</v>
          </cell>
          <cell r="L647" t="str">
            <v/>
          </cell>
          <cell r="M647" t="str">
            <v/>
          </cell>
          <cell r="N647" t="str">
            <v>Spool</v>
          </cell>
          <cell r="O647">
            <v>0</v>
          </cell>
          <cell r="P647">
            <v>0</v>
          </cell>
          <cell r="Q647" t="str">
            <v>CS</v>
          </cell>
          <cell r="R647">
            <v>1</v>
          </cell>
          <cell r="S647">
            <v>1</v>
          </cell>
          <cell r="T647">
            <v>1.20848</v>
          </cell>
          <cell r="U647">
            <v>1.20848</v>
          </cell>
        </row>
        <row r="648">
          <cell r="B648" t="str">
            <v>V17551-PIND-0439-02</v>
          </cell>
          <cell r="C648" t="str">
            <v>PROD/25-26/13644</v>
          </cell>
          <cell r="D648" t="str">
            <v/>
          </cell>
          <cell r="E648" t="str">
            <v>TJ/25-26/184-CS</v>
          </cell>
          <cell r="F648" t="str">
            <v>P5</v>
          </cell>
          <cell r="G648">
            <v>0</v>
          </cell>
          <cell r="H648">
            <v>2</v>
          </cell>
          <cell r="I648" t="str">
            <v>Yes</v>
          </cell>
          <cell r="J648" t="str">
            <v/>
          </cell>
          <cell r="K648" t="str">
            <v>No</v>
          </cell>
          <cell r="L648" t="str">
            <v/>
          </cell>
          <cell r="M648" t="str">
            <v/>
          </cell>
          <cell r="N648" t="str">
            <v>Spool</v>
          </cell>
          <cell r="O648">
            <v>0</v>
          </cell>
          <cell r="P648">
            <v>0</v>
          </cell>
          <cell r="Q648" t="str">
            <v>CS</v>
          </cell>
          <cell r="R648">
            <v>1</v>
          </cell>
          <cell r="S648">
            <v>1</v>
          </cell>
          <cell r="T648">
            <v>112.06623999999999</v>
          </cell>
          <cell r="U648">
            <v>112.06623999999999</v>
          </cell>
        </row>
        <row r="649">
          <cell r="B649" t="str">
            <v>V17551-PIND-0440-02</v>
          </cell>
          <cell r="C649" t="str">
            <v>PROD/25-26/13843</v>
          </cell>
          <cell r="D649" t="str">
            <v/>
          </cell>
          <cell r="E649" t="str">
            <v>TJ/25-26/184-CS</v>
          </cell>
          <cell r="F649" t="str">
            <v>P5</v>
          </cell>
          <cell r="G649">
            <v>0</v>
          </cell>
          <cell r="H649">
            <v>2</v>
          </cell>
          <cell r="I649" t="str">
            <v>Yes</v>
          </cell>
          <cell r="J649" t="str">
            <v/>
          </cell>
          <cell r="K649" t="str">
            <v>No</v>
          </cell>
          <cell r="L649" t="str">
            <v/>
          </cell>
          <cell r="M649" t="str">
            <v/>
          </cell>
          <cell r="N649" t="str">
            <v>Spool</v>
          </cell>
          <cell r="O649">
            <v>0</v>
          </cell>
          <cell r="P649">
            <v>0</v>
          </cell>
          <cell r="Q649" t="str">
            <v>CS</v>
          </cell>
          <cell r="R649">
            <v>1</v>
          </cell>
          <cell r="S649">
            <v>1</v>
          </cell>
          <cell r="T649">
            <v>24.791160000000001</v>
          </cell>
          <cell r="U649">
            <v>24.791160000000001</v>
          </cell>
        </row>
        <row r="650">
          <cell r="B650" t="str">
            <v>V17551-PIND-0441-02</v>
          </cell>
          <cell r="C650" t="str">
            <v>PROD/25-26/14099</v>
          </cell>
          <cell r="D650" t="str">
            <v/>
          </cell>
          <cell r="E650" t="str">
            <v>TJ/25-26/184-CS</v>
          </cell>
          <cell r="F650" t="str">
            <v>P5</v>
          </cell>
          <cell r="G650">
            <v>0</v>
          </cell>
          <cell r="H650">
            <v>2</v>
          </cell>
          <cell r="I650" t="str">
            <v>Yes</v>
          </cell>
          <cell r="J650" t="str">
            <v/>
          </cell>
          <cell r="K650" t="str">
            <v>No</v>
          </cell>
          <cell r="L650" t="str">
            <v/>
          </cell>
          <cell r="M650" t="str">
            <v/>
          </cell>
          <cell r="N650" t="str">
            <v>Spool</v>
          </cell>
          <cell r="O650">
            <v>0</v>
          </cell>
          <cell r="P650">
            <v>0</v>
          </cell>
          <cell r="Q650" t="str">
            <v>CS</v>
          </cell>
          <cell r="R650">
            <v>1</v>
          </cell>
          <cell r="S650">
            <v>1</v>
          </cell>
          <cell r="T650">
            <v>8.9857200000000006</v>
          </cell>
          <cell r="U650">
            <v>8.9857200000000006</v>
          </cell>
        </row>
        <row r="651">
          <cell r="B651" t="str">
            <v>V17551-PIND-0442-02</v>
          </cell>
          <cell r="C651" t="str">
            <v>PROD/25-26/13845</v>
          </cell>
          <cell r="D651" t="str">
            <v/>
          </cell>
          <cell r="E651" t="str">
            <v>TJ/25-26/184-CS</v>
          </cell>
          <cell r="F651" t="str">
            <v>P5</v>
          </cell>
          <cell r="G651">
            <v>0</v>
          </cell>
          <cell r="H651">
            <v>2</v>
          </cell>
          <cell r="I651" t="str">
            <v>Yes</v>
          </cell>
          <cell r="J651" t="str">
            <v/>
          </cell>
          <cell r="K651" t="str">
            <v>No</v>
          </cell>
          <cell r="L651" t="str">
            <v/>
          </cell>
          <cell r="M651" t="str">
            <v/>
          </cell>
          <cell r="N651" t="str">
            <v>Spool</v>
          </cell>
          <cell r="O651">
            <v>0</v>
          </cell>
          <cell r="P651">
            <v>0</v>
          </cell>
          <cell r="Q651" t="str">
            <v>CS</v>
          </cell>
          <cell r="R651">
            <v>1</v>
          </cell>
          <cell r="S651">
            <v>1</v>
          </cell>
          <cell r="T651">
            <v>18.116759999999999</v>
          </cell>
          <cell r="U651">
            <v>18.116759999999999</v>
          </cell>
        </row>
        <row r="652">
          <cell r="B652" t="str">
            <v>V17551-PIND-0446-02</v>
          </cell>
          <cell r="C652" t="str">
            <v>PROD/25-26/13849</v>
          </cell>
          <cell r="D652" t="str">
            <v/>
          </cell>
          <cell r="E652" t="str">
            <v>TJ/25-26/184-CS</v>
          </cell>
          <cell r="F652" t="str">
            <v>P5</v>
          </cell>
          <cell r="G652">
            <v>0</v>
          </cell>
          <cell r="H652">
            <v>2</v>
          </cell>
          <cell r="I652" t="str">
            <v>Yes</v>
          </cell>
          <cell r="J652" t="str">
            <v/>
          </cell>
          <cell r="K652" t="str">
            <v>No</v>
          </cell>
          <cell r="L652" t="str">
            <v/>
          </cell>
          <cell r="M652" t="str">
            <v/>
          </cell>
          <cell r="N652" t="str">
            <v>Spool</v>
          </cell>
          <cell r="O652">
            <v>0</v>
          </cell>
          <cell r="P652">
            <v>0</v>
          </cell>
          <cell r="Q652" t="str">
            <v>CS</v>
          </cell>
          <cell r="R652">
            <v>1</v>
          </cell>
          <cell r="S652">
            <v>1</v>
          </cell>
          <cell r="T652">
            <v>3.4436</v>
          </cell>
          <cell r="U652">
            <v>3.4436</v>
          </cell>
        </row>
        <row r="653">
          <cell r="B653" t="str">
            <v>V17551-PIND-0447-02</v>
          </cell>
          <cell r="C653" t="str">
            <v>PROD/25-26/13850</v>
          </cell>
          <cell r="D653" t="str">
            <v/>
          </cell>
          <cell r="E653" t="str">
            <v>TJ/25-26/184-CS</v>
          </cell>
          <cell r="F653" t="str">
            <v>P5</v>
          </cell>
          <cell r="G653">
            <v>0</v>
          </cell>
          <cell r="H653">
            <v>2</v>
          </cell>
          <cell r="I653" t="str">
            <v>Yes</v>
          </cell>
          <cell r="J653" t="str">
            <v/>
          </cell>
          <cell r="K653" t="str">
            <v>No</v>
          </cell>
          <cell r="L653" t="str">
            <v/>
          </cell>
          <cell r="M653" t="str">
            <v/>
          </cell>
          <cell r="N653" t="str">
            <v>Spool</v>
          </cell>
          <cell r="O653">
            <v>0</v>
          </cell>
          <cell r="P653">
            <v>0</v>
          </cell>
          <cell r="Q653" t="str">
            <v>CS</v>
          </cell>
          <cell r="R653">
            <v>1</v>
          </cell>
          <cell r="S653">
            <v>1</v>
          </cell>
          <cell r="T653">
            <v>16.329039999999999</v>
          </cell>
          <cell r="U653">
            <v>16.329039999999999</v>
          </cell>
        </row>
        <row r="654">
          <cell r="B654" t="str">
            <v>V17551-PIND-0448-02</v>
          </cell>
          <cell r="C654" t="str">
            <v>PROD/25-26/13851</v>
          </cell>
          <cell r="D654" t="str">
            <v/>
          </cell>
          <cell r="E654" t="str">
            <v>TJ/25-26/184-CS</v>
          </cell>
          <cell r="F654" t="str">
            <v>P5</v>
          </cell>
          <cell r="G654">
            <v>0</v>
          </cell>
          <cell r="H654">
            <v>2</v>
          </cell>
          <cell r="I654" t="str">
            <v>Yes</v>
          </cell>
          <cell r="J654" t="str">
            <v/>
          </cell>
          <cell r="K654" t="str">
            <v>No</v>
          </cell>
          <cell r="L654" t="str">
            <v/>
          </cell>
          <cell r="M654" t="str">
            <v/>
          </cell>
          <cell r="N654" t="str">
            <v>Spool</v>
          </cell>
          <cell r="O654">
            <v>0</v>
          </cell>
          <cell r="P654">
            <v>0</v>
          </cell>
          <cell r="Q654" t="str">
            <v>CS</v>
          </cell>
          <cell r="R654">
            <v>1</v>
          </cell>
          <cell r="S654">
            <v>1</v>
          </cell>
          <cell r="T654">
            <v>3.327</v>
          </cell>
          <cell r="U654">
            <v>3.327</v>
          </cell>
        </row>
        <row r="655">
          <cell r="B655" t="str">
            <v>V17551-PIND-0450-02</v>
          </cell>
          <cell r="C655" t="str">
            <v>PROD/25-26/13853</v>
          </cell>
          <cell r="D655" t="str">
            <v/>
          </cell>
          <cell r="E655" t="str">
            <v>TJ/25-26/184-CS</v>
          </cell>
          <cell r="F655" t="str">
            <v>P5</v>
          </cell>
          <cell r="G655">
            <v>0</v>
          </cell>
          <cell r="H655">
            <v>2</v>
          </cell>
          <cell r="I655" t="str">
            <v>Yes</v>
          </cell>
          <cell r="J655" t="str">
            <v/>
          </cell>
          <cell r="K655" t="str">
            <v>No</v>
          </cell>
          <cell r="L655" t="str">
            <v/>
          </cell>
          <cell r="M655" t="str">
            <v/>
          </cell>
          <cell r="N655" t="str">
            <v>Spool</v>
          </cell>
          <cell r="O655">
            <v>0</v>
          </cell>
          <cell r="P655">
            <v>0</v>
          </cell>
          <cell r="Q655" t="str">
            <v>CS</v>
          </cell>
          <cell r="R655">
            <v>1</v>
          </cell>
          <cell r="S655">
            <v>1</v>
          </cell>
          <cell r="T655">
            <v>10.77744</v>
          </cell>
          <cell r="U655">
            <v>10.77744</v>
          </cell>
        </row>
        <row r="656">
          <cell r="B656" t="str">
            <v>V17551-PIND-0451-02</v>
          </cell>
          <cell r="C656" t="str">
            <v>PROD/25-26/13854</v>
          </cell>
          <cell r="D656" t="str">
            <v/>
          </cell>
          <cell r="E656" t="str">
            <v>TJ/25-26/184-CS</v>
          </cell>
          <cell r="F656" t="str">
            <v>P5</v>
          </cell>
          <cell r="G656">
            <v>0</v>
          </cell>
          <cell r="H656">
            <v>2</v>
          </cell>
          <cell r="I656" t="str">
            <v>Yes</v>
          </cell>
          <cell r="J656" t="str">
            <v/>
          </cell>
          <cell r="K656" t="str">
            <v>No</v>
          </cell>
          <cell r="L656" t="str">
            <v/>
          </cell>
          <cell r="M656" t="str">
            <v/>
          </cell>
          <cell r="N656" t="str">
            <v>Spool</v>
          </cell>
          <cell r="O656">
            <v>0</v>
          </cell>
          <cell r="P656">
            <v>0</v>
          </cell>
          <cell r="Q656" t="str">
            <v>CS</v>
          </cell>
          <cell r="R656">
            <v>1</v>
          </cell>
          <cell r="S656">
            <v>1</v>
          </cell>
          <cell r="T656">
            <v>13.08108</v>
          </cell>
          <cell r="U656">
            <v>13.08108</v>
          </cell>
        </row>
        <row r="657">
          <cell r="B657" t="str">
            <v>V17551-PIND-0452-02</v>
          </cell>
          <cell r="C657" t="str">
            <v>PROD/25-26/13855</v>
          </cell>
          <cell r="D657" t="str">
            <v/>
          </cell>
          <cell r="E657" t="str">
            <v>TJ/25-26/184-CS</v>
          </cell>
          <cell r="F657" t="str">
            <v>P5</v>
          </cell>
          <cell r="G657">
            <v>0</v>
          </cell>
          <cell r="H657">
            <v>2</v>
          </cell>
          <cell r="I657" t="str">
            <v>Yes</v>
          </cell>
          <cell r="J657" t="str">
            <v/>
          </cell>
          <cell r="K657" t="str">
            <v>No</v>
          </cell>
          <cell r="L657" t="str">
            <v/>
          </cell>
          <cell r="M657" t="str">
            <v/>
          </cell>
          <cell r="N657" t="str">
            <v>Spool</v>
          </cell>
          <cell r="O657">
            <v>0</v>
          </cell>
          <cell r="P657">
            <v>0</v>
          </cell>
          <cell r="Q657" t="str">
            <v>CS</v>
          </cell>
          <cell r="R657">
            <v>1</v>
          </cell>
          <cell r="S657">
            <v>1</v>
          </cell>
          <cell r="T657">
            <v>8.8852799999999998</v>
          </cell>
          <cell r="U657">
            <v>8.8852799999999998</v>
          </cell>
        </row>
        <row r="658">
          <cell r="B658" t="str">
            <v>V17551-PIND-0453-02</v>
          </cell>
          <cell r="C658" t="str">
            <v>PROD/25-26/13856</v>
          </cell>
          <cell r="D658" t="str">
            <v/>
          </cell>
          <cell r="E658" t="str">
            <v>TJ/25-26/184-CS</v>
          </cell>
          <cell r="F658" t="str">
            <v>P5</v>
          </cell>
          <cell r="G658">
            <v>0</v>
          </cell>
          <cell r="H658">
            <v>2</v>
          </cell>
          <cell r="I658" t="str">
            <v>Yes</v>
          </cell>
          <cell r="J658" t="str">
            <v/>
          </cell>
          <cell r="K658" t="str">
            <v>No</v>
          </cell>
          <cell r="L658" t="str">
            <v/>
          </cell>
          <cell r="M658" t="str">
            <v/>
          </cell>
          <cell r="N658" t="str">
            <v>Spool</v>
          </cell>
          <cell r="O658">
            <v>0</v>
          </cell>
          <cell r="P658">
            <v>0</v>
          </cell>
          <cell r="Q658" t="str">
            <v>CS</v>
          </cell>
          <cell r="R658">
            <v>1</v>
          </cell>
          <cell r="S658">
            <v>1</v>
          </cell>
          <cell r="T658">
            <v>5.8556400000000002</v>
          </cell>
          <cell r="U658">
            <v>5.8556400000000002</v>
          </cell>
        </row>
        <row r="659">
          <cell r="B659" t="str">
            <v>V17551-PIND-0454-02</v>
          </cell>
          <cell r="C659" t="str">
            <v>PROD/25-26/13857</v>
          </cell>
          <cell r="D659" t="str">
            <v/>
          </cell>
          <cell r="E659" t="str">
            <v>TJ/25-26/184-CS</v>
          </cell>
          <cell r="F659" t="str">
            <v>P5</v>
          </cell>
          <cell r="G659">
            <v>0</v>
          </cell>
          <cell r="H659">
            <v>2</v>
          </cell>
          <cell r="I659" t="str">
            <v>Yes</v>
          </cell>
          <cell r="J659" t="str">
            <v/>
          </cell>
          <cell r="K659" t="str">
            <v>No</v>
          </cell>
          <cell r="L659" t="str">
            <v/>
          </cell>
          <cell r="M659" t="str">
            <v/>
          </cell>
          <cell r="N659" t="str">
            <v>Spool</v>
          </cell>
          <cell r="O659">
            <v>0</v>
          </cell>
          <cell r="P659">
            <v>0</v>
          </cell>
          <cell r="Q659" t="str">
            <v>CS</v>
          </cell>
          <cell r="R659">
            <v>1</v>
          </cell>
          <cell r="S659">
            <v>1</v>
          </cell>
          <cell r="T659">
            <v>5.8588800000000001</v>
          </cell>
          <cell r="U659">
            <v>5.8588800000000001</v>
          </cell>
        </row>
        <row r="660">
          <cell r="B660" t="str">
            <v>V17551-PIND-0460-02</v>
          </cell>
          <cell r="C660" t="str">
            <v>PROD/25-26/13861</v>
          </cell>
          <cell r="D660" t="str">
            <v/>
          </cell>
          <cell r="E660" t="str">
            <v>TJ/25-26/184-CS</v>
          </cell>
          <cell r="F660" t="str">
            <v>P5</v>
          </cell>
          <cell r="G660">
            <v>0</v>
          </cell>
          <cell r="H660">
            <v>2</v>
          </cell>
          <cell r="I660" t="str">
            <v>Yes</v>
          </cell>
          <cell r="J660" t="str">
            <v/>
          </cell>
          <cell r="K660" t="str">
            <v>No</v>
          </cell>
          <cell r="L660" t="str">
            <v/>
          </cell>
          <cell r="M660" t="str">
            <v/>
          </cell>
          <cell r="N660" t="str">
            <v>Spool</v>
          </cell>
          <cell r="O660">
            <v>0</v>
          </cell>
          <cell r="P660">
            <v>0</v>
          </cell>
          <cell r="Q660" t="str">
            <v>CS</v>
          </cell>
          <cell r="R660">
            <v>1</v>
          </cell>
          <cell r="S660">
            <v>1</v>
          </cell>
          <cell r="T660">
            <v>45.107120000000002</v>
          </cell>
          <cell r="U660">
            <v>45.107120000000002</v>
          </cell>
        </row>
        <row r="661">
          <cell r="B661" t="str">
            <v>V17551-PIND-0463-02</v>
          </cell>
          <cell r="C661" t="str">
            <v>PROD/25-26/13862</v>
          </cell>
          <cell r="D661" t="str">
            <v/>
          </cell>
          <cell r="E661" t="str">
            <v>TJ/25-26/184-CS</v>
          </cell>
          <cell r="F661" t="str">
            <v>P5</v>
          </cell>
          <cell r="G661">
            <v>0</v>
          </cell>
          <cell r="H661">
            <v>2</v>
          </cell>
          <cell r="I661" t="str">
            <v>Yes</v>
          </cell>
          <cell r="J661" t="str">
            <v/>
          </cell>
          <cell r="K661" t="str">
            <v>No</v>
          </cell>
          <cell r="L661" t="str">
            <v/>
          </cell>
          <cell r="M661" t="str">
            <v/>
          </cell>
          <cell r="N661" t="str">
            <v>Spool</v>
          </cell>
          <cell r="O661">
            <v>0</v>
          </cell>
          <cell r="P661">
            <v>0</v>
          </cell>
          <cell r="Q661" t="str">
            <v>CS</v>
          </cell>
          <cell r="R661">
            <v>1</v>
          </cell>
          <cell r="S661">
            <v>1</v>
          </cell>
          <cell r="T661">
            <v>2.1291600000000002</v>
          </cell>
          <cell r="U661">
            <v>2.1291600000000002</v>
          </cell>
        </row>
        <row r="662">
          <cell r="B662" t="str">
            <v>V17551-PIND-0467-02</v>
          </cell>
          <cell r="C662" t="str">
            <v>PROD/25-26/13864</v>
          </cell>
          <cell r="D662" t="str">
            <v/>
          </cell>
          <cell r="E662" t="str">
            <v>TJ/25-26/184-CS</v>
          </cell>
          <cell r="F662" t="str">
            <v>P5</v>
          </cell>
          <cell r="G662">
            <v>0</v>
          </cell>
          <cell r="H662">
            <v>2</v>
          </cell>
          <cell r="I662" t="str">
            <v>Yes</v>
          </cell>
          <cell r="J662" t="str">
            <v/>
          </cell>
          <cell r="K662" t="str">
            <v>No</v>
          </cell>
          <cell r="L662" t="str">
            <v/>
          </cell>
          <cell r="M662" t="str">
            <v/>
          </cell>
          <cell r="N662" t="str">
            <v>Spool</v>
          </cell>
          <cell r="O662">
            <v>0</v>
          </cell>
          <cell r="P662">
            <v>0</v>
          </cell>
          <cell r="Q662" t="str">
            <v>CS</v>
          </cell>
          <cell r="R662">
            <v>1</v>
          </cell>
          <cell r="S662">
            <v>1</v>
          </cell>
          <cell r="T662">
            <v>6.5932399999999998</v>
          </cell>
          <cell r="U662">
            <v>6.5932399999999998</v>
          </cell>
        </row>
        <row r="663">
          <cell r="B663" t="str">
            <v>V17551-PIND-0468-02</v>
          </cell>
          <cell r="C663" t="str">
            <v>PROD/25-26/13865</v>
          </cell>
          <cell r="D663" t="str">
            <v/>
          </cell>
          <cell r="E663" t="str">
            <v>TJ/25-26/184-CS</v>
          </cell>
          <cell r="F663" t="str">
            <v>P5</v>
          </cell>
          <cell r="G663">
            <v>0</v>
          </cell>
          <cell r="H663">
            <v>2</v>
          </cell>
          <cell r="I663" t="str">
            <v>Yes</v>
          </cell>
          <cell r="J663" t="str">
            <v/>
          </cell>
          <cell r="K663" t="str">
            <v>No</v>
          </cell>
          <cell r="L663" t="str">
            <v/>
          </cell>
          <cell r="M663" t="str">
            <v/>
          </cell>
          <cell r="N663" t="str">
            <v>Spool</v>
          </cell>
          <cell r="O663">
            <v>0</v>
          </cell>
          <cell r="P663">
            <v>0</v>
          </cell>
          <cell r="Q663" t="str">
            <v>CS</v>
          </cell>
          <cell r="R663">
            <v>1</v>
          </cell>
          <cell r="S663">
            <v>1</v>
          </cell>
          <cell r="T663">
            <v>1.5696399999999999</v>
          </cell>
          <cell r="U663">
            <v>1.5696399999999999</v>
          </cell>
        </row>
        <row r="664">
          <cell r="B664" t="str">
            <v>V17551-PIND-0469-02</v>
          </cell>
          <cell r="C664" t="str">
            <v>PROD/25-26/13866</v>
          </cell>
          <cell r="D664" t="str">
            <v/>
          </cell>
          <cell r="E664" t="str">
            <v>TJ/25-26/184-CS</v>
          </cell>
          <cell r="F664" t="str">
            <v>P5</v>
          </cell>
          <cell r="G664">
            <v>0</v>
          </cell>
          <cell r="H664">
            <v>2</v>
          </cell>
          <cell r="I664" t="str">
            <v>Yes</v>
          </cell>
          <cell r="J664" t="str">
            <v/>
          </cell>
          <cell r="K664" t="str">
            <v>No</v>
          </cell>
          <cell r="L664" t="str">
            <v/>
          </cell>
          <cell r="M664" t="str">
            <v/>
          </cell>
          <cell r="N664" t="str">
            <v>Spool</v>
          </cell>
          <cell r="O664">
            <v>0</v>
          </cell>
          <cell r="P664">
            <v>0</v>
          </cell>
          <cell r="Q664" t="str">
            <v>CS</v>
          </cell>
          <cell r="R664">
            <v>1</v>
          </cell>
          <cell r="S664">
            <v>1</v>
          </cell>
          <cell r="T664">
            <v>2.8866999999999998</v>
          </cell>
          <cell r="U664">
            <v>2.8866999999999998</v>
          </cell>
        </row>
        <row r="665">
          <cell r="B665" t="str">
            <v>V17551-PIND-0470-02</v>
          </cell>
          <cell r="C665" t="str">
            <v>PROD/25-26/13867</v>
          </cell>
          <cell r="D665" t="str">
            <v/>
          </cell>
          <cell r="E665" t="str">
            <v>TJ/25-26/184-CS</v>
          </cell>
          <cell r="F665" t="str">
            <v>P5</v>
          </cell>
          <cell r="G665">
            <v>0</v>
          </cell>
          <cell r="H665">
            <v>2</v>
          </cell>
          <cell r="I665" t="str">
            <v>Yes</v>
          </cell>
          <cell r="J665" t="str">
            <v/>
          </cell>
          <cell r="K665" t="str">
            <v>No</v>
          </cell>
          <cell r="L665" t="str">
            <v/>
          </cell>
          <cell r="M665" t="str">
            <v/>
          </cell>
          <cell r="N665" t="str">
            <v>Spool</v>
          </cell>
          <cell r="O665">
            <v>0</v>
          </cell>
          <cell r="P665">
            <v>0</v>
          </cell>
          <cell r="Q665" t="str">
            <v>CS</v>
          </cell>
          <cell r="R665">
            <v>1</v>
          </cell>
          <cell r="S665">
            <v>1</v>
          </cell>
          <cell r="T665">
            <v>6.2110000000000003</v>
          </cell>
          <cell r="U665">
            <v>6.2110000000000003</v>
          </cell>
        </row>
        <row r="666">
          <cell r="B666" t="str">
            <v>V17551-PIND-0471-02</v>
          </cell>
          <cell r="C666" t="str">
            <v>PROD/25-26/13868</v>
          </cell>
          <cell r="D666" t="str">
            <v/>
          </cell>
          <cell r="E666" t="str">
            <v>TJ/25-26/184-CS</v>
          </cell>
          <cell r="F666" t="str">
            <v>P5</v>
          </cell>
          <cell r="G666">
            <v>0</v>
          </cell>
          <cell r="H666">
            <v>2</v>
          </cell>
          <cell r="I666" t="str">
            <v>Yes</v>
          </cell>
          <cell r="J666" t="str">
            <v/>
          </cell>
          <cell r="K666" t="str">
            <v>No</v>
          </cell>
          <cell r="L666" t="str">
            <v/>
          </cell>
          <cell r="M666" t="str">
            <v/>
          </cell>
          <cell r="N666" t="str">
            <v>Spool</v>
          </cell>
          <cell r="O666">
            <v>0</v>
          </cell>
          <cell r="P666">
            <v>0</v>
          </cell>
          <cell r="Q666" t="str">
            <v>P22</v>
          </cell>
          <cell r="R666">
            <v>1</v>
          </cell>
          <cell r="S666">
            <v>1</v>
          </cell>
          <cell r="T666">
            <v>6.0328400000000002</v>
          </cell>
          <cell r="U666">
            <v>6.0328400000000002</v>
          </cell>
        </row>
        <row r="667">
          <cell r="B667" t="str">
            <v>V17551-PIND-0472-02</v>
          </cell>
          <cell r="C667" t="str">
            <v>PROD/25-26/13869</v>
          </cell>
          <cell r="D667" t="str">
            <v/>
          </cell>
          <cell r="E667" t="str">
            <v>TJ/25-26/184-P22</v>
          </cell>
          <cell r="F667" t="str">
            <v>P5</v>
          </cell>
          <cell r="G667">
            <v>0</v>
          </cell>
          <cell r="H667">
            <v>2</v>
          </cell>
          <cell r="I667" t="str">
            <v>Yes</v>
          </cell>
          <cell r="J667" t="str">
            <v/>
          </cell>
          <cell r="K667" t="str">
            <v>No</v>
          </cell>
          <cell r="L667" t="str">
            <v/>
          </cell>
          <cell r="M667" t="str">
            <v/>
          </cell>
          <cell r="N667" t="str">
            <v>Spool</v>
          </cell>
          <cell r="O667">
            <v>0</v>
          </cell>
          <cell r="P667">
            <v>0</v>
          </cell>
          <cell r="Q667" t="str">
            <v>P22</v>
          </cell>
          <cell r="R667">
            <v>1</v>
          </cell>
          <cell r="S667">
            <v>1</v>
          </cell>
          <cell r="T667">
            <v>5.3184199999999997</v>
          </cell>
          <cell r="U667">
            <v>5.3184199999999997</v>
          </cell>
        </row>
        <row r="668">
          <cell r="B668" t="str">
            <v>V17551-PIND-0474-02</v>
          </cell>
          <cell r="C668" t="str">
            <v>PROD/25-26/13871</v>
          </cell>
          <cell r="D668" t="str">
            <v/>
          </cell>
          <cell r="E668" t="str">
            <v>TJ/25-26/184-CS</v>
          </cell>
          <cell r="F668" t="str">
            <v>P5</v>
          </cell>
          <cell r="G668">
            <v>0</v>
          </cell>
          <cell r="H668">
            <v>2</v>
          </cell>
          <cell r="I668" t="str">
            <v>Yes</v>
          </cell>
          <cell r="J668" t="str">
            <v/>
          </cell>
          <cell r="K668" t="str">
            <v>No</v>
          </cell>
          <cell r="L668" t="str">
            <v/>
          </cell>
          <cell r="M668" t="str">
            <v/>
          </cell>
          <cell r="N668" t="str">
            <v>Spool</v>
          </cell>
          <cell r="O668">
            <v>0</v>
          </cell>
          <cell r="P668">
            <v>0</v>
          </cell>
          <cell r="Q668" t="str">
            <v>CS</v>
          </cell>
          <cell r="R668">
            <v>1</v>
          </cell>
          <cell r="S668">
            <v>1</v>
          </cell>
          <cell r="T668">
            <v>20.190000000000001</v>
          </cell>
          <cell r="U668">
            <v>20.190000000000001</v>
          </cell>
        </row>
        <row r="669">
          <cell r="B669" t="str">
            <v>V17551-PIND-0477-02</v>
          </cell>
          <cell r="C669" t="str">
            <v>PROD/25-26/13873</v>
          </cell>
          <cell r="D669" t="str">
            <v/>
          </cell>
          <cell r="E669" t="str">
            <v>TJ/25-26/184-P22</v>
          </cell>
          <cell r="F669" t="str">
            <v>P5</v>
          </cell>
          <cell r="G669">
            <v>0</v>
          </cell>
          <cell r="H669">
            <v>2</v>
          </cell>
          <cell r="I669" t="str">
            <v>Yes</v>
          </cell>
          <cell r="J669" t="str">
            <v/>
          </cell>
          <cell r="K669" t="str">
            <v>No</v>
          </cell>
          <cell r="L669" t="str">
            <v/>
          </cell>
          <cell r="M669" t="str">
            <v/>
          </cell>
          <cell r="N669" t="str">
            <v>Spool</v>
          </cell>
          <cell r="O669">
            <v>0</v>
          </cell>
          <cell r="P669">
            <v>0</v>
          </cell>
          <cell r="Q669" t="str">
            <v>P22</v>
          </cell>
          <cell r="R669">
            <v>1</v>
          </cell>
          <cell r="S669">
            <v>1</v>
          </cell>
          <cell r="T669">
            <v>97.15616</v>
          </cell>
          <cell r="U669">
            <v>97.15616</v>
          </cell>
        </row>
        <row r="670">
          <cell r="B670" t="str">
            <v>V17551-PIND-0478-02</v>
          </cell>
          <cell r="C670" t="str">
            <v>PROD/25-26/14112</v>
          </cell>
          <cell r="D670" t="str">
            <v/>
          </cell>
          <cell r="E670" t="str">
            <v>TJ/25-26/184-P11</v>
          </cell>
          <cell r="F670" t="str">
            <v>P5</v>
          </cell>
          <cell r="G670">
            <v>0</v>
          </cell>
          <cell r="H670">
            <v>2</v>
          </cell>
          <cell r="I670" t="str">
            <v>Yes</v>
          </cell>
          <cell r="J670" t="str">
            <v/>
          </cell>
          <cell r="K670" t="str">
            <v>No</v>
          </cell>
          <cell r="L670" t="str">
            <v/>
          </cell>
          <cell r="M670" t="str">
            <v/>
          </cell>
          <cell r="N670" t="str">
            <v>Spool</v>
          </cell>
          <cell r="O670">
            <v>0</v>
          </cell>
          <cell r="P670">
            <v>0</v>
          </cell>
          <cell r="Q670" t="str">
            <v>P11</v>
          </cell>
          <cell r="R670">
            <v>1</v>
          </cell>
          <cell r="S670">
            <v>1</v>
          </cell>
          <cell r="T670">
            <v>20.875959999999999</v>
          </cell>
          <cell r="U670">
            <v>20.875959999999999</v>
          </cell>
        </row>
        <row r="671">
          <cell r="B671" t="str">
            <v>V17551-PIND-0480-02</v>
          </cell>
          <cell r="C671" t="str">
            <v>PROD/25-26/13875</v>
          </cell>
          <cell r="D671" t="str">
            <v/>
          </cell>
          <cell r="E671" t="str">
            <v>TJ/25-26/184-P22</v>
          </cell>
          <cell r="F671" t="str">
            <v>P5</v>
          </cell>
          <cell r="G671">
            <v>0</v>
          </cell>
          <cell r="H671">
            <v>2</v>
          </cell>
          <cell r="I671" t="str">
            <v>Yes</v>
          </cell>
          <cell r="J671" t="str">
            <v/>
          </cell>
          <cell r="K671" t="str">
            <v>No</v>
          </cell>
          <cell r="L671" t="str">
            <v/>
          </cell>
          <cell r="M671" t="str">
            <v/>
          </cell>
          <cell r="N671" t="str">
            <v>Spool</v>
          </cell>
          <cell r="O671">
            <v>0</v>
          </cell>
          <cell r="P671">
            <v>0</v>
          </cell>
          <cell r="Q671" t="str">
            <v>P22</v>
          </cell>
          <cell r="R671">
            <v>1</v>
          </cell>
          <cell r="S671">
            <v>1</v>
          </cell>
          <cell r="T671">
            <v>3.5217999999999998</v>
          </cell>
          <cell r="U671">
            <v>3.5217999999999998</v>
          </cell>
        </row>
        <row r="672">
          <cell r="B672" t="str">
            <v>V17551-PIND-0481-02</v>
          </cell>
          <cell r="C672" t="str">
            <v>PROD/25-26/14115</v>
          </cell>
          <cell r="D672" t="str">
            <v/>
          </cell>
          <cell r="E672" t="str">
            <v>TJ/25-26/184-CS</v>
          </cell>
          <cell r="F672" t="str">
            <v>P5</v>
          </cell>
          <cell r="G672">
            <v>0</v>
          </cell>
          <cell r="H672">
            <v>2</v>
          </cell>
          <cell r="I672" t="str">
            <v>Yes</v>
          </cell>
          <cell r="J672" t="str">
            <v/>
          </cell>
          <cell r="K672" t="str">
            <v>No</v>
          </cell>
          <cell r="L672" t="str">
            <v/>
          </cell>
          <cell r="M672" t="str">
            <v/>
          </cell>
          <cell r="N672" t="str">
            <v>Spool</v>
          </cell>
          <cell r="O672">
            <v>0</v>
          </cell>
          <cell r="P672">
            <v>0</v>
          </cell>
          <cell r="Q672" t="str">
            <v>CS</v>
          </cell>
          <cell r="R672">
            <v>1</v>
          </cell>
          <cell r="S672">
            <v>1</v>
          </cell>
          <cell r="T672">
            <v>9.3579600000000003</v>
          </cell>
          <cell r="U672">
            <v>9.3579600000000003</v>
          </cell>
        </row>
        <row r="673">
          <cell r="B673" t="str">
            <v>V17551-PIND-0482-02</v>
          </cell>
          <cell r="C673" t="str">
            <v>PROD/25-26/13877</v>
          </cell>
          <cell r="D673" t="str">
            <v/>
          </cell>
          <cell r="E673" t="str">
            <v>TJ/25-26/184-CS</v>
          </cell>
          <cell r="F673" t="str">
            <v>P5</v>
          </cell>
          <cell r="G673">
            <v>0</v>
          </cell>
          <cell r="H673">
            <v>2</v>
          </cell>
          <cell r="I673" t="str">
            <v>Yes</v>
          </cell>
          <cell r="J673" t="str">
            <v/>
          </cell>
          <cell r="K673" t="str">
            <v>No</v>
          </cell>
          <cell r="L673" t="str">
            <v/>
          </cell>
          <cell r="M673" t="str">
            <v/>
          </cell>
          <cell r="N673" t="str">
            <v>Spool</v>
          </cell>
          <cell r="O673">
            <v>0</v>
          </cell>
          <cell r="P673">
            <v>0</v>
          </cell>
          <cell r="Q673" t="str">
            <v>CS</v>
          </cell>
          <cell r="R673">
            <v>1</v>
          </cell>
          <cell r="S673">
            <v>1</v>
          </cell>
          <cell r="T673">
            <v>6.7237200000000001</v>
          </cell>
          <cell r="U673">
            <v>6.7237200000000001</v>
          </cell>
        </row>
        <row r="674">
          <cell r="B674" t="str">
            <v>V17551-PIND-0483-02</v>
          </cell>
          <cell r="C674" t="str">
            <v>PROD/25-26/13878</v>
          </cell>
          <cell r="D674" t="str">
            <v/>
          </cell>
          <cell r="E674" t="str">
            <v>TJ/25-26/184-CS</v>
          </cell>
          <cell r="F674" t="str">
            <v>P5</v>
          </cell>
          <cell r="G674">
            <v>0</v>
          </cell>
          <cell r="H674">
            <v>2</v>
          </cell>
          <cell r="I674" t="str">
            <v>Yes</v>
          </cell>
          <cell r="J674" t="str">
            <v/>
          </cell>
          <cell r="K674" t="str">
            <v>No</v>
          </cell>
          <cell r="L674" t="str">
            <v/>
          </cell>
          <cell r="M674" t="str">
            <v/>
          </cell>
          <cell r="N674" t="str">
            <v>Spool</v>
          </cell>
          <cell r="O674">
            <v>0</v>
          </cell>
          <cell r="P674">
            <v>0</v>
          </cell>
          <cell r="Q674" t="str">
            <v>CS</v>
          </cell>
          <cell r="R674">
            <v>1</v>
          </cell>
          <cell r="S674">
            <v>1</v>
          </cell>
          <cell r="T674">
            <v>1.8385800000000001</v>
          </cell>
          <cell r="U674">
            <v>1.8385800000000001</v>
          </cell>
        </row>
        <row r="675">
          <cell r="B675" t="str">
            <v>V17551-PIND-0484-02</v>
          </cell>
          <cell r="C675" t="str">
            <v>PROD/25-26/13879</v>
          </cell>
          <cell r="D675" t="str">
            <v/>
          </cell>
          <cell r="E675" t="str">
            <v>TJ/25-26/184-91</v>
          </cell>
          <cell r="F675" t="str">
            <v>P5</v>
          </cell>
          <cell r="G675">
            <v>0</v>
          </cell>
          <cell r="H675">
            <v>2</v>
          </cell>
          <cell r="I675" t="str">
            <v>Yes</v>
          </cell>
          <cell r="J675" t="str">
            <v/>
          </cell>
          <cell r="K675" t="str">
            <v>No</v>
          </cell>
          <cell r="L675" t="str">
            <v/>
          </cell>
          <cell r="M675" t="str">
            <v/>
          </cell>
          <cell r="N675" t="str">
            <v>Spool</v>
          </cell>
          <cell r="O675">
            <v>0</v>
          </cell>
          <cell r="P675">
            <v>0</v>
          </cell>
          <cell r="Q675" t="str">
            <v>CS</v>
          </cell>
          <cell r="R675">
            <v>1</v>
          </cell>
          <cell r="S675">
            <v>1</v>
          </cell>
          <cell r="T675">
            <v>5.0526600000000004</v>
          </cell>
          <cell r="U675">
            <v>5.0526600000000004</v>
          </cell>
        </row>
        <row r="676">
          <cell r="B676" t="str">
            <v>V17551-PIND-0485-02</v>
          </cell>
          <cell r="C676" t="str">
            <v>PROD/25-26/13880</v>
          </cell>
          <cell r="D676" t="str">
            <v/>
          </cell>
          <cell r="E676" t="str">
            <v>TJ/25-26/184-CS</v>
          </cell>
          <cell r="F676" t="str">
            <v>P5</v>
          </cell>
          <cell r="G676">
            <v>0</v>
          </cell>
          <cell r="H676">
            <v>2</v>
          </cell>
          <cell r="I676" t="str">
            <v>Yes</v>
          </cell>
          <cell r="J676" t="str">
            <v/>
          </cell>
          <cell r="K676" t="str">
            <v>No</v>
          </cell>
          <cell r="L676" t="str">
            <v/>
          </cell>
          <cell r="M676" t="str">
            <v/>
          </cell>
          <cell r="N676" t="str">
            <v>Spool</v>
          </cell>
          <cell r="O676">
            <v>0</v>
          </cell>
          <cell r="P676">
            <v>0</v>
          </cell>
          <cell r="Q676" t="str">
            <v>CS</v>
          </cell>
          <cell r="R676">
            <v>1</v>
          </cell>
          <cell r="S676">
            <v>1</v>
          </cell>
          <cell r="T676">
            <v>1.49356</v>
          </cell>
          <cell r="U676">
            <v>1.49356</v>
          </cell>
        </row>
        <row r="677">
          <cell r="B677" t="str">
            <v>V17551-PIND-0486-02</v>
          </cell>
          <cell r="C677" t="str">
            <v>PROD/25-26/13881</v>
          </cell>
          <cell r="D677" t="str">
            <v/>
          </cell>
          <cell r="E677" t="str">
            <v>TJ/25-26/184-CS</v>
          </cell>
          <cell r="F677" t="str">
            <v>P5</v>
          </cell>
          <cell r="G677">
            <v>0</v>
          </cell>
          <cell r="H677">
            <v>2</v>
          </cell>
          <cell r="I677" t="str">
            <v>Yes</v>
          </cell>
          <cell r="J677" t="str">
            <v/>
          </cell>
          <cell r="K677" t="str">
            <v>No</v>
          </cell>
          <cell r="L677" t="str">
            <v/>
          </cell>
          <cell r="M677" t="str">
            <v/>
          </cell>
          <cell r="N677" t="str">
            <v>Spool</v>
          </cell>
          <cell r="O677">
            <v>0</v>
          </cell>
          <cell r="P677">
            <v>0</v>
          </cell>
          <cell r="Q677" t="str">
            <v>CS</v>
          </cell>
          <cell r="R677">
            <v>1</v>
          </cell>
          <cell r="S677">
            <v>1</v>
          </cell>
          <cell r="T677">
            <v>8.7701399999999996</v>
          </cell>
          <cell r="U677">
            <v>8.7701399999999996</v>
          </cell>
        </row>
        <row r="678">
          <cell r="B678" t="str">
            <v>V17551-PIND-0487-02</v>
          </cell>
          <cell r="C678" t="str">
            <v>PROD/25-26/13882</v>
          </cell>
          <cell r="D678" t="str">
            <v/>
          </cell>
          <cell r="E678" t="str">
            <v>TJ/25-26/184-91</v>
          </cell>
          <cell r="F678" t="str">
            <v>P5</v>
          </cell>
          <cell r="G678">
            <v>0</v>
          </cell>
          <cell r="H678">
            <v>2</v>
          </cell>
          <cell r="I678" t="str">
            <v>Yes</v>
          </cell>
          <cell r="J678" t="str">
            <v/>
          </cell>
          <cell r="K678" t="str">
            <v>No</v>
          </cell>
          <cell r="L678" t="str">
            <v/>
          </cell>
          <cell r="M678" t="str">
            <v/>
          </cell>
          <cell r="N678" t="str">
            <v>Spool</v>
          </cell>
          <cell r="O678">
            <v>0</v>
          </cell>
          <cell r="P678">
            <v>0</v>
          </cell>
          <cell r="Q678" t="str">
            <v>CS</v>
          </cell>
          <cell r="R678">
            <v>1</v>
          </cell>
          <cell r="S678">
            <v>1</v>
          </cell>
          <cell r="T678">
            <v>1.7689999999999999</v>
          </cell>
          <cell r="U678">
            <v>1.7689999999999999</v>
          </cell>
        </row>
        <row r="679">
          <cell r="B679" t="str">
            <v>V17551-PIND-0489-02</v>
          </cell>
          <cell r="C679" t="str">
            <v>PROD/25-26/13884</v>
          </cell>
          <cell r="D679" t="str">
            <v/>
          </cell>
          <cell r="E679" t="str">
            <v>TJ/25-26/184-CS</v>
          </cell>
          <cell r="F679" t="str">
            <v>P5</v>
          </cell>
          <cell r="G679">
            <v>0</v>
          </cell>
          <cell r="H679">
            <v>2</v>
          </cell>
          <cell r="I679" t="str">
            <v>Yes</v>
          </cell>
          <cell r="J679" t="str">
            <v/>
          </cell>
          <cell r="K679" t="str">
            <v>No</v>
          </cell>
          <cell r="L679" t="str">
            <v/>
          </cell>
          <cell r="M679" t="str">
            <v/>
          </cell>
          <cell r="N679" t="str">
            <v>Spool</v>
          </cell>
          <cell r="O679">
            <v>0</v>
          </cell>
          <cell r="P679">
            <v>0</v>
          </cell>
          <cell r="Q679" t="str">
            <v>CS</v>
          </cell>
          <cell r="R679">
            <v>1</v>
          </cell>
          <cell r="S679">
            <v>1</v>
          </cell>
          <cell r="T679">
            <v>5.3766999999999996</v>
          </cell>
          <cell r="U679">
            <v>5.3766999999999996</v>
          </cell>
        </row>
        <row r="680">
          <cell r="B680" t="str">
            <v>V17551-PIND-0490-02</v>
          </cell>
          <cell r="C680" t="str">
            <v>PROD/25-26/13885</v>
          </cell>
          <cell r="D680" t="str">
            <v/>
          </cell>
          <cell r="E680" t="str">
            <v>TJ/25-26/184-P22</v>
          </cell>
          <cell r="F680" t="str">
            <v>P5</v>
          </cell>
          <cell r="G680">
            <v>0</v>
          </cell>
          <cell r="H680">
            <v>2</v>
          </cell>
          <cell r="I680" t="str">
            <v>Yes</v>
          </cell>
          <cell r="J680" t="str">
            <v/>
          </cell>
          <cell r="K680" t="str">
            <v>No</v>
          </cell>
          <cell r="L680" t="str">
            <v/>
          </cell>
          <cell r="M680" t="str">
            <v/>
          </cell>
          <cell r="N680" t="str">
            <v>Spool</v>
          </cell>
          <cell r="O680">
            <v>0</v>
          </cell>
          <cell r="P680">
            <v>0</v>
          </cell>
          <cell r="Q680" t="str">
            <v>P22</v>
          </cell>
          <cell r="R680">
            <v>1</v>
          </cell>
          <cell r="S680">
            <v>1</v>
          </cell>
          <cell r="T680">
            <v>2.8853599999999999</v>
          </cell>
          <cell r="U680">
            <v>2.8853599999999999</v>
          </cell>
        </row>
        <row r="681">
          <cell r="B681" t="str">
            <v>V17551-PIND-0491-02</v>
          </cell>
          <cell r="C681" t="str">
            <v>PROD/25-26/13886</v>
          </cell>
          <cell r="D681" t="str">
            <v/>
          </cell>
          <cell r="E681" t="str">
            <v>TJ/25-26/184-P22</v>
          </cell>
          <cell r="F681" t="str">
            <v>P5</v>
          </cell>
          <cell r="G681">
            <v>0</v>
          </cell>
          <cell r="H681">
            <v>2</v>
          </cell>
          <cell r="I681" t="str">
            <v>Yes</v>
          </cell>
          <cell r="J681" t="str">
            <v/>
          </cell>
          <cell r="K681" t="str">
            <v>No</v>
          </cell>
          <cell r="L681" t="str">
            <v/>
          </cell>
          <cell r="M681" t="str">
            <v/>
          </cell>
          <cell r="N681" t="str">
            <v>Spool</v>
          </cell>
          <cell r="O681">
            <v>0</v>
          </cell>
          <cell r="P681">
            <v>0</v>
          </cell>
          <cell r="Q681" t="str">
            <v>P22</v>
          </cell>
          <cell r="R681">
            <v>1</v>
          </cell>
          <cell r="S681">
            <v>1</v>
          </cell>
          <cell r="T681">
            <v>1.3690800000000001</v>
          </cell>
          <cell r="U681">
            <v>1.3690800000000001</v>
          </cell>
        </row>
        <row r="682">
          <cell r="B682" t="str">
            <v>V17551-PIND-0492-02</v>
          </cell>
          <cell r="C682" t="str">
            <v>PROD/25-26/13887</v>
          </cell>
          <cell r="D682" t="str">
            <v/>
          </cell>
          <cell r="E682" t="str">
            <v>TJ/25-26/184-91</v>
          </cell>
          <cell r="F682" t="str">
            <v>P5</v>
          </cell>
          <cell r="G682">
            <v>0</v>
          </cell>
          <cell r="H682">
            <v>2</v>
          </cell>
          <cell r="I682" t="str">
            <v>Yes</v>
          </cell>
          <cell r="J682" t="str">
            <v/>
          </cell>
          <cell r="K682" t="str">
            <v>No</v>
          </cell>
          <cell r="L682" t="str">
            <v/>
          </cell>
          <cell r="M682" t="str">
            <v/>
          </cell>
          <cell r="N682" t="str">
            <v>Spool</v>
          </cell>
          <cell r="O682">
            <v>0</v>
          </cell>
          <cell r="P682">
            <v>0</v>
          </cell>
          <cell r="Q682" t="str">
            <v>CS</v>
          </cell>
          <cell r="R682">
            <v>1</v>
          </cell>
          <cell r="S682">
            <v>1</v>
          </cell>
          <cell r="T682">
            <v>9.9433600000000002</v>
          </cell>
          <cell r="U682">
            <v>9.9433600000000002</v>
          </cell>
        </row>
        <row r="683">
          <cell r="B683" t="str">
            <v>V17551-PIND-0493-02</v>
          </cell>
          <cell r="C683" t="str">
            <v>PROD/25-26/13888</v>
          </cell>
          <cell r="D683" t="str">
            <v/>
          </cell>
          <cell r="E683" t="str">
            <v>TJ/25-26/184-P22</v>
          </cell>
          <cell r="F683" t="str">
            <v>P5</v>
          </cell>
          <cell r="G683">
            <v>0</v>
          </cell>
          <cell r="H683">
            <v>2</v>
          </cell>
          <cell r="I683" t="str">
            <v>Yes</v>
          </cell>
          <cell r="J683" t="str">
            <v/>
          </cell>
          <cell r="K683" t="str">
            <v>No</v>
          </cell>
          <cell r="L683" t="str">
            <v/>
          </cell>
          <cell r="M683" t="str">
            <v/>
          </cell>
          <cell r="N683" t="str">
            <v>Spool</v>
          </cell>
          <cell r="O683">
            <v>0</v>
          </cell>
          <cell r="P683">
            <v>0</v>
          </cell>
          <cell r="Q683" t="str">
            <v>P22</v>
          </cell>
          <cell r="R683">
            <v>1</v>
          </cell>
          <cell r="S683">
            <v>1</v>
          </cell>
          <cell r="T683">
            <v>19.81176</v>
          </cell>
          <cell r="U683">
            <v>19.81176</v>
          </cell>
        </row>
        <row r="684">
          <cell r="B684" t="str">
            <v>V17551-PIND-0494-02</v>
          </cell>
          <cell r="C684" t="str">
            <v>PROD/25-26/13889</v>
          </cell>
          <cell r="D684" t="str">
            <v/>
          </cell>
          <cell r="E684" t="str">
            <v>TJ/25-26/184-P22</v>
          </cell>
          <cell r="F684" t="str">
            <v>P5</v>
          </cell>
          <cell r="G684">
            <v>0</v>
          </cell>
          <cell r="H684">
            <v>2</v>
          </cell>
          <cell r="I684" t="str">
            <v>Yes</v>
          </cell>
          <cell r="J684" t="str">
            <v/>
          </cell>
          <cell r="K684" t="str">
            <v>No</v>
          </cell>
          <cell r="L684" t="str">
            <v/>
          </cell>
          <cell r="M684" t="str">
            <v/>
          </cell>
          <cell r="N684" t="str">
            <v>Spool</v>
          </cell>
          <cell r="O684">
            <v>0</v>
          </cell>
          <cell r="P684">
            <v>0</v>
          </cell>
          <cell r="Q684" t="str">
            <v>P22</v>
          </cell>
          <cell r="R684">
            <v>1</v>
          </cell>
          <cell r="S684">
            <v>1</v>
          </cell>
          <cell r="T684">
            <v>8.5145199999999992</v>
          </cell>
          <cell r="U684">
            <v>8.5145199999999992</v>
          </cell>
        </row>
        <row r="685">
          <cell r="B685" t="str">
            <v>V17551-PIND-0495-02</v>
          </cell>
          <cell r="C685" t="str">
            <v>PROD/25-26/13890</v>
          </cell>
          <cell r="D685" t="str">
            <v/>
          </cell>
          <cell r="E685" t="str">
            <v>TJ/25-26/184-CS</v>
          </cell>
          <cell r="F685" t="str">
            <v>P5</v>
          </cell>
          <cell r="G685">
            <v>0</v>
          </cell>
          <cell r="H685">
            <v>2</v>
          </cell>
          <cell r="I685" t="str">
            <v>Yes</v>
          </cell>
          <cell r="J685" t="str">
            <v/>
          </cell>
          <cell r="K685" t="str">
            <v>No</v>
          </cell>
          <cell r="L685" t="str">
            <v/>
          </cell>
          <cell r="M685" t="str">
            <v/>
          </cell>
          <cell r="N685" t="str">
            <v>Spool</v>
          </cell>
          <cell r="O685">
            <v>0</v>
          </cell>
          <cell r="P685">
            <v>0</v>
          </cell>
          <cell r="Q685" t="str">
            <v>CS</v>
          </cell>
          <cell r="R685">
            <v>1</v>
          </cell>
          <cell r="S685">
            <v>1</v>
          </cell>
          <cell r="T685">
            <v>13.4922</v>
          </cell>
          <cell r="U685">
            <v>13.4922</v>
          </cell>
        </row>
        <row r="686">
          <cell r="B686" t="str">
            <v>V17551-PIND-0496-02</v>
          </cell>
          <cell r="C686" t="str">
            <v>PROD/25-26/13891</v>
          </cell>
          <cell r="D686" t="str">
            <v/>
          </cell>
          <cell r="E686" t="str">
            <v>TJ/25-26/184-CS</v>
          </cell>
          <cell r="F686" t="str">
            <v>P5</v>
          </cell>
          <cell r="G686">
            <v>0</v>
          </cell>
          <cell r="H686">
            <v>2</v>
          </cell>
          <cell r="I686" t="str">
            <v>Yes</v>
          </cell>
          <cell r="J686" t="str">
            <v/>
          </cell>
          <cell r="K686" t="str">
            <v>No</v>
          </cell>
          <cell r="L686" t="str">
            <v/>
          </cell>
          <cell r="M686" t="str">
            <v/>
          </cell>
          <cell r="N686" t="str">
            <v>Spool</v>
          </cell>
          <cell r="O686">
            <v>0</v>
          </cell>
          <cell r="P686">
            <v>0</v>
          </cell>
          <cell r="Q686" t="str">
            <v>CS</v>
          </cell>
          <cell r="R686">
            <v>1</v>
          </cell>
          <cell r="S686">
            <v>1</v>
          </cell>
          <cell r="T686">
            <v>22.27908</v>
          </cell>
          <cell r="U686">
            <v>22.27908</v>
          </cell>
        </row>
        <row r="687">
          <cell r="B687" t="str">
            <v>V17551-PIND-0497-02</v>
          </cell>
          <cell r="C687" t="str">
            <v>PROD/25-26/13892</v>
          </cell>
          <cell r="D687" t="str">
            <v/>
          </cell>
          <cell r="E687" t="str">
            <v>TJ/25-26/184-CS</v>
          </cell>
          <cell r="F687" t="str">
            <v>P5</v>
          </cell>
          <cell r="G687">
            <v>0</v>
          </cell>
          <cell r="H687">
            <v>2</v>
          </cell>
          <cell r="I687" t="str">
            <v>Yes</v>
          </cell>
          <cell r="J687" t="str">
            <v/>
          </cell>
          <cell r="K687" t="str">
            <v>No</v>
          </cell>
          <cell r="L687" t="str">
            <v/>
          </cell>
          <cell r="M687" t="str">
            <v/>
          </cell>
          <cell r="N687" t="str">
            <v>Spool</v>
          </cell>
          <cell r="O687">
            <v>0</v>
          </cell>
          <cell r="P687">
            <v>0</v>
          </cell>
          <cell r="Q687" t="str">
            <v>CS</v>
          </cell>
          <cell r="R687">
            <v>1</v>
          </cell>
          <cell r="S687">
            <v>1</v>
          </cell>
          <cell r="T687">
            <v>9.4713600000000007</v>
          </cell>
          <cell r="U687">
            <v>9.4713600000000007</v>
          </cell>
        </row>
        <row r="688">
          <cell r="B688" t="str">
            <v>V17551-PIND-0498-02</v>
          </cell>
          <cell r="C688" t="str">
            <v>PROD/25-26/13893</v>
          </cell>
          <cell r="D688" t="str">
            <v/>
          </cell>
          <cell r="E688" t="str">
            <v>TJ/25-26/184-CS</v>
          </cell>
          <cell r="F688" t="str">
            <v>P5</v>
          </cell>
          <cell r="G688">
            <v>0</v>
          </cell>
          <cell r="H688">
            <v>2</v>
          </cell>
          <cell r="I688" t="str">
            <v>Yes</v>
          </cell>
          <cell r="J688" t="str">
            <v/>
          </cell>
          <cell r="K688" t="str">
            <v>No</v>
          </cell>
          <cell r="L688" t="str">
            <v/>
          </cell>
          <cell r="M688" t="str">
            <v/>
          </cell>
          <cell r="N688" t="str">
            <v>Spool</v>
          </cell>
          <cell r="O688">
            <v>0</v>
          </cell>
          <cell r="P688">
            <v>0</v>
          </cell>
          <cell r="Q688" t="str">
            <v>CS</v>
          </cell>
          <cell r="R688">
            <v>1</v>
          </cell>
          <cell r="S688">
            <v>1</v>
          </cell>
          <cell r="T688">
            <v>1.17012</v>
          </cell>
          <cell r="U688">
            <v>1.17012</v>
          </cell>
        </row>
        <row r="689">
          <cell r="B689" t="str">
            <v>V17551-PIND-0499-02</v>
          </cell>
          <cell r="C689" t="str">
            <v>PROD/25-26/13894</v>
          </cell>
          <cell r="D689" t="str">
            <v/>
          </cell>
          <cell r="E689" t="str">
            <v>TJ/25-26/184-CS</v>
          </cell>
          <cell r="F689" t="str">
            <v>P5</v>
          </cell>
          <cell r="G689">
            <v>0</v>
          </cell>
          <cell r="H689">
            <v>2</v>
          </cell>
          <cell r="I689" t="str">
            <v>Yes</v>
          </cell>
          <cell r="J689" t="str">
            <v/>
          </cell>
          <cell r="K689" t="str">
            <v>No</v>
          </cell>
          <cell r="L689" t="str">
            <v/>
          </cell>
          <cell r="M689" t="str">
            <v/>
          </cell>
          <cell r="N689" t="str">
            <v>Spool</v>
          </cell>
          <cell r="O689">
            <v>0</v>
          </cell>
          <cell r="P689">
            <v>0</v>
          </cell>
          <cell r="Q689" t="str">
            <v>CS</v>
          </cell>
          <cell r="R689">
            <v>1</v>
          </cell>
          <cell r="S689">
            <v>1</v>
          </cell>
          <cell r="T689">
            <v>8.0293200000000002</v>
          </cell>
          <cell r="U689">
            <v>8.0293200000000002</v>
          </cell>
        </row>
        <row r="690">
          <cell r="B690" t="str">
            <v>V17551-PIND-0500-02</v>
          </cell>
          <cell r="C690" t="str">
            <v>PROD/25-26/13895</v>
          </cell>
          <cell r="D690" t="str">
            <v/>
          </cell>
          <cell r="E690" t="str">
            <v>TJ/25-26/184-CS</v>
          </cell>
          <cell r="F690" t="str">
            <v>P5</v>
          </cell>
          <cell r="G690">
            <v>0</v>
          </cell>
          <cell r="H690">
            <v>2</v>
          </cell>
          <cell r="I690" t="str">
            <v>Yes</v>
          </cell>
          <cell r="J690" t="str">
            <v/>
          </cell>
          <cell r="K690" t="str">
            <v>No</v>
          </cell>
          <cell r="L690" t="str">
            <v/>
          </cell>
          <cell r="M690" t="str">
            <v/>
          </cell>
          <cell r="N690" t="str">
            <v>Spool</v>
          </cell>
          <cell r="O690">
            <v>0</v>
          </cell>
          <cell r="P690">
            <v>0</v>
          </cell>
          <cell r="Q690" t="str">
            <v>CS</v>
          </cell>
          <cell r="R690">
            <v>1</v>
          </cell>
          <cell r="S690">
            <v>1</v>
          </cell>
          <cell r="T690">
            <v>9.9417600000000004</v>
          </cell>
          <cell r="U690">
            <v>9.9417600000000004</v>
          </cell>
        </row>
        <row r="691">
          <cell r="B691" t="str">
            <v>V17551-PIND-0501-02</v>
          </cell>
          <cell r="C691" t="str">
            <v>PROD/25-26/13896</v>
          </cell>
          <cell r="D691" t="str">
            <v/>
          </cell>
          <cell r="E691" t="str">
            <v>TJ/25-26/184-CS</v>
          </cell>
          <cell r="F691" t="str">
            <v>P5</v>
          </cell>
          <cell r="G691">
            <v>0</v>
          </cell>
          <cell r="H691">
            <v>2</v>
          </cell>
          <cell r="I691" t="str">
            <v>Yes</v>
          </cell>
          <cell r="J691" t="str">
            <v/>
          </cell>
          <cell r="K691" t="str">
            <v>No</v>
          </cell>
          <cell r="L691" t="str">
            <v/>
          </cell>
          <cell r="M691" t="str">
            <v/>
          </cell>
          <cell r="N691" t="str">
            <v>Spool</v>
          </cell>
          <cell r="O691">
            <v>0</v>
          </cell>
          <cell r="P691">
            <v>0</v>
          </cell>
          <cell r="Q691" t="str">
            <v>CS</v>
          </cell>
          <cell r="R691">
            <v>1</v>
          </cell>
          <cell r="S691">
            <v>1</v>
          </cell>
          <cell r="T691">
            <v>18.993359999999999</v>
          </cell>
          <cell r="U691">
            <v>18.993359999999999</v>
          </cell>
        </row>
        <row r="692">
          <cell r="B692" t="str">
            <v>V17551-PIND-0502-02</v>
          </cell>
          <cell r="C692" t="str">
            <v>PROD/25-26/13897</v>
          </cell>
          <cell r="D692" t="str">
            <v/>
          </cell>
          <cell r="E692" t="str">
            <v>TJ/25-26/184-CS</v>
          </cell>
          <cell r="F692" t="str">
            <v>P5</v>
          </cell>
          <cell r="G692">
            <v>0</v>
          </cell>
          <cell r="H692">
            <v>2</v>
          </cell>
          <cell r="I692" t="str">
            <v>Yes</v>
          </cell>
          <cell r="J692" t="str">
            <v/>
          </cell>
          <cell r="K692" t="str">
            <v>No</v>
          </cell>
          <cell r="L692" t="str">
            <v/>
          </cell>
          <cell r="M692" t="str">
            <v/>
          </cell>
          <cell r="N692" t="str">
            <v>Spool</v>
          </cell>
          <cell r="O692">
            <v>0</v>
          </cell>
          <cell r="P692">
            <v>0</v>
          </cell>
          <cell r="Q692" t="str">
            <v>CS</v>
          </cell>
          <cell r="R692">
            <v>1</v>
          </cell>
          <cell r="S692">
            <v>1</v>
          </cell>
          <cell r="T692">
            <v>4.9100400000000004</v>
          </cell>
          <cell r="U692">
            <v>4.9100400000000004</v>
          </cell>
        </row>
        <row r="693">
          <cell r="B693" t="str">
            <v>V17551-PIND-0503-02</v>
          </cell>
          <cell r="C693" t="str">
            <v>PROD/25-26/13898</v>
          </cell>
          <cell r="D693" t="str">
            <v/>
          </cell>
          <cell r="E693" t="str">
            <v>TJ/25-26/184-CS</v>
          </cell>
          <cell r="F693" t="str">
            <v>P5</v>
          </cell>
          <cell r="G693">
            <v>0</v>
          </cell>
          <cell r="H693">
            <v>2</v>
          </cell>
          <cell r="I693" t="str">
            <v>Yes</v>
          </cell>
          <cell r="J693" t="str">
            <v/>
          </cell>
          <cell r="K693" t="str">
            <v>No</v>
          </cell>
          <cell r="L693" t="str">
            <v/>
          </cell>
          <cell r="M693" t="str">
            <v/>
          </cell>
          <cell r="N693" t="str">
            <v>Spool</v>
          </cell>
          <cell r="O693">
            <v>0</v>
          </cell>
          <cell r="P693">
            <v>0</v>
          </cell>
          <cell r="Q693" t="str">
            <v>CS</v>
          </cell>
          <cell r="R693">
            <v>1</v>
          </cell>
          <cell r="S693">
            <v>1</v>
          </cell>
          <cell r="T693">
            <v>7.3599600000000001</v>
          </cell>
          <cell r="U693">
            <v>7.3599600000000001</v>
          </cell>
        </row>
        <row r="694">
          <cell r="B694" t="str">
            <v>V17551-PIND-0504-02</v>
          </cell>
          <cell r="C694" t="str">
            <v>PROD/25-26/13899</v>
          </cell>
          <cell r="D694" t="str">
            <v/>
          </cell>
          <cell r="E694" t="str">
            <v>TJ/25-26/184-CS</v>
          </cell>
          <cell r="F694" t="str">
            <v>P5</v>
          </cell>
          <cell r="G694">
            <v>0</v>
          </cell>
          <cell r="H694">
            <v>2</v>
          </cell>
          <cell r="I694" t="str">
            <v>Yes</v>
          </cell>
          <cell r="J694" t="str">
            <v/>
          </cell>
          <cell r="K694" t="str">
            <v>No</v>
          </cell>
          <cell r="L694" t="str">
            <v/>
          </cell>
          <cell r="M694" t="str">
            <v/>
          </cell>
          <cell r="N694" t="str">
            <v>Spool</v>
          </cell>
          <cell r="O694">
            <v>0</v>
          </cell>
          <cell r="P694">
            <v>0</v>
          </cell>
          <cell r="Q694" t="str">
            <v>CS</v>
          </cell>
          <cell r="R694">
            <v>1</v>
          </cell>
          <cell r="S694">
            <v>1</v>
          </cell>
          <cell r="T694">
            <v>6.9280799999999996</v>
          </cell>
          <cell r="U694">
            <v>6.9280799999999996</v>
          </cell>
        </row>
        <row r="695">
          <cell r="B695" t="str">
            <v>V17551-PIND-0505-02</v>
          </cell>
          <cell r="C695" t="str">
            <v>PROD/25-26/13900</v>
          </cell>
          <cell r="D695" t="str">
            <v/>
          </cell>
          <cell r="E695" t="str">
            <v>TJ/25-26/184-CS</v>
          </cell>
          <cell r="F695" t="str">
            <v>P5</v>
          </cell>
          <cell r="G695">
            <v>0</v>
          </cell>
          <cell r="H695">
            <v>2</v>
          </cell>
          <cell r="I695" t="str">
            <v>Yes</v>
          </cell>
          <cell r="J695" t="str">
            <v/>
          </cell>
          <cell r="K695" t="str">
            <v>No</v>
          </cell>
          <cell r="L695" t="str">
            <v/>
          </cell>
          <cell r="M695" t="str">
            <v/>
          </cell>
          <cell r="N695" t="str">
            <v>Spool</v>
          </cell>
          <cell r="O695">
            <v>0</v>
          </cell>
          <cell r="P695">
            <v>0</v>
          </cell>
          <cell r="Q695" t="str">
            <v>CS</v>
          </cell>
          <cell r="R695">
            <v>1</v>
          </cell>
          <cell r="S695">
            <v>1</v>
          </cell>
          <cell r="T695">
            <v>4.7706</v>
          </cell>
          <cell r="U695">
            <v>4.7706</v>
          </cell>
        </row>
        <row r="696">
          <cell r="B696" t="str">
            <v>V17551-PIND-0506-02</v>
          </cell>
          <cell r="C696" t="str">
            <v>PROD/25-26/13901</v>
          </cell>
          <cell r="D696" t="str">
            <v/>
          </cell>
          <cell r="E696" t="str">
            <v>TJ/25-26/184-CS</v>
          </cell>
          <cell r="F696" t="str">
            <v>P5</v>
          </cell>
          <cell r="G696">
            <v>0</v>
          </cell>
          <cell r="H696">
            <v>2</v>
          </cell>
          <cell r="I696" t="str">
            <v>Yes</v>
          </cell>
          <cell r="J696" t="str">
            <v/>
          </cell>
          <cell r="K696" t="str">
            <v>No</v>
          </cell>
          <cell r="L696" t="str">
            <v/>
          </cell>
          <cell r="M696" t="str">
            <v/>
          </cell>
          <cell r="N696" t="str">
            <v>Spool</v>
          </cell>
          <cell r="O696">
            <v>0</v>
          </cell>
          <cell r="P696">
            <v>0</v>
          </cell>
          <cell r="Q696" t="str">
            <v>CS</v>
          </cell>
          <cell r="R696">
            <v>1</v>
          </cell>
          <cell r="S696">
            <v>1</v>
          </cell>
          <cell r="T696">
            <v>29.179880000000001</v>
          </cell>
          <cell r="U696">
            <v>29.179880000000001</v>
          </cell>
        </row>
        <row r="697">
          <cell r="B697" t="str">
            <v>V17551-PIND-0507-02</v>
          </cell>
          <cell r="C697" t="str">
            <v>PROD/25-26/13902</v>
          </cell>
          <cell r="D697" t="str">
            <v/>
          </cell>
          <cell r="E697" t="str">
            <v>TJ/25-26/184-CS</v>
          </cell>
          <cell r="F697" t="str">
            <v>P5</v>
          </cell>
          <cell r="G697">
            <v>0</v>
          </cell>
          <cell r="H697">
            <v>2</v>
          </cell>
          <cell r="I697" t="str">
            <v>Yes</v>
          </cell>
          <cell r="J697" t="str">
            <v/>
          </cell>
          <cell r="K697" t="str">
            <v>No</v>
          </cell>
          <cell r="L697" t="str">
            <v/>
          </cell>
          <cell r="M697" t="str">
            <v/>
          </cell>
          <cell r="N697" t="str">
            <v>Spool</v>
          </cell>
          <cell r="O697">
            <v>0</v>
          </cell>
          <cell r="P697">
            <v>0</v>
          </cell>
          <cell r="Q697" t="str">
            <v>CS</v>
          </cell>
          <cell r="R697">
            <v>1</v>
          </cell>
          <cell r="S697">
            <v>1</v>
          </cell>
          <cell r="T697">
            <v>35.717199999999998</v>
          </cell>
          <cell r="U697">
            <v>35.717199999999998</v>
          </cell>
        </row>
        <row r="698">
          <cell r="B698" t="str">
            <v>V17551-PIND-0508-02</v>
          </cell>
          <cell r="C698" t="str">
            <v>PROD/25-26/13903</v>
          </cell>
          <cell r="D698" t="str">
            <v/>
          </cell>
          <cell r="E698" t="str">
            <v>TJ/25-26/184-P11</v>
          </cell>
          <cell r="F698" t="str">
            <v>P5</v>
          </cell>
          <cell r="G698">
            <v>0</v>
          </cell>
          <cell r="H698">
            <v>2</v>
          </cell>
          <cell r="I698" t="str">
            <v>Yes</v>
          </cell>
          <cell r="J698" t="str">
            <v/>
          </cell>
          <cell r="K698" t="str">
            <v>No</v>
          </cell>
          <cell r="L698" t="str">
            <v/>
          </cell>
          <cell r="M698" t="str">
            <v/>
          </cell>
          <cell r="N698" t="str">
            <v>Spool</v>
          </cell>
          <cell r="O698">
            <v>0</v>
          </cell>
          <cell r="P698">
            <v>0</v>
          </cell>
          <cell r="Q698" t="str">
            <v>P11</v>
          </cell>
          <cell r="R698">
            <v>1</v>
          </cell>
          <cell r="S698">
            <v>1</v>
          </cell>
          <cell r="T698">
            <v>15.808160000000001</v>
          </cell>
          <cell r="U698">
            <v>15.808160000000001</v>
          </cell>
        </row>
        <row r="699">
          <cell r="B699" t="str">
            <v>V17551-PIND-0509-02</v>
          </cell>
          <cell r="C699" t="str">
            <v>PROD/25-26/13904</v>
          </cell>
          <cell r="D699" t="str">
            <v/>
          </cell>
          <cell r="E699" t="str">
            <v>TJ/25-26/184-P11</v>
          </cell>
          <cell r="F699" t="str">
            <v>P5</v>
          </cell>
          <cell r="G699">
            <v>0</v>
          </cell>
          <cell r="H699">
            <v>2</v>
          </cell>
          <cell r="I699" t="str">
            <v>Yes</v>
          </cell>
          <cell r="J699" t="str">
            <v/>
          </cell>
          <cell r="K699" t="str">
            <v>No</v>
          </cell>
          <cell r="L699" t="str">
            <v/>
          </cell>
          <cell r="M699" t="str">
            <v/>
          </cell>
          <cell r="N699" t="str">
            <v>Spool</v>
          </cell>
          <cell r="O699">
            <v>0</v>
          </cell>
          <cell r="P699">
            <v>0</v>
          </cell>
          <cell r="Q699" t="str">
            <v>P11</v>
          </cell>
          <cell r="R699">
            <v>1</v>
          </cell>
          <cell r="S699">
            <v>1</v>
          </cell>
          <cell r="T699">
            <v>11.6022</v>
          </cell>
          <cell r="U699">
            <v>11.6022</v>
          </cell>
        </row>
        <row r="700">
          <cell r="B700" t="str">
            <v>V17551-PIND-0510-02</v>
          </cell>
          <cell r="C700" t="str">
            <v>PROD/25-26/13905</v>
          </cell>
          <cell r="D700" t="str">
            <v/>
          </cell>
          <cell r="E700" t="str">
            <v>TJ/25-26/184-CS</v>
          </cell>
          <cell r="F700" t="str">
            <v>P5</v>
          </cell>
          <cell r="G700">
            <v>0</v>
          </cell>
          <cell r="H700">
            <v>2</v>
          </cell>
          <cell r="I700" t="str">
            <v>Yes</v>
          </cell>
          <cell r="J700" t="str">
            <v/>
          </cell>
          <cell r="K700" t="str">
            <v>No</v>
          </cell>
          <cell r="L700" t="str">
            <v/>
          </cell>
          <cell r="M700" t="str">
            <v/>
          </cell>
          <cell r="N700" t="str">
            <v>Spool</v>
          </cell>
          <cell r="O700">
            <v>0</v>
          </cell>
          <cell r="P700">
            <v>0</v>
          </cell>
          <cell r="Q700" t="str">
            <v>CS</v>
          </cell>
          <cell r="R700">
            <v>1</v>
          </cell>
          <cell r="S700">
            <v>1</v>
          </cell>
          <cell r="T700">
            <v>8.4410399999999992</v>
          </cell>
          <cell r="U700">
            <v>8.4410399999999992</v>
          </cell>
        </row>
        <row r="701">
          <cell r="B701" t="str">
            <v>V17551-PIND-0511-02</v>
          </cell>
          <cell r="C701" t="str">
            <v>PROD/25-26/13906</v>
          </cell>
          <cell r="D701" t="str">
            <v/>
          </cell>
          <cell r="E701" t="str">
            <v>TJ/25-26/184-CS</v>
          </cell>
          <cell r="F701" t="str">
            <v>P5</v>
          </cell>
          <cell r="G701">
            <v>0</v>
          </cell>
          <cell r="H701">
            <v>2</v>
          </cell>
          <cell r="I701" t="str">
            <v>Yes</v>
          </cell>
          <cell r="J701" t="str">
            <v/>
          </cell>
          <cell r="K701" t="str">
            <v>No</v>
          </cell>
          <cell r="L701" t="str">
            <v/>
          </cell>
          <cell r="M701" t="str">
            <v/>
          </cell>
          <cell r="N701" t="str">
            <v>Spool</v>
          </cell>
          <cell r="O701">
            <v>0</v>
          </cell>
          <cell r="P701">
            <v>0</v>
          </cell>
          <cell r="Q701" t="str">
            <v>CS</v>
          </cell>
          <cell r="R701">
            <v>1</v>
          </cell>
          <cell r="S701">
            <v>1</v>
          </cell>
          <cell r="T701">
            <v>12.20232</v>
          </cell>
          <cell r="U701">
            <v>12.20232</v>
          </cell>
        </row>
        <row r="702">
          <cell r="B702" t="str">
            <v>V17551-PIND-0512-02</v>
          </cell>
          <cell r="C702" t="str">
            <v>PROD/25-26/13907</v>
          </cell>
          <cell r="D702" t="str">
            <v/>
          </cell>
          <cell r="E702" t="str">
            <v>TJ/25-26/184-CS</v>
          </cell>
          <cell r="F702" t="str">
            <v>P5</v>
          </cell>
          <cell r="G702">
            <v>0</v>
          </cell>
          <cell r="H702">
            <v>2</v>
          </cell>
          <cell r="I702" t="str">
            <v>Yes</v>
          </cell>
          <cell r="J702" t="str">
            <v/>
          </cell>
          <cell r="K702" t="str">
            <v>No</v>
          </cell>
          <cell r="L702" t="str">
            <v/>
          </cell>
          <cell r="M702" t="str">
            <v/>
          </cell>
          <cell r="N702" t="str">
            <v>Spool</v>
          </cell>
          <cell r="O702">
            <v>0</v>
          </cell>
          <cell r="P702">
            <v>0</v>
          </cell>
          <cell r="Q702" t="str">
            <v>CS</v>
          </cell>
          <cell r="R702">
            <v>1</v>
          </cell>
          <cell r="S702">
            <v>1</v>
          </cell>
          <cell r="T702">
            <v>15.19228</v>
          </cell>
          <cell r="U702">
            <v>15.19228</v>
          </cell>
        </row>
        <row r="703">
          <cell r="B703" t="str">
            <v>V17551-PIND-0513-02</v>
          </cell>
          <cell r="C703" t="str">
            <v>PROD/25-26/13908</v>
          </cell>
          <cell r="D703" t="str">
            <v/>
          </cell>
          <cell r="E703" t="str">
            <v>TJ/25-26/184-CS</v>
          </cell>
          <cell r="F703" t="str">
            <v>P5</v>
          </cell>
          <cell r="G703">
            <v>0</v>
          </cell>
          <cell r="H703">
            <v>2</v>
          </cell>
          <cell r="I703" t="str">
            <v>Yes</v>
          </cell>
          <cell r="J703" t="str">
            <v/>
          </cell>
          <cell r="K703" t="str">
            <v>No</v>
          </cell>
          <cell r="L703" t="str">
            <v/>
          </cell>
          <cell r="M703" t="str">
            <v/>
          </cell>
          <cell r="N703" t="str">
            <v>Spool</v>
          </cell>
          <cell r="O703">
            <v>0</v>
          </cell>
          <cell r="P703">
            <v>0</v>
          </cell>
          <cell r="Q703" t="str">
            <v>CS</v>
          </cell>
          <cell r="R703">
            <v>1</v>
          </cell>
          <cell r="S703">
            <v>1</v>
          </cell>
          <cell r="T703">
            <v>45.6</v>
          </cell>
          <cell r="U703">
            <v>45.6</v>
          </cell>
        </row>
        <row r="704">
          <cell r="B704" t="str">
            <v>V17551-PIND-0515-02</v>
          </cell>
          <cell r="C704" t="str">
            <v>PROD/25-26/14121</v>
          </cell>
          <cell r="D704" t="str">
            <v/>
          </cell>
          <cell r="E704" t="str">
            <v>TJ/25-26/184-CS</v>
          </cell>
          <cell r="F704" t="str">
            <v>P5</v>
          </cell>
          <cell r="G704">
            <v>0</v>
          </cell>
          <cell r="H704">
            <v>2</v>
          </cell>
          <cell r="I704" t="str">
            <v>Yes</v>
          </cell>
          <cell r="J704" t="str">
            <v/>
          </cell>
          <cell r="K704" t="str">
            <v>No</v>
          </cell>
          <cell r="L704" t="str">
            <v/>
          </cell>
          <cell r="M704" t="str">
            <v/>
          </cell>
          <cell r="N704" t="str">
            <v>Spool</v>
          </cell>
          <cell r="O704">
            <v>0</v>
          </cell>
          <cell r="P704">
            <v>0</v>
          </cell>
          <cell r="Q704" t="str">
            <v>CS</v>
          </cell>
          <cell r="R704">
            <v>1</v>
          </cell>
          <cell r="S704">
            <v>1</v>
          </cell>
          <cell r="T704">
            <v>38.475079999999998</v>
          </cell>
          <cell r="U704">
            <v>38.475079999999998</v>
          </cell>
        </row>
        <row r="705">
          <cell r="B705" t="str">
            <v>V17551-PIND-0516-02</v>
          </cell>
          <cell r="C705" t="str">
            <v>PROD/25-26/13911</v>
          </cell>
          <cell r="D705" t="str">
            <v/>
          </cell>
          <cell r="E705" t="str">
            <v>TJ/25-26/184-CS</v>
          </cell>
          <cell r="F705" t="str">
            <v>P5</v>
          </cell>
          <cell r="G705">
            <v>0</v>
          </cell>
          <cell r="H705">
            <v>2</v>
          </cell>
          <cell r="I705" t="str">
            <v>Yes</v>
          </cell>
          <cell r="J705" t="str">
            <v/>
          </cell>
          <cell r="K705" t="str">
            <v>No</v>
          </cell>
          <cell r="L705" t="str">
            <v/>
          </cell>
          <cell r="M705" t="str">
            <v/>
          </cell>
          <cell r="N705" t="str">
            <v>Spool</v>
          </cell>
          <cell r="O705">
            <v>0</v>
          </cell>
          <cell r="P705">
            <v>0</v>
          </cell>
          <cell r="Q705" t="str">
            <v>CS</v>
          </cell>
          <cell r="R705">
            <v>1</v>
          </cell>
          <cell r="S705">
            <v>1</v>
          </cell>
          <cell r="T705">
            <v>2.3818800000000002</v>
          </cell>
          <cell r="U705">
            <v>2.3818800000000002</v>
          </cell>
        </row>
        <row r="706">
          <cell r="B706" t="str">
            <v>V17551-PIND-0517-02</v>
          </cell>
          <cell r="C706" t="str">
            <v>PROD/25-26/13912</v>
          </cell>
          <cell r="D706" t="str">
            <v/>
          </cell>
          <cell r="E706" t="str">
            <v>TJ/25-26/184-CS</v>
          </cell>
          <cell r="F706" t="str">
            <v>P5</v>
          </cell>
          <cell r="G706">
            <v>0</v>
          </cell>
          <cell r="H706">
            <v>2</v>
          </cell>
          <cell r="I706" t="str">
            <v>Yes</v>
          </cell>
          <cell r="J706" t="str">
            <v/>
          </cell>
          <cell r="K706" t="str">
            <v>No</v>
          </cell>
          <cell r="L706" t="str">
            <v/>
          </cell>
          <cell r="M706" t="str">
            <v/>
          </cell>
          <cell r="N706" t="str">
            <v>Spool</v>
          </cell>
          <cell r="O706">
            <v>0</v>
          </cell>
          <cell r="P706">
            <v>0</v>
          </cell>
          <cell r="Q706" t="str">
            <v>CS</v>
          </cell>
          <cell r="R706">
            <v>1</v>
          </cell>
          <cell r="S706">
            <v>1</v>
          </cell>
          <cell r="T706">
            <v>20.671800000000001</v>
          </cell>
          <cell r="U706">
            <v>20.671800000000001</v>
          </cell>
        </row>
        <row r="707">
          <cell r="B707" t="str">
            <v>V17551-PIND-0518-02</v>
          </cell>
          <cell r="C707" t="str">
            <v>PROD/25-26/13913</v>
          </cell>
          <cell r="D707" t="str">
            <v/>
          </cell>
          <cell r="E707" t="str">
            <v>TJ/25-26/184-CS</v>
          </cell>
          <cell r="F707" t="str">
            <v>P5</v>
          </cell>
          <cell r="G707">
            <v>0</v>
          </cell>
          <cell r="H707">
            <v>2</v>
          </cell>
          <cell r="I707" t="str">
            <v>Yes</v>
          </cell>
          <cell r="J707" t="str">
            <v/>
          </cell>
          <cell r="K707" t="str">
            <v>No</v>
          </cell>
          <cell r="L707" t="str">
            <v/>
          </cell>
          <cell r="M707" t="str">
            <v/>
          </cell>
          <cell r="N707" t="str">
            <v>Spool</v>
          </cell>
          <cell r="O707">
            <v>0</v>
          </cell>
          <cell r="P707">
            <v>0</v>
          </cell>
          <cell r="Q707" t="str">
            <v>CS</v>
          </cell>
          <cell r="R707">
            <v>1</v>
          </cell>
          <cell r="S707">
            <v>1</v>
          </cell>
          <cell r="T707">
            <v>18.993359999999999</v>
          </cell>
          <cell r="U707">
            <v>18.993359999999999</v>
          </cell>
        </row>
        <row r="708">
          <cell r="B708" t="str">
            <v>V17551-PIND-0519-02</v>
          </cell>
          <cell r="C708" t="str">
            <v>PROD/25-26/14122</v>
          </cell>
          <cell r="D708" t="str">
            <v/>
          </cell>
          <cell r="E708" t="str">
            <v>TJ/25-26/184-P11</v>
          </cell>
          <cell r="F708" t="str">
            <v>P5</v>
          </cell>
          <cell r="G708">
            <v>0</v>
          </cell>
          <cell r="H708">
            <v>2</v>
          </cell>
          <cell r="I708" t="str">
            <v>Yes</v>
          </cell>
          <cell r="J708" t="str">
            <v/>
          </cell>
          <cell r="K708" t="str">
            <v>No</v>
          </cell>
          <cell r="L708" t="str">
            <v/>
          </cell>
          <cell r="M708" t="str">
            <v/>
          </cell>
          <cell r="N708" t="str">
            <v>Spool</v>
          </cell>
          <cell r="O708">
            <v>0</v>
          </cell>
          <cell r="P708">
            <v>0</v>
          </cell>
          <cell r="Q708" t="str">
            <v>P11</v>
          </cell>
          <cell r="R708">
            <v>1</v>
          </cell>
          <cell r="S708">
            <v>1</v>
          </cell>
          <cell r="T708">
            <v>12.28628</v>
          </cell>
          <cell r="U708">
            <v>12.28628</v>
          </cell>
        </row>
        <row r="709">
          <cell r="B709" t="str">
            <v>V17551-PIND-0520-02</v>
          </cell>
          <cell r="C709" t="str">
            <v>PROD/25-26/13915</v>
          </cell>
          <cell r="D709" t="str">
            <v/>
          </cell>
          <cell r="E709" t="str">
            <v>TJ/25-26/184-CS</v>
          </cell>
          <cell r="F709" t="str">
            <v>P5</v>
          </cell>
          <cell r="G709">
            <v>0</v>
          </cell>
          <cell r="H709">
            <v>2</v>
          </cell>
          <cell r="I709" t="str">
            <v>Yes</v>
          </cell>
          <cell r="J709" t="str">
            <v/>
          </cell>
          <cell r="K709" t="str">
            <v>No</v>
          </cell>
          <cell r="L709" t="str">
            <v/>
          </cell>
          <cell r="M709" t="str">
            <v/>
          </cell>
          <cell r="N709" t="str">
            <v>Spool</v>
          </cell>
          <cell r="O709">
            <v>0</v>
          </cell>
          <cell r="P709">
            <v>0</v>
          </cell>
          <cell r="Q709" t="str">
            <v>CS</v>
          </cell>
          <cell r="R709">
            <v>1</v>
          </cell>
          <cell r="S709">
            <v>1</v>
          </cell>
          <cell r="T709">
            <v>9.9893999999999998</v>
          </cell>
          <cell r="U709">
            <v>9.9893999999999998</v>
          </cell>
        </row>
        <row r="710">
          <cell r="B710" t="str">
            <v>V17551-PIND-0522-02</v>
          </cell>
          <cell r="C710" t="str">
            <v>PROD/25-26/13917</v>
          </cell>
          <cell r="D710" t="str">
            <v/>
          </cell>
          <cell r="E710" t="str">
            <v>TJ/25-26/184-CS</v>
          </cell>
          <cell r="F710" t="str">
            <v>P5</v>
          </cell>
          <cell r="G710">
            <v>0</v>
          </cell>
          <cell r="H710">
            <v>2</v>
          </cell>
          <cell r="I710" t="str">
            <v>Yes</v>
          </cell>
          <cell r="J710" t="str">
            <v/>
          </cell>
          <cell r="K710" t="str">
            <v>No</v>
          </cell>
          <cell r="L710" t="str">
            <v/>
          </cell>
          <cell r="M710" t="str">
            <v/>
          </cell>
          <cell r="N710" t="str">
            <v>Spool</v>
          </cell>
          <cell r="O710">
            <v>0</v>
          </cell>
          <cell r="P710">
            <v>0</v>
          </cell>
          <cell r="Q710" t="str">
            <v>CS</v>
          </cell>
          <cell r="R710">
            <v>1</v>
          </cell>
          <cell r="S710">
            <v>1</v>
          </cell>
          <cell r="T710">
            <v>7.0571999999999999</v>
          </cell>
          <cell r="U710">
            <v>7.0571999999999999</v>
          </cell>
        </row>
        <row r="711">
          <cell r="B711" t="str">
            <v>V17551-PIND-0523-02</v>
          </cell>
          <cell r="C711" t="str">
            <v>PROD/25-26/13918</v>
          </cell>
          <cell r="D711" t="str">
            <v/>
          </cell>
          <cell r="E711" t="str">
            <v>TJ/25-26/184-CS</v>
          </cell>
          <cell r="F711" t="str">
            <v>P5</v>
          </cell>
          <cell r="G711">
            <v>0</v>
          </cell>
          <cell r="H711">
            <v>2</v>
          </cell>
          <cell r="I711" t="str">
            <v>Yes</v>
          </cell>
          <cell r="J711" t="str">
            <v/>
          </cell>
          <cell r="K711" t="str">
            <v>No</v>
          </cell>
          <cell r="L711" t="str">
            <v/>
          </cell>
          <cell r="M711" t="str">
            <v/>
          </cell>
          <cell r="N711" t="str">
            <v>Spool</v>
          </cell>
          <cell r="O711">
            <v>0</v>
          </cell>
          <cell r="P711">
            <v>0</v>
          </cell>
          <cell r="Q711" t="str">
            <v>CS</v>
          </cell>
          <cell r="R711">
            <v>1</v>
          </cell>
          <cell r="S711">
            <v>1</v>
          </cell>
          <cell r="T711">
            <v>2.3416999999999999</v>
          </cell>
          <cell r="U711">
            <v>2.3416999999999999</v>
          </cell>
        </row>
        <row r="712">
          <cell r="B712" t="str">
            <v>V17551-PIND-0524-02</v>
          </cell>
          <cell r="C712" t="str">
            <v>PROD/25-26/13919</v>
          </cell>
          <cell r="D712" t="str">
            <v/>
          </cell>
          <cell r="E712" t="str">
            <v>TJ/25-26/184-CS</v>
          </cell>
          <cell r="F712" t="str">
            <v>P5</v>
          </cell>
          <cell r="G712">
            <v>0</v>
          </cell>
          <cell r="H712">
            <v>2</v>
          </cell>
          <cell r="I712" t="str">
            <v>Yes</v>
          </cell>
          <cell r="J712" t="str">
            <v/>
          </cell>
          <cell r="K712" t="str">
            <v>No</v>
          </cell>
          <cell r="L712" t="str">
            <v/>
          </cell>
          <cell r="M712" t="str">
            <v/>
          </cell>
          <cell r="N712" t="str">
            <v>Spool</v>
          </cell>
          <cell r="O712">
            <v>0</v>
          </cell>
          <cell r="P712">
            <v>0</v>
          </cell>
          <cell r="Q712" t="str">
            <v>CS</v>
          </cell>
          <cell r="R712">
            <v>1</v>
          </cell>
          <cell r="S712">
            <v>1</v>
          </cell>
          <cell r="T712">
            <v>2.26132</v>
          </cell>
          <cell r="U712">
            <v>2.26132</v>
          </cell>
        </row>
        <row r="713">
          <cell r="B713" t="str">
            <v>V17551-PIND-0528-02</v>
          </cell>
          <cell r="C713" t="str">
            <v>PROD/25-26/13923</v>
          </cell>
          <cell r="D713" t="str">
            <v/>
          </cell>
          <cell r="E713" t="str">
            <v>TJ/25-26/184-91</v>
          </cell>
          <cell r="F713" t="str">
            <v>P1</v>
          </cell>
          <cell r="G713">
            <v>0</v>
          </cell>
          <cell r="H713">
            <v>2</v>
          </cell>
          <cell r="I713" t="str">
            <v>Yes</v>
          </cell>
          <cell r="J713" t="str">
            <v/>
          </cell>
          <cell r="K713" t="str">
            <v>No</v>
          </cell>
          <cell r="L713" t="str">
            <v/>
          </cell>
          <cell r="M713" t="str">
            <v/>
          </cell>
          <cell r="N713" t="str">
            <v>Spool</v>
          </cell>
          <cell r="O713">
            <v>0</v>
          </cell>
          <cell r="P713">
            <v>0</v>
          </cell>
          <cell r="Q713" t="str">
            <v>CS</v>
          </cell>
          <cell r="R713">
            <v>1</v>
          </cell>
          <cell r="S713">
            <v>1</v>
          </cell>
          <cell r="T713">
            <v>5.3445999999999998</v>
          </cell>
          <cell r="U713">
            <v>5.3445999999999998</v>
          </cell>
        </row>
        <row r="714">
          <cell r="B714" t="str">
            <v>V17551-PIND-0529-02</v>
          </cell>
          <cell r="C714" t="str">
            <v>PROD/25-26/13924</v>
          </cell>
          <cell r="D714" t="str">
            <v/>
          </cell>
          <cell r="E714" t="str">
            <v>TJ/25-26/184-CS</v>
          </cell>
          <cell r="F714" t="str">
            <v>P1</v>
          </cell>
          <cell r="G714">
            <v>0</v>
          </cell>
          <cell r="H714">
            <v>2</v>
          </cell>
          <cell r="I714" t="str">
            <v>Yes</v>
          </cell>
          <cell r="J714" t="str">
            <v/>
          </cell>
          <cell r="K714" t="str">
            <v>No</v>
          </cell>
          <cell r="L714" t="str">
            <v/>
          </cell>
          <cell r="M714" t="str">
            <v/>
          </cell>
          <cell r="N714" t="str">
            <v>Spool</v>
          </cell>
          <cell r="O714">
            <v>0</v>
          </cell>
          <cell r="P714">
            <v>0</v>
          </cell>
          <cell r="Q714" t="str">
            <v>CS</v>
          </cell>
          <cell r="R714">
            <v>1</v>
          </cell>
          <cell r="S714">
            <v>1</v>
          </cell>
          <cell r="T714">
            <v>7.2543199999999999</v>
          </cell>
          <cell r="U714">
            <v>7.2543199999999999</v>
          </cell>
        </row>
        <row r="715">
          <cell r="B715" t="str">
            <v>V17551-PIND-0530-02</v>
          </cell>
          <cell r="C715" t="str">
            <v>PROD/25-26/13925</v>
          </cell>
          <cell r="D715" t="str">
            <v/>
          </cell>
          <cell r="E715" t="str">
            <v>TJ/25-26/184-CS</v>
          </cell>
          <cell r="F715" t="str">
            <v>P1</v>
          </cell>
          <cell r="G715">
            <v>0</v>
          </cell>
          <cell r="H715">
            <v>2</v>
          </cell>
          <cell r="I715" t="str">
            <v>Yes</v>
          </cell>
          <cell r="J715" t="str">
            <v/>
          </cell>
          <cell r="K715" t="str">
            <v>No</v>
          </cell>
          <cell r="L715" t="str">
            <v/>
          </cell>
          <cell r="M715" t="str">
            <v/>
          </cell>
          <cell r="N715" t="str">
            <v>Spool</v>
          </cell>
          <cell r="O715">
            <v>0</v>
          </cell>
          <cell r="P715">
            <v>0</v>
          </cell>
          <cell r="Q715" t="str">
            <v>CS</v>
          </cell>
          <cell r="R715">
            <v>1</v>
          </cell>
          <cell r="S715">
            <v>1</v>
          </cell>
          <cell r="T715">
            <v>10.748620000000001</v>
          </cell>
          <cell r="U715">
            <v>10.748620000000001</v>
          </cell>
        </row>
        <row r="716">
          <cell r="B716" t="str">
            <v>V17551-PIND-0536-02</v>
          </cell>
          <cell r="C716" t="str">
            <v>PROD/25-26/13926</v>
          </cell>
          <cell r="D716" t="str">
            <v/>
          </cell>
          <cell r="E716" t="str">
            <v>TJ/25-26/184-CS</v>
          </cell>
          <cell r="F716" t="str">
            <v>P5</v>
          </cell>
          <cell r="G716">
            <v>0</v>
          </cell>
          <cell r="H716">
            <v>2</v>
          </cell>
          <cell r="I716" t="str">
            <v>Yes</v>
          </cell>
          <cell r="J716" t="str">
            <v/>
          </cell>
          <cell r="K716" t="str">
            <v>No</v>
          </cell>
          <cell r="L716" t="str">
            <v/>
          </cell>
          <cell r="M716" t="str">
            <v/>
          </cell>
          <cell r="N716" t="str">
            <v>Spool</v>
          </cell>
          <cell r="O716">
            <v>0</v>
          </cell>
          <cell r="P716">
            <v>0</v>
          </cell>
          <cell r="Q716" t="str">
            <v>CS</v>
          </cell>
          <cell r="R716">
            <v>1</v>
          </cell>
          <cell r="S716">
            <v>1</v>
          </cell>
          <cell r="T716">
            <v>6.2914300000000001</v>
          </cell>
          <cell r="U716">
            <v>6.2914300000000001</v>
          </cell>
        </row>
        <row r="717">
          <cell r="B717" t="str">
            <v>V17551-PIND-0537-02</v>
          </cell>
          <cell r="C717" t="str">
            <v>PROD/25-26/13927</v>
          </cell>
          <cell r="D717" t="str">
            <v/>
          </cell>
          <cell r="E717" t="str">
            <v>TJ/25-26/184-CS</v>
          </cell>
          <cell r="F717" t="str">
            <v>P5</v>
          </cell>
          <cell r="G717">
            <v>0</v>
          </cell>
          <cell r="H717">
            <v>2</v>
          </cell>
          <cell r="I717" t="str">
            <v>Yes</v>
          </cell>
          <cell r="J717" t="str">
            <v/>
          </cell>
          <cell r="K717" t="str">
            <v>No</v>
          </cell>
          <cell r="L717" t="str">
            <v/>
          </cell>
          <cell r="M717" t="str">
            <v/>
          </cell>
          <cell r="N717" t="str">
            <v>Spool</v>
          </cell>
          <cell r="O717">
            <v>0</v>
          </cell>
          <cell r="P717">
            <v>0</v>
          </cell>
          <cell r="Q717" t="str">
            <v>CS</v>
          </cell>
          <cell r="R717">
            <v>1</v>
          </cell>
          <cell r="S717">
            <v>1</v>
          </cell>
          <cell r="T717">
            <v>10.27319</v>
          </cell>
          <cell r="U717">
            <v>10.27319</v>
          </cell>
        </row>
        <row r="718">
          <cell r="B718" t="str">
            <v>V17551-PIND-0538-02</v>
          </cell>
          <cell r="C718" t="str">
            <v>PROD/25-26/13928</v>
          </cell>
          <cell r="D718" t="str">
            <v/>
          </cell>
          <cell r="E718" t="str">
            <v>TJ/25-26/184-P22</v>
          </cell>
          <cell r="F718" t="str">
            <v>P5</v>
          </cell>
          <cell r="G718">
            <v>0</v>
          </cell>
          <cell r="H718">
            <v>2</v>
          </cell>
          <cell r="I718" t="str">
            <v>Yes</v>
          </cell>
          <cell r="J718" t="str">
            <v/>
          </cell>
          <cell r="K718" t="str">
            <v>No</v>
          </cell>
          <cell r="L718" t="str">
            <v/>
          </cell>
          <cell r="M718" t="str">
            <v/>
          </cell>
          <cell r="N718" t="str">
            <v>Spool</v>
          </cell>
          <cell r="O718">
            <v>0</v>
          </cell>
          <cell r="P718">
            <v>0</v>
          </cell>
          <cell r="Q718" t="str">
            <v>P22</v>
          </cell>
          <cell r="R718">
            <v>1</v>
          </cell>
          <cell r="S718">
            <v>1</v>
          </cell>
          <cell r="T718">
            <v>28.80057</v>
          </cell>
          <cell r="U718">
            <v>28.80057</v>
          </cell>
        </row>
        <row r="719">
          <cell r="B719" t="str">
            <v>V17551-PIND-0543-02</v>
          </cell>
          <cell r="C719" t="str">
            <v>PROD/25-26/13931</v>
          </cell>
          <cell r="D719" t="str">
            <v/>
          </cell>
          <cell r="E719" t="str">
            <v>TJ/25-26/184-P91</v>
          </cell>
          <cell r="F719" t="str">
            <v>P5</v>
          </cell>
          <cell r="G719">
            <v>0</v>
          </cell>
          <cell r="H719">
            <v>2</v>
          </cell>
          <cell r="I719" t="str">
            <v>Yes</v>
          </cell>
          <cell r="J719" t="str">
            <v/>
          </cell>
          <cell r="K719" t="str">
            <v>No</v>
          </cell>
          <cell r="L719" t="str">
            <v/>
          </cell>
          <cell r="M719" t="str">
            <v/>
          </cell>
          <cell r="N719" t="str">
            <v>Spool</v>
          </cell>
          <cell r="O719">
            <v>0</v>
          </cell>
          <cell r="P719">
            <v>0</v>
          </cell>
          <cell r="Q719" t="str">
            <v>P91</v>
          </cell>
          <cell r="R719">
            <v>1</v>
          </cell>
          <cell r="S719">
            <v>1</v>
          </cell>
          <cell r="T719">
            <v>3.4809999999999999</v>
          </cell>
          <cell r="U719">
            <v>3.4809999999999999</v>
          </cell>
        </row>
        <row r="720">
          <cell r="B720" t="str">
            <v>V17551-PIND-0544-02</v>
          </cell>
          <cell r="C720" t="str">
            <v>PROD/25-26/13932</v>
          </cell>
          <cell r="D720" t="str">
            <v/>
          </cell>
          <cell r="E720" t="str">
            <v>TJ/25-26/184-P91</v>
          </cell>
          <cell r="F720" t="str">
            <v>P5</v>
          </cell>
          <cell r="G720">
            <v>0</v>
          </cell>
          <cell r="H720">
            <v>2</v>
          </cell>
          <cell r="I720" t="str">
            <v>Yes</v>
          </cell>
          <cell r="J720" t="str">
            <v/>
          </cell>
          <cell r="K720" t="str">
            <v>No</v>
          </cell>
          <cell r="L720" t="str">
            <v/>
          </cell>
          <cell r="M720" t="str">
            <v/>
          </cell>
          <cell r="N720" t="str">
            <v>Spool</v>
          </cell>
          <cell r="O720">
            <v>0</v>
          </cell>
          <cell r="P720">
            <v>0</v>
          </cell>
          <cell r="Q720" t="str">
            <v>P22</v>
          </cell>
          <cell r="R720">
            <v>1</v>
          </cell>
          <cell r="S720">
            <v>1</v>
          </cell>
          <cell r="T720">
            <v>57.375839999999997</v>
          </cell>
          <cell r="U720">
            <v>57.375839999999997</v>
          </cell>
        </row>
        <row r="721">
          <cell r="B721" t="str">
            <v>V17551-PIND-0545-02</v>
          </cell>
          <cell r="C721" t="str">
            <v>PROD/25-26/13933</v>
          </cell>
          <cell r="D721" t="str">
            <v/>
          </cell>
          <cell r="E721" t="str">
            <v>TJ/25-26/184-CS</v>
          </cell>
          <cell r="F721" t="str">
            <v>P5</v>
          </cell>
          <cell r="G721">
            <v>0</v>
          </cell>
          <cell r="H721">
            <v>2</v>
          </cell>
          <cell r="I721" t="str">
            <v>Yes</v>
          </cell>
          <cell r="J721" t="str">
            <v/>
          </cell>
          <cell r="K721" t="str">
            <v>No</v>
          </cell>
          <cell r="L721" t="str">
            <v/>
          </cell>
          <cell r="M721" t="str">
            <v/>
          </cell>
          <cell r="N721" t="str">
            <v>Spool</v>
          </cell>
          <cell r="O721">
            <v>0</v>
          </cell>
          <cell r="P721">
            <v>0</v>
          </cell>
          <cell r="Q721" t="str">
            <v>CS</v>
          </cell>
          <cell r="R721">
            <v>1</v>
          </cell>
          <cell r="S721">
            <v>1</v>
          </cell>
          <cell r="T721">
            <v>7.4217199999999997</v>
          </cell>
          <cell r="U721">
            <v>7.4217199999999997</v>
          </cell>
        </row>
        <row r="722">
          <cell r="B722" t="str">
            <v>V17551-PIND-0556-02</v>
          </cell>
          <cell r="C722" t="str">
            <v>PROD/25-26/14125</v>
          </cell>
          <cell r="D722" t="str">
            <v/>
          </cell>
          <cell r="E722" t="str">
            <v>TJ/25-26/184-CS</v>
          </cell>
          <cell r="F722" t="str">
            <v>P5</v>
          </cell>
          <cell r="G722">
            <v>0</v>
          </cell>
          <cell r="H722">
            <v>2</v>
          </cell>
          <cell r="I722" t="str">
            <v>Yes</v>
          </cell>
          <cell r="J722" t="str">
            <v/>
          </cell>
          <cell r="K722" t="str">
            <v>No</v>
          </cell>
          <cell r="L722" t="str">
            <v/>
          </cell>
          <cell r="M722" t="str">
            <v/>
          </cell>
          <cell r="N722" t="str">
            <v>Spool</v>
          </cell>
          <cell r="O722">
            <v>0</v>
          </cell>
          <cell r="P722">
            <v>0</v>
          </cell>
          <cell r="Q722" t="str">
            <v>CS</v>
          </cell>
          <cell r="R722">
            <v>1</v>
          </cell>
          <cell r="S722">
            <v>1</v>
          </cell>
          <cell r="T722">
            <v>64.264840000000007</v>
          </cell>
          <cell r="U722">
            <v>64.264840000000007</v>
          </cell>
        </row>
        <row r="723">
          <cell r="B723" t="str">
            <v>V17551-PIND-0557-02</v>
          </cell>
          <cell r="C723" t="str">
            <v>PROD/25-26/13941</v>
          </cell>
          <cell r="D723" t="str">
            <v/>
          </cell>
          <cell r="E723" t="str">
            <v>TJ/25-26/184-CS</v>
          </cell>
          <cell r="F723" t="str">
            <v>P5</v>
          </cell>
          <cell r="G723">
            <v>0</v>
          </cell>
          <cell r="H723">
            <v>2</v>
          </cell>
          <cell r="I723" t="str">
            <v>Yes</v>
          </cell>
          <cell r="J723" t="str">
            <v/>
          </cell>
          <cell r="K723" t="str">
            <v>No</v>
          </cell>
          <cell r="L723" t="str">
            <v/>
          </cell>
          <cell r="M723" t="str">
            <v/>
          </cell>
          <cell r="N723" t="str">
            <v>Spool</v>
          </cell>
          <cell r="O723">
            <v>0</v>
          </cell>
          <cell r="P723">
            <v>0</v>
          </cell>
          <cell r="Q723" t="str">
            <v>CS</v>
          </cell>
          <cell r="R723">
            <v>1</v>
          </cell>
          <cell r="S723">
            <v>1</v>
          </cell>
          <cell r="T723">
            <v>19.82376</v>
          </cell>
          <cell r="U723">
            <v>19.82376</v>
          </cell>
        </row>
        <row r="724">
          <cell r="B724" t="str">
            <v>V17551-PIND-0560-02</v>
          </cell>
          <cell r="C724" t="str">
            <v>PROD/25-26/14185</v>
          </cell>
          <cell r="D724" t="str">
            <v/>
          </cell>
          <cell r="E724" t="str">
            <v>TJ/25-26/184-CS</v>
          </cell>
          <cell r="F724" t="str">
            <v>P5</v>
          </cell>
          <cell r="G724">
            <v>0</v>
          </cell>
          <cell r="H724">
            <v>2</v>
          </cell>
          <cell r="I724" t="str">
            <v>Yes</v>
          </cell>
          <cell r="J724" t="str">
            <v/>
          </cell>
          <cell r="K724" t="str">
            <v>No</v>
          </cell>
          <cell r="L724" t="str">
            <v/>
          </cell>
          <cell r="M724" t="str">
            <v/>
          </cell>
          <cell r="N724" t="str">
            <v>Spool</v>
          </cell>
          <cell r="O724">
            <v>0</v>
          </cell>
          <cell r="P724">
            <v>0</v>
          </cell>
          <cell r="Q724" t="str">
            <v>CS</v>
          </cell>
          <cell r="R724">
            <v>1</v>
          </cell>
          <cell r="S724">
            <v>1</v>
          </cell>
          <cell r="T724">
            <v>9.1257999999999999</v>
          </cell>
          <cell r="U724">
            <v>9.1257999999999999</v>
          </cell>
        </row>
        <row r="725">
          <cell r="B725" t="str">
            <v>V17551-PIND-0562-02</v>
          </cell>
          <cell r="C725" t="str">
            <v>PROD/25-26/13946</v>
          </cell>
          <cell r="D725" t="str">
            <v/>
          </cell>
          <cell r="E725" t="str">
            <v>TJ/25-26/184-CS</v>
          </cell>
          <cell r="F725" t="str">
            <v>P5</v>
          </cell>
          <cell r="G725">
            <v>0</v>
          </cell>
          <cell r="H725">
            <v>2</v>
          </cell>
          <cell r="I725" t="str">
            <v>Yes</v>
          </cell>
          <cell r="J725" t="str">
            <v/>
          </cell>
          <cell r="K725" t="str">
            <v>No</v>
          </cell>
          <cell r="L725" t="str">
            <v/>
          </cell>
          <cell r="M725" t="str">
            <v/>
          </cell>
          <cell r="N725" t="str">
            <v>Spool</v>
          </cell>
          <cell r="O725">
            <v>0</v>
          </cell>
          <cell r="P725">
            <v>0</v>
          </cell>
          <cell r="Q725" t="str">
            <v>CS</v>
          </cell>
          <cell r="R725">
            <v>1</v>
          </cell>
          <cell r="S725">
            <v>1</v>
          </cell>
          <cell r="T725">
            <v>3.4106000000000001</v>
          </cell>
          <cell r="U725">
            <v>3.4106000000000001</v>
          </cell>
        </row>
        <row r="726">
          <cell r="B726" t="str">
            <v>V17551-PIND-0563-02</v>
          </cell>
          <cell r="C726" t="str">
            <v>PROD/25-26/13947</v>
          </cell>
          <cell r="D726" t="str">
            <v/>
          </cell>
          <cell r="E726" t="str">
            <v>TJ/25-26/184-CS</v>
          </cell>
          <cell r="F726" t="str">
            <v>P5</v>
          </cell>
          <cell r="G726">
            <v>0</v>
          </cell>
          <cell r="H726">
            <v>2</v>
          </cell>
          <cell r="I726" t="str">
            <v>Yes</v>
          </cell>
          <cell r="J726" t="str">
            <v/>
          </cell>
          <cell r="K726" t="str">
            <v>No</v>
          </cell>
          <cell r="L726" t="str">
            <v/>
          </cell>
          <cell r="M726" t="str">
            <v/>
          </cell>
          <cell r="N726" t="str">
            <v>Spool</v>
          </cell>
          <cell r="O726">
            <v>0</v>
          </cell>
          <cell r="P726">
            <v>0</v>
          </cell>
          <cell r="Q726" t="str">
            <v>CS</v>
          </cell>
          <cell r="R726">
            <v>1</v>
          </cell>
          <cell r="S726">
            <v>1</v>
          </cell>
          <cell r="T726">
            <v>30.32432</v>
          </cell>
          <cell r="U726">
            <v>30.32432</v>
          </cell>
        </row>
        <row r="727">
          <cell r="B727" t="str">
            <v>V17551-PIND-0571-02</v>
          </cell>
          <cell r="C727" t="str">
            <v>PROD/25-26/13950</v>
          </cell>
          <cell r="D727" t="str">
            <v/>
          </cell>
          <cell r="E727" t="str">
            <v>TJ/25-26/184-CS</v>
          </cell>
          <cell r="F727" t="str">
            <v>P5</v>
          </cell>
          <cell r="G727">
            <v>0</v>
          </cell>
          <cell r="H727">
            <v>2</v>
          </cell>
          <cell r="I727" t="str">
            <v>Yes</v>
          </cell>
          <cell r="J727" t="str">
            <v/>
          </cell>
          <cell r="K727" t="str">
            <v>No</v>
          </cell>
          <cell r="L727" t="str">
            <v/>
          </cell>
          <cell r="M727" t="str">
            <v/>
          </cell>
          <cell r="N727" t="str">
            <v>Spool</v>
          </cell>
          <cell r="O727">
            <v>0</v>
          </cell>
          <cell r="P727">
            <v>0</v>
          </cell>
          <cell r="Q727" t="str">
            <v>CS</v>
          </cell>
          <cell r="R727">
            <v>1</v>
          </cell>
          <cell r="S727">
            <v>1</v>
          </cell>
          <cell r="T727">
            <v>43.59648</v>
          </cell>
          <cell r="U727">
            <v>43.59648</v>
          </cell>
        </row>
        <row r="728">
          <cell r="B728" t="str">
            <v>V17551-PIND-0574-08</v>
          </cell>
          <cell r="C728" t="str">
            <v>PROD/25-26/13952</v>
          </cell>
          <cell r="D728" t="str">
            <v/>
          </cell>
          <cell r="E728" t="str">
            <v>TJ/25-26/184-CS</v>
          </cell>
          <cell r="F728" t="str">
            <v>P5</v>
          </cell>
          <cell r="G728">
            <v>0</v>
          </cell>
          <cell r="H728">
            <v>2</v>
          </cell>
          <cell r="I728" t="str">
            <v>Yes</v>
          </cell>
          <cell r="J728" t="str">
            <v/>
          </cell>
          <cell r="K728" t="str">
            <v>No</v>
          </cell>
          <cell r="L728" t="str">
            <v/>
          </cell>
          <cell r="M728" t="str">
            <v/>
          </cell>
          <cell r="N728" t="str">
            <v>Spool</v>
          </cell>
          <cell r="O728">
            <v>0</v>
          </cell>
          <cell r="P728">
            <v>0</v>
          </cell>
          <cell r="Q728" t="str">
            <v>CS</v>
          </cell>
          <cell r="R728">
            <v>1</v>
          </cell>
          <cell r="S728">
            <v>1</v>
          </cell>
          <cell r="T728">
            <v>20.645800000000001</v>
          </cell>
          <cell r="U728">
            <v>20.645800000000001</v>
          </cell>
        </row>
        <row r="729">
          <cell r="B729" t="str">
            <v>V17551-PIND-0575-07</v>
          </cell>
          <cell r="C729" t="str">
            <v>PROD/25-26/13953</v>
          </cell>
          <cell r="D729" t="str">
            <v/>
          </cell>
          <cell r="E729" t="str">
            <v>TJ/25-26/184-CS</v>
          </cell>
          <cell r="F729" t="str">
            <v>P5</v>
          </cell>
          <cell r="G729">
            <v>0</v>
          </cell>
          <cell r="H729">
            <v>2</v>
          </cell>
          <cell r="I729" t="str">
            <v>Yes</v>
          </cell>
          <cell r="J729" t="str">
            <v/>
          </cell>
          <cell r="K729" t="str">
            <v>No</v>
          </cell>
          <cell r="L729" t="str">
            <v/>
          </cell>
          <cell r="M729" t="str">
            <v/>
          </cell>
          <cell r="N729" t="str">
            <v>Spool</v>
          </cell>
          <cell r="O729">
            <v>0</v>
          </cell>
          <cell r="P729">
            <v>0</v>
          </cell>
          <cell r="Q729" t="str">
            <v>CS</v>
          </cell>
          <cell r="R729">
            <v>1</v>
          </cell>
          <cell r="S729">
            <v>1</v>
          </cell>
          <cell r="T729">
            <v>67.403480000000002</v>
          </cell>
          <cell r="U729">
            <v>67.403480000000002</v>
          </cell>
        </row>
        <row r="730">
          <cell r="B730" t="str">
            <v>V17551-PIND-0576-02</v>
          </cell>
          <cell r="C730" t="str">
            <v>PROD/25-26/13654</v>
          </cell>
          <cell r="D730" t="str">
            <v/>
          </cell>
          <cell r="E730" t="str">
            <v>TJ/25-26/184-CS</v>
          </cell>
          <cell r="F730" t="str">
            <v>P5</v>
          </cell>
          <cell r="G730">
            <v>0</v>
          </cell>
          <cell r="H730">
            <v>2</v>
          </cell>
          <cell r="I730" t="str">
            <v>Yes</v>
          </cell>
          <cell r="J730" t="str">
            <v/>
          </cell>
          <cell r="K730" t="str">
            <v>No</v>
          </cell>
          <cell r="L730" t="str">
            <v/>
          </cell>
          <cell r="M730" t="str">
            <v/>
          </cell>
          <cell r="N730" t="str">
            <v>Spool</v>
          </cell>
          <cell r="O730">
            <v>0</v>
          </cell>
          <cell r="P730">
            <v>0</v>
          </cell>
          <cell r="Q730" t="str">
            <v>CS</v>
          </cell>
          <cell r="R730">
            <v>1</v>
          </cell>
          <cell r="S730">
            <v>1</v>
          </cell>
          <cell r="T730">
            <v>16.721599999999999</v>
          </cell>
          <cell r="U730">
            <v>16.721599999999999</v>
          </cell>
        </row>
        <row r="731">
          <cell r="B731" t="str">
            <v>V17551-PIND-0577-02</v>
          </cell>
          <cell r="C731" t="str">
            <v>PROD/25-26/13655</v>
          </cell>
          <cell r="D731" t="str">
            <v/>
          </cell>
          <cell r="E731" t="str">
            <v>TJ/25-26/184-CS</v>
          </cell>
          <cell r="F731" t="str">
            <v>P5</v>
          </cell>
          <cell r="G731">
            <v>0</v>
          </cell>
          <cell r="H731">
            <v>2</v>
          </cell>
          <cell r="I731" t="str">
            <v>Yes</v>
          </cell>
          <cell r="J731" t="str">
            <v/>
          </cell>
          <cell r="K731" t="str">
            <v>No</v>
          </cell>
          <cell r="L731" t="str">
            <v/>
          </cell>
          <cell r="M731" t="str">
            <v/>
          </cell>
          <cell r="N731" t="str">
            <v>Spool</v>
          </cell>
          <cell r="O731">
            <v>0</v>
          </cell>
          <cell r="P731">
            <v>0</v>
          </cell>
          <cell r="Q731" t="str">
            <v>CS</v>
          </cell>
          <cell r="R731">
            <v>1</v>
          </cell>
          <cell r="S731">
            <v>1</v>
          </cell>
          <cell r="T731">
            <v>16.721599999999999</v>
          </cell>
          <cell r="U731">
            <v>16.721599999999999</v>
          </cell>
        </row>
        <row r="732">
          <cell r="B732" t="str">
            <v>V17551-PIND-0578-02</v>
          </cell>
          <cell r="C732" t="str">
            <v>PROD/25-26/13656</v>
          </cell>
          <cell r="D732" t="str">
            <v/>
          </cell>
          <cell r="E732" t="str">
            <v>TJ/25-26/184-P91</v>
          </cell>
          <cell r="F732" t="str">
            <v>P5</v>
          </cell>
          <cell r="G732">
            <v>0</v>
          </cell>
          <cell r="H732">
            <v>2</v>
          </cell>
          <cell r="I732" t="str">
            <v>Yes</v>
          </cell>
          <cell r="J732" t="str">
            <v/>
          </cell>
          <cell r="K732" t="str">
            <v>No</v>
          </cell>
          <cell r="L732" t="str">
            <v/>
          </cell>
          <cell r="M732" t="str">
            <v/>
          </cell>
          <cell r="N732" t="str">
            <v>Spool</v>
          </cell>
          <cell r="O732">
            <v>0</v>
          </cell>
          <cell r="P732">
            <v>0</v>
          </cell>
          <cell r="Q732" t="str">
            <v>P91</v>
          </cell>
          <cell r="R732">
            <v>1</v>
          </cell>
          <cell r="S732">
            <v>1</v>
          </cell>
          <cell r="T732">
            <v>11.135199999999999</v>
          </cell>
          <cell r="U732">
            <v>11.135199999999999</v>
          </cell>
        </row>
        <row r="733">
          <cell r="B733" t="str">
            <v>V17551-PIND-0579-02</v>
          </cell>
          <cell r="C733" t="str">
            <v>PROD/25-26/13657</v>
          </cell>
          <cell r="D733" t="str">
            <v/>
          </cell>
          <cell r="E733" t="str">
            <v>TJ/25-26/184-91</v>
          </cell>
          <cell r="F733" t="str">
            <v>P5</v>
          </cell>
          <cell r="G733">
            <v>0</v>
          </cell>
          <cell r="H733">
            <v>2</v>
          </cell>
          <cell r="I733" t="str">
            <v>Yes</v>
          </cell>
          <cell r="J733" t="str">
            <v/>
          </cell>
          <cell r="K733" t="str">
            <v>No</v>
          </cell>
          <cell r="L733" t="str">
            <v/>
          </cell>
          <cell r="M733" t="str">
            <v/>
          </cell>
          <cell r="N733" t="str">
            <v>Spool</v>
          </cell>
          <cell r="O733">
            <v>0</v>
          </cell>
          <cell r="P733">
            <v>0</v>
          </cell>
          <cell r="Q733" t="str">
            <v>P91</v>
          </cell>
          <cell r="R733">
            <v>1</v>
          </cell>
          <cell r="S733">
            <v>1</v>
          </cell>
          <cell r="T733">
            <v>11.135199999999999</v>
          </cell>
          <cell r="U733">
            <v>11.135199999999999</v>
          </cell>
        </row>
        <row r="734">
          <cell r="B734" t="str">
            <v>V17551-PIND-0580-02</v>
          </cell>
          <cell r="C734" t="str">
            <v>PROD/25-26/13658</v>
          </cell>
          <cell r="D734" t="str">
            <v/>
          </cell>
          <cell r="E734" t="str">
            <v>TJ/25-26/184-CS</v>
          </cell>
          <cell r="F734" t="str">
            <v>P5</v>
          </cell>
          <cell r="G734">
            <v>0</v>
          </cell>
          <cell r="H734">
            <v>2</v>
          </cell>
          <cell r="I734" t="str">
            <v>Yes</v>
          </cell>
          <cell r="J734" t="str">
            <v/>
          </cell>
          <cell r="K734" t="str">
            <v>No</v>
          </cell>
          <cell r="L734" t="str">
            <v/>
          </cell>
          <cell r="M734" t="str">
            <v/>
          </cell>
          <cell r="N734" t="str">
            <v>Spool</v>
          </cell>
          <cell r="O734">
            <v>0</v>
          </cell>
          <cell r="P734">
            <v>0</v>
          </cell>
          <cell r="Q734" t="str">
            <v>CS</v>
          </cell>
          <cell r="R734">
            <v>1</v>
          </cell>
          <cell r="S734">
            <v>1</v>
          </cell>
          <cell r="T734">
            <v>16.721599999999999</v>
          </cell>
          <cell r="U734">
            <v>16.721599999999999</v>
          </cell>
        </row>
        <row r="735">
          <cell r="B735" t="str">
            <v>V17551-PIND-0581-02</v>
          </cell>
          <cell r="C735" t="str">
            <v>PROD/25-26/13659</v>
          </cell>
          <cell r="D735" t="str">
            <v/>
          </cell>
          <cell r="E735" t="str">
            <v>TJ/25-26/184-CS</v>
          </cell>
          <cell r="F735" t="str">
            <v>P5</v>
          </cell>
          <cell r="G735">
            <v>0</v>
          </cell>
          <cell r="H735">
            <v>2</v>
          </cell>
          <cell r="I735" t="str">
            <v>Yes</v>
          </cell>
          <cell r="J735" t="str">
            <v/>
          </cell>
          <cell r="K735" t="str">
            <v>No</v>
          </cell>
          <cell r="L735" t="str">
            <v/>
          </cell>
          <cell r="M735" t="str">
            <v/>
          </cell>
          <cell r="N735" t="str">
            <v>Spool</v>
          </cell>
          <cell r="O735">
            <v>0</v>
          </cell>
          <cell r="P735">
            <v>0</v>
          </cell>
          <cell r="Q735" t="str">
            <v>CS</v>
          </cell>
          <cell r="R735">
            <v>1</v>
          </cell>
          <cell r="S735">
            <v>1</v>
          </cell>
          <cell r="T735">
            <v>16.7194</v>
          </cell>
          <cell r="U735">
            <v>16.7194</v>
          </cell>
        </row>
        <row r="736">
          <cell r="B736" t="str">
            <v>V17551-PIND-0582-02</v>
          </cell>
          <cell r="C736" t="str">
            <v>PROD/25-26/13660</v>
          </cell>
          <cell r="D736" t="str">
            <v/>
          </cell>
          <cell r="E736" t="str">
            <v>TJ/25-26/184-CS</v>
          </cell>
          <cell r="F736" t="str">
            <v>P5</v>
          </cell>
          <cell r="G736">
            <v>0</v>
          </cell>
          <cell r="H736">
            <v>2</v>
          </cell>
          <cell r="I736" t="str">
            <v>Yes</v>
          </cell>
          <cell r="J736" t="str">
            <v/>
          </cell>
          <cell r="K736" t="str">
            <v>No</v>
          </cell>
          <cell r="L736" t="str">
            <v/>
          </cell>
          <cell r="M736" t="str">
            <v/>
          </cell>
          <cell r="N736" t="str">
            <v>Spool</v>
          </cell>
          <cell r="O736">
            <v>0</v>
          </cell>
          <cell r="P736">
            <v>0</v>
          </cell>
          <cell r="Q736" t="str">
            <v>CS</v>
          </cell>
          <cell r="R736">
            <v>1</v>
          </cell>
          <cell r="S736">
            <v>1</v>
          </cell>
          <cell r="T736">
            <v>16.721599999999999</v>
          </cell>
          <cell r="U736">
            <v>16.721599999999999</v>
          </cell>
        </row>
        <row r="737">
          <cell r="B737" t="str">
            <v>V17551-PIND-0583-02</v>
          </cell>
          <cell r="C737" t="str">
            <v>PROD/25-26/13661</v>
          </cell>
          <cell r="D737" t="str">
            <v/>
          </cell>
          <cell r="E737" t="str">
            <v>TJ/25-26/184-CS</v>
          </cell>
          <cell r="F737" t="str">
            <v>P5</v>
          </cell>
          <cell r="G737">
            <v>0</v>
          </cell>
          <cell r="H737">
            <v>2</v>
          </cell>
          <cell r="I737" t="str">
            <v>Yes</v>
          </cell>
          <cell r="J737" t="str">
            <v/>
          </cell>
          <cell r="K737" t="str">
            <v>No</v>
          </cell>
          <cell r="L737" t="str">
            <v/>
          </cell>
          <cell r="M737" t="str">
            <v/>
          </cell>
          <cell r="N737" t="str">
            <v>Spool</v>
          </cell>
          <cell r="O737">
            <v>0</v>
          </cell>
          <cell r="P737">
            <v>0</v>
          </cell>
          <cell r="Q737" t="str">
            <v>CS</v>
          </cell>
          <cell r="R737">
            <v>1</v>
          </cell>
          <cell r="S737">
            <v>1</v>
          </cell>
          <cell r="T737">
            <v>16.721599999999999</v>
          </cell>
          <cell r="U737">
            <v>16.721599999999999</v>
          </cell>
        </row>
        <row r="738">
          <cell r="B738" t="str">
            <v>V17551-PIND-0584-02</v>
          </cell>
          <cell r="C738" t="str">
            <v>PROD/25-26/13662</v>
          </cell>
          <cell r="D738" t="str">
            <v/>
          </cell>
          <cell r="E738" t="str">
            <v>TJ/25-26/184-CS</v>
          </cell>
          <cell r="F738" t="str">
            <v>P5</v>
          </cell>
          <cell r="G738">
            <v>0</v>
          </cell>
          <cell r="H738">
            <v>2</v>
          </cell>
          <cell r="I738" t="str">
            <v>Yes</v>
          </cell>
          <cell r="J738" t="str">
            <v/>
          </cell>
          <cell r="K738" t="str">
            <v>No</v>
          </cell>
          <cell r="L738" t="str">
            <v/>
          </cell>
          <cell r="M738" t="str">
            <v/>
          </cell>
          <cell r="N738" t="str">
            <v>Spool</v>
          </cell>
          <cell r="O738">
            <v>0</v>
          </cell>
          <cell r="P738">
            <v>0</v>
          </cell>
          <cell r="Q738" t="str">
            <v>CS</v>
          </cell>
          <cell r="R738">
            <v>1</v>
          </cell>
          <cell r="S738">
            <v>1</v>
          </cell>
          <cell r="T738">
            <v>5.0911999999999997</v>
          </cell>
          <cell r="U738">
            <v>5.0911999999999997</v>
          </cell>
        </row>
        <row r="739">
          <cell r="B739" t="str">
            <v>V17551-PIND-0585-02</v>
          </cell>
          <cell r="C739" t="str">
            <v>PROD/25-26/13663</v>
          </cell>
          <cell r="D739" t="str">
            <v/>
          </cell>
          <cell r="E739" t="str">
            <v>TJ/25-26/184-CS</v>
          </cell>
          <cell r="F739" t="str">
            <v>P5</v>
          </cell>
          <cell r="G739">
            <v>0</v>
          </cell>
          <cell r="H739">
            <v>2</v>
          </cell>
          <cell r="I739" t="str">
            <v>Yes</v>
          </cell>
          <cell r="J739" t="str">
            <v/>
          </cell>
          <cell r="K739" t="str">
            <v>No</v>
          </cell>
          <cell r="L739" t="str">
            <v/>
          </cell>
          <cell r="M739" t="str">
            <v/>
          </cell>
          <cell r="N739" t="str">
            <v>Spool</v>
          </cell>
          <cell r="O739">
            <v>0</v>
          </cell>
          <cell r="P739">
            <v>0</v>
          </cell>
          <cell r="Q739" t="str">
            <v>CS</v>
          </cell>
          <cell r="R739">
            <v>1</v>
          </cell>
          <cell r="S739">
            <v>1</v>
          </cell>
          <cell r="T739">
            <v>5.0911999999999997</v>
          </cell>
          <cell r="U739">
            <v>5.0911999999999997</v>
          </cell>
        </row>
        <row r="740">
          <cell r="B740" t="str">
            <v>V17551-ERND-0314-03</v>
          </cell>
          <cell r="C740" t="str">
            <v>PROD/26-27/00021</v>
          </cell>
          <cell r="D740" t="str">
            <v/>
          </cell>
          <cell r="E740" t="str">
            <v>TJ/25-26/184-SS</v>
          </cell>
          <cell r="F740" t="str">
            <v>NA</v>
          </cell>
          <cell r="G740">
            <v>0</v>
          </cell>
          <cell r="H740">
            <v>3</v>
          </cell>
          <cell r="I740" t="str">
            <v>Yes</v>
          </cell>
          <cell r="J740" t="str">
            <v/>
          </cell>
          <cell r="K740" t="str">
            <v>No</v>
          </cell>
          <cell r="L740" t="str">
            <v/>
          </cell>
          <cell r="M740" t="str">
            <v/>
          </cell>
          <cell r="N740" t="str">
            <v>Spool</v>
          </cell>
          <cell r="O740">
            <v>0</v>
          </cell>
          <cell r="P740">
            <v>0</v>
          </cell>
          <cell r="Q740" t="str">
            <v>SS</v>
          </cell>
          <cell r="R740">
            <v>1</v>
          </cell>
          <cell r="S740">
            <v>1</v>
          </cell>
          <cell r="T740">
            <v>9.7483299999999993</v>
          </cell>
          <cell r="U740">
            <v>9.7483299999999993</v>
          </cell>
        </row>
        <row r="741">
          <cell r="B741" t="str">
            <v>SHA-1032-01</v>
          </cell>
          <cell r="C741" t="str">
            <v>PROD/25-26/13713</v>
          </cell>
          <cell r="D741" t="str">
            <v/>
          </cell>
          <cell r="E741" t="str">
            <v>TJ/25-26/184-CS</v>
          </cell>
          <cell r="F741" t="str">
            <v>P1</v>
          </cell>
          <cell r="G741">
            <v>0</v>
          </cell>
          <cell r="H741">
            <v>3</v>
          </cell>
          <cell r="I741" t="str">
            <v>Yes</v>
          </cell>
          <cell r="J741" t="str">
            <v/>
          </cell>
          <cell r="K741" t="str">
            <v>No</v>
          </cell>
          <cell r="L741" t="str">
            <v/>
          </cell>
          <cell r="M741" t="str">
            <v/>
          </cell>
          <cell r="N741" t="str">
            <v>Spool</v>
          </cell>
          <cell r="O741">
            <v>0</v>
          </cell>
          <cell r="P741">
            <v>0</v>
          </cell>
          <cell r="Q741" t="str">
            <v>CS</v>
          </cell>
          <cell r="R741">
            <v>1</v>
          </cell>
          <cell r="S741">
            <v>1</v>
          </cell>
          <cell r="T741">
            <v>7.2738500000000004</v>
          </cell>
          <cell r="U741">
            <v>7.2738500000000004</v>
          </cell>
        </row>
        <row r="742">
          <cell r="B742" t="str">
            <v>V17551-PIND-0010-03</v>
          </cell>
          <cell r="C742" t="str">
            <v>PROD/25-26/07340</v>
          </cell>
          <cell r="D742" t="str">
            <v/>
          </cell>
          <cell r="E742" t="str">
            <v>TJ/25-26/184-CS</v>
          </cell>
          <cell r="F742" t="str">
            <v>P5,P1</v>
          </cell>
          <cell r="G742">
            <v>0</v>
          </cell>
          <cell r="H742">
            <v>3</v>
          </cell>
          <cell r="I742" t="str">
            <v>Yes</v>
          </cell>
          <cell r="J742" t="str">
            <v/>
          </cell>
          <cell r="K742" t="str">
            <v>No</v>
          </cell>
          <cell r="L742" t="str">
            <v/>
          </cell>
          <cell r="M742" t="str">
            <v/>
          </cell>
          <cell r="N742" t="str">
            <v>Spool</v>
          </cell>
          <cell r="O742">
            <v>0</v>
          </cell>
          <cell r="P742">
            <v>0</v>
          </cell>
          <cell r="Q742" t="str">
            <v>CS</v>
          </cell>
          <cell r="R742">
            <v>1</v>
          </cell>
          <cell r="S742">
            <v>1</v>
          </cell>
          <cell r="T742">
            <v>482.12620720000001</v>
          </cell>
          <cell r="U742">
            <v>482.12620720000001</v>
          </cell>
        </row>
        <row r="743">
          <cell r="B743" t="str">
            <v>V17551-PIND-0011-03</v>
          </cell>
          <cell r="C743" t="str">
            <v>PROD/25-26/07341</v>
          </cell>
          <cell r="D743" t="str">
            <v/>
          </cell>
          <cell r="E743" t="str">
            <v>TJ/25-26/184-CS</v>
          </cell>
          <cell r="F743" t="str">
            <v>P5,P1</v>
          </cell>
          <cell r="G743">
            <v>0</v>
          </cell>
          <cell r="H743">
            <v>3</v>
          </cell>
          <cell r="I743" t="str">
            <v>Yes</v>
          </cell>
          <cell r="J743" t="str">
            <v/>
          </cell>
          <cell r="K743" t="str">
            <v>No</v>
          </cell>
          <cell r="L743" t="str">
            <v/>
          </cell>
          <cell r="M743" t="str">
            <v/>
          </cell>
          <cell r="N743" t="str">
            <v>Spool</v>
          </cell>
          <cell r="O743">
            <v>0</v>
          </cell>
          <cell r="P743">
            <v>0</v>
          </cell>
          <cell r="Q743" t="str">
            <v>CS</v>
          </cell>
          <cell r="R743">
            <v>1</v>
          </cell>
          <cell r="S743">
            <v>1</v>
          </cell>
          <cell r="T743">
            <v>834.94023719999996</v>
          </cell>
          <cell r="U743">
            <v>834.94023719999996</v>
          </cell>
        </row>
        <row r="744">
          <cell r="B744" t="str">
            <v>V17551-PIND-0012-L2</v>
          </cell>
          <cell r="C744" t="str">
            <v>PROD/25-26/12792</v>
          </cell>
          <cell r="D744" t="str">
            <v/>
          </cell>
          <cell r="E744" t="str">
            <v>TJ/25-26/184-CS</v>
          </cell>
          <cell r="F744" t="str">
            <v>P5</v>
          </cell>
          <cell r="G744">
            <v>0</v>
          </cell>
          <cell r="H744">
            <v>3</v>
          </cell>
          <cell r="I744" t="str">
            <v>Yes</v>
          </cell>
          <cell r="J744" t="str">
            <v/>
          </cell>
          <cell r="K744" t="str">
            <v>No</v>
          </cell>
          <cell r="L744" t="str">
            <v/>
          </cell>
          <cell r="M744" t="str">
            <v/>
          </cell>
          <cell r="N744" t="str">
            <v>Spool</v>
          </cell>
          <cell r="O744">
            <v>0</v>
          </cell>
          <cell r="P744">
            <v>0</v>
          </cell>
          <cell r="Q744" t="str">
            <v>CS</v>
          </cell>
          <cell r="R744">
            <v>1</v>
          </cell>
          <cell r="S744">
            <v>1</v>
          </cell>
          <cell r="T744">
            <v>233.6</v>
          </cell>
          <cell r="U744">
            <v>233.6</v>
          </cell>
        </row>
        <row r="745">
          <cell r="B745" t="str">
            <v>V17551-PIND-0013-L3</v>
          </cell>
          <cell r="C745" t="str">
            <v>PROD/25-26/12793</v>
          </cell>
          <cell r="D745" t="str">
            <v/>
          </cell>
          <cell r="E745" t="str">
            <v>TJ/25-26/184-CS</v>
          </cell>
          <cell r="F745" t="str">
            <v>P5</v>
          </cell>
          <cell r="G745">
            <v>0</v>
          </cell>
          <cell r="H745">
            <v>3</v>
          </cell>
          <cell r="I745" t="str">
            <v>Yes</v>
          </cell>
          <cell r="J745" t="str">
            <v/>
          </cell>
          <cell r="K745" t="str">
            <v>No</v>
          </cell>
          <cell r="L745" t="str">
            <v/>
          </cell>
          <cell r="M745" t="str">
            <v/>
          </cell>
          <cell r="N745" t="str">
            <v>Spool</v>
          </cell>
          <cell r="O745">
            <v>0</v>
          </cell>
          <cell r="P745">
            <v>0</v>
          </cell>
          <cell r="Q745" t="str">
            <v>CS</v>
          </cell>
          <cell r="R745">
            <v>1</v>
          </cell>
          <cell r="S745">
            <v>1</v>
          </cell>
          <cell r="T745">
            <v>233.6</v>
          </cell>
          <cell r="U745">
            <v>233.6</v>
          </cell>
        </row>
        <row r="746">
          <cell r="B746" t="str">
            <v>V17551-PIND-0014-03</v>
          </cell>
          <cell r="C746" t="str">
            <v>PROD/25-26/06497</v>
          </cell>
          <cell r="D746" t="str">
            <v/>
          </cell>
          <cell r="E746" t="str">
            <v>TJ/25-26/184-CS</v>
          </cell>
          <cell r="F746" t="str">
            <v>P5</v>
          </cell>
          <cell r="G746">
            <v>0</v>
          </cell>
          <cell r="H746">
            <v>3</v>
          </cell>
          <cell r="I746" t="str">
            <v>Yes</v>
          </cell>
          <cell r="J746" t="str">
            <v/>
          </cell>
          <cell r="K746" t="str">
            <v>No</v>
          </cell>
          <cell r="L746" t="str">
            <v/>
          </cell>
          <cell r="M746" t="str">
            <v/>
          </cell>
          <cell r="N746" t="str">
            <v>Spool</v>
          </cell>
          <cell r="O746">
            <v>0</v>
          </cell>
          <cell r="P746">
            <v>0</v>
          </cell>
          <cell r="Q746" t="str">
            <v>CS</v>
          </cell>
          <cell r="R746">
            <v>1</v>
          </cell>
          <cell r="S746">
            <v>1</v>
          </cell>
          <cell r="T746">
            <v>110.24406</v>
          </cell>
          <cell r="U746">
            <v>110.24406</v>
          </cell>
        </row>
        <row r="747">
          <cell r="B747" t="str">
            <v>V17551-PIND-0016-03</v>
          </cell>
          <cell r="C747" t="str">
            <v>PROD/25-26/07345</v>
          </cell>
          <cell r="D747" t="str">
            <v/>
          </cell>
          <cell r="E747" t="str">
            <v>TJ/25-26/184-CS</v>
          </cell>
          <cell r="F747" t="str">
            <v>P5,P1</v>
          </cell>
          <cell r="G747">
            <v>0</v>
          </cell>
          <cell r="H747">
            <v>3</v>
          </cell>
          <cell r="I747" t="str">
            <v>Yes</v>
          </cell>
          <cell r="J747" t="str">
            <v/>
          </cell>
          <cell r="K747" t="str">
            <v>No</v>
          </cell>
          <cell r="L747" t="str">
            <v/>
          </cell>
          <cell r="M747" t="str">
            <v/>
          </cell>
          <cell r="N747" t="str">
            <v>Spool</v>
          </cell>
          <cell r="O747">
            <v>0</v>
          </cell>
          <cell r="P747">
            <v>0</v>
          </cell>
          <cell r="Q747" t="str">
            <v>CS</v>
          </cell>
          <cell r="R747">
            <v>1</v>
          </cell>
          <cell r="S747">
            <v>1</v>
          </cell>
          <cell r="T747">
            <v>130.860766592</v>
          </cell>
          <cell r="U747">
            <v>130.860766592</v>
          </cell>
        </row>
        <row r="748">
          <cell r="B748" t="str">
            <v>V17551-PIND-0018-03</v>
          </cell>
          <cell r="C748" t="str">
            <v>PROD/25-26/06501</v>
          </cell>
          <cell r="D748" t="str">
            <v/>
          </cell>
          <cell r="E748" t="str">
            <v>TJ/25-26/184-CS</v>
          </cell>
          <cell r="F748" t="str">
            <v>P5</v>
          </cell>
          <cell r="G748">
            <v>0</v>
          </cell>
          <cell r="H748">
            <v>3</v>
          </cell>
          <cell r="I748" t="str">
            <v>Yes</v>
          </cell>
          <cell r="J748" t="str">
            <v/>
          </cell>
          <cell r="K748" t="str">
            <v>No</v>
          </cell>
          <cell r="L748" t="str">
            <v/>
          </cell>
          <cell r="M748" t="str">
            <v/>
          </cell>
          <cell r="N748" t="str">
            <v>Spool</v>
          </cell>
          <cell r="O748">
            <v>0</v>
          </cell>
          <cell r="P748">
            <v>0</v>
          </cell>
          <cell r="Q748" t="str">
            <v>CS</v>
          </cell>
          <cell r="R748">
            <v>1</v>
          </cell>
          <cell r="S748">
            <v>1</v>
          </cell>
          <cell r="T748">
            <v>42.272919999999999</v>
          </cell>
          <cell r="U748">
            <v>42.272919999999999</v>
          </cell>
        </row>
        <row r="749">
          <cell r="B749" t="str">
            <v>V17551-PIND-0020-03</v>
          </cell>
          <cell r="C749" t="str">
            <v>PROD/25-26/06503</v>
          </cell>
          <cell r="D749" t="str">
            <v/>
          </cell>
          <cell r="E749" t="str">
            <v>TJ/25-26/184-CS</v>
          </cell>
          <cell r="F749" t="str">
            <v>P5</v>
          </cell>
          <cell r="G749">
            <v>0</v>
          </cell>
          <cell r="H749">
            <v>3</v>
          </cell>
          <cell r="I749" t="str">
            <v>Yes</v>
          </cell>
          <cell r="J749" t="str">
            <v/>
          </cell>
          <cell r="K749" t="str">
            <v>No</v>
          </cell>
          <cell r="L749" t="str">
            <v/>
          </cell>
          <cell r="M749" t="str">
            <v/>
          </cell>
          <cell r="N749" t="str">
            <v>Spool</v>
          </cell>
          <cell r="O749">
            <v>0</v>
          </cell>
          <cell r="P749">
            <v>0</v>
          </cell>
          <cell r="Q749" t="str">
            <v>CS</v>
          </cell>
          <cell r="R749">
            <v>1</v>
          </cell>
          <cell r="S749">
            <v>1</v>
          </cell>
          <cell r="T749">
            <v>55.216000000000001</v>
          </cell>
          <cell r="U749">
            <v>55.216000000000001</v>
          </cell>
        </row>
        <row r="750">
          <cell r="B750" t="str">
            <v>V17551-PIND-0022-03</v>
          </cell>
          <cell r="C750" t="str">
            <v>PROD/25-26/07348</v>
          </cell>
          <cell r="D750" t="str">
            <v/>
          </cell>
          <cell r="E750" t="str">
            <v>TJ/25-26/184-CS</v>
          </cell>
          <cell r="F750" t="str">
            <v>P5,P1</v>
          </cell>
          <cell r="G750">
            <v>0</v>
          </cell>
          <cell r="H750">
            <v>3</v>
          </cell>
          <cell r="I750" t="str">
            <v>Yes</v>
          </cell>
          <cell r="J750" t="str">
            <v/>
          </cell>
          <cell r="K750" t="str">
            <v>No</v>
          </cell>
          <cell r="L750" t="str">
            <v/>
          </cell>
          <cell r="M750" t="str">
            <v/>
          </cell>
          <cell r="N750" t="str">
            <v>Spool</v>
          </cell>
          <cell r="O750">
            <v>0</v>
          </cell>
          <cell r="P750">
            <v>0</v>
          </cell>
          <cell r="Q750" t="str">
            <v>CS</v>
          </cell>
          <cell r="R750">
            <v>1</v>
          </cell>
          <cell r="S750">
            <v>1</v>
          </cell>
          <cell r="T750">
            <v>171.35028</v>
          </cell>
          <cell r="U750">
            <v>171.35028</v>
          </cell>
        </row>
        <row r="751">
          <cell r="B751" t="str">
            <v>V17551-PIND-0024-03</v>
          </cell>
          <cell r="C751" t="str">
            <v>PROD/25-26/07349</v>
          </cell>
          <cell r="D751" t="str">
            <v/>
          </cell>
          <cell r="E751" t="str">
            <v>TJ/25-26/184-CS</v>
          </cell>
          <cell r="F751" t="str">
            <v>P5,P1</v>
          </cell>
          <cell r="G751">
            <v>0</v>
          </cell>
          <cell r="H751">
            <v>3</v>
          </cell>
          <cell r="I751" t="str">
            <v>Yes</v>
          </cell>
          <cell r="J751" t="str">
            <v/>
          </cell>
          <cell r="K751" t="str">
            <v>No</v>
          </cell>
          <cell r="L751" t="str">
            <v/>
          </cell>
          <cell r="M751" t="str">
            <v/>
          </cell>
          <cell r="N751" t="str">
            <v>Spool</v>
          </cell>
          <cell r="O751">
            <v>0</v>
          </cell>
          <cell r="P751">
            <v>0</v>
          </cell>
          <cell r="Q751" t="str">
            <v>CS</v>
          </cell>
          <cell r="R751">
            <v>1</v>
          </cell>
          <cell r="S751">
            <v>1</v>
          </cell>
          <cell r="T751">
            <v>169.23078000000001</v>
          </cell>
          <cell r="U751">
            <v>169.23078000000001</v>
          </cell>
        </row>
        <row r="752">
          <cell r="B752" t="str">
            <v>V17551-PIND-0026-03</v>
          </cell>
          <cell r="C752" t="str">
            <v>PROD/25-26/07350</v>
          </cell>
          <cell r="D752" t="str">
            <v/>
          </cell>
          <cell r="E752" t="str">
            <v>TJ/25-26/184-CS</v>
          </cell>
          <cell r="F752" t="str">
            <v>P5,P1</v>
          </cell>
          <cell r="G752">
            <v>0</v>
          </cell>
          <cell r="H752">
            <v>3</v>
          </cell>
          <cell r="I752" t="str">
            <v>Yes</v>
          </cell>
          <cell r="J752" t="str">
            <v/>
          </cell>
          <cell r="K752" t="str">
            <v>No</v>
          </cell>
          <cell r="L752" t="str">
            <v/>
          </cell>
          <cell r="M752" t="str">
            <v/>
          </cell>
          <cell r="N752" t="str">
            <v>Spool</v>
          </cell>
          <cell r="O752">
            <v>0</v>
          </cell>
          <cell r="P752">
            <v>0</v>
          </cell>
          <cell r="Q752" t="str">
            <v>CS</v>
          </cell>
          <cell r="R752">
            <v>1</v>
          </cell>
          <cell r="S752">
            <v>1</v>
          </cell>
          <cell r="T752">
            <v>169.20251999999999</v>
          </cell>
          <cell r="U752">
            <v>169.20251999999999</v>
          </cell>
        </row>
        <row r="753">
          <cell r="B753" t="str">
            <v>V17551-PIND-0028-03</v>
          </cell>
          <cell r="C753" t="str">
            <v>PROD/25-26/07351</v>
          </cell>
          <cell r="D753" t="str">
            <v/>
          </cell>
          <cell r="E753" t="str">
            <v>TJ/25-26/184-CS</v>
          </cell>
          <cell r="F753" t="str">
            <v>P5,P1</v>
          </cell>
          <cell r="G753">
            <v>0</v>
          </cell>
          <cell r="H753">
            <v>3</v>
          </cell>
          <cell r="I753" t="str">
            <v>Yes</v>
          </cell>
          <cell r="J753" t="str">
            <v/>
          </cell>
          <cell r="K753" t="str">
            <v>No</v>
          </cell>
          <cell r="L753" t="str">
            <v/>
          </cell>
          <cell r="M753" t="str">
            <v/>
          </cell>
          <cell r="N753" t="str">
            <v>Spool</v>
          </cell>
          <cell r="O753">
            <v>0</v>
          </cell>
          <cell r="P753">
            <v>0</v>
          </cell>
          <cell r="Q753" t="str">
            <v>CS</v>
          </cell>
          <cell r="R753">
            <v>1</v>
          </cell>
          <cell r="S753">
            <v>1</v>
          </cell>
          <cell r="T753">
            <v>169.20251999999999</v>
          </cell>
          <cell r="U753">
            <v>169.20251999999999</v>
          </cell>
        </row>
        <row r="754">
          <cell r="B754" t="str">
            <v>V17551-PIND-0030-03</v>
          </cell>
          <cell r="C754" t="str">
            <v>PROD/25-26/07352</v>
          </cell>
          <cell r="D754" t="str">
            <v/>
          </cell>
          <cell r="E754" t="str">
            <v>TJ/25-26/184-CS</v>
          </cell>
          <cell r="F754" t="str">
            <v>P5,P1</v>
          </cell>
          <cell r="G754">
            <v>0</v>
          </cell>
          <cell r="H754">
            <v>3</v>
          </cell>
          <cell r="I754" t="str">
            <v>Yes</v>
          </cell>
          <cell r="J754" t="str">
            <v/>
          </cell>
          <cell r="K754" t="str">
            <v>No</v>
          </cell>
          <cell r="L754" t="str">
            <v/>
          </cell>
          <cell r="M754" t="str">
            <v/>
          </cell>
          <cell r="N754" t="str">
            <v>Spool</v>
          </cell>
          <cell r="O754">
            <v>0</v>
          </cell>
          <cell r="P754">
            <v>0</v>
          </cell>
          <cell r="Q754" t="str">
            <v>CS</v>
          </cell>
          <cell r="R754">
            <v>1</v>
          </cell>
          <cell r="S754">
            <v>1</v>
          </cell>
          <cell r="T754">
            <v>169.20251999999999</v>
          </cell>
          <cell r="U754">
            <v>169.20251999999999</v>
          </cell>
        </row>
        <row r="755">
          <cell r="B755" t="str">
            <v>V17551-PIND-0032-03</v>
          </cell>
          <cell r="C755" t="str">
            <v>PROD/25-26/07353</v>
          </cell>
          <cell r="D755" t="str">
            <v/>
          </cell>
          <cell r="E755" t="str">
            <v>TJ/25-26/184-CS</v>
          </cell>
          <cell r="F755" t="str">
            <v>P5,P1</v>
          </cell>
          <cell r="G755">
            <v>0</v>
          </cell>
          <cell r="H755">
            <v>3</v>
          </cell>
          <cell r="I755" t="str">
            <v>Yes</v>
          </cell>
          <cell r="J755" t="str">
            <v/>
          </cell>
          <cell r="K755" t="str">
            <v>No</v>
          </cell>
          <cell r="L755" t="str">
            <v/>
          </cell>
          <cell r="M755" t="str">
            <v/>
          </cell>
          <cell r="N755" t="str">
            <v>Spool</v>
          </cell>
          <cell r="O755">
            <v>0</v>
          </cell>
          <cell r="P755">
            <v>0</v>
          </cell>
          <cell r="Q755" t="str">
            <v>CS</v>
          </cell>
          <cell r="R755">
            <v>1</v>
          </cell>
          <cell r="S755">
            <v>1</v>
          </cell>
          <cell r="T755">
            <v>169.20251999999999</v>
          </cell>
          <cell r="U755">
            <v>169.20251999999999</v>
          </cell>
        </row>
        <row r="756">
          <cell r="B756" t="str">
            <v>V17551-PIND-0034-03</v>
          </cell>
          <cell r="C756" t="str">
            <v>PROD/25-26/07354</v>
          </cell>
          <cell r="D756" t="str">
            <v/>
          </cell>
          <cell r="E756" t="str">
            <v>TJ/25-26/184-CS</v>
          </cell>
          <cell r="F756" t="str">
            <v>P5,P1</v>
          </cell>
          <cell r="G756">
            <v>0</v>
          </cell>
          <cell r="H756">
            <v>3</v>
          </cell>
          <cell r="I756" t="str">
            <v>Yes</v>
          </cell>
          <cell r="J756" t="str">
            <v/>
          </cell>
          <cell r="K756" t="str">
            <v>No</v>
          </cell>
          <cell r="L756" t="str">
            <v/>
          </cell>
          <cell r="M756" t="str">
            <v/>
          </cell>
          <cell r="N756" t="str">
            <v>Spool</v>
          </cell>
          <cell r="O756">
            <v>0</v>
          </cell>
          <cell r="P756">
            <v>0</v>
          </cell>
          <cell r="Q756" t="str">
            <v>CS</v>
          </cell>
          <cell r="R756">
            <v>1</v>
          </cell>
          <cell r="S756">
            <v>1</v>
          </cell>
          <cell r="T756">
            <v>169.20251999999999</v>
          </cell>
          <cell r="U756">
            <v>169.20251999999999</v>
          </cell>
        </row>
        <row r="757">
          <cell r="B757" t="str">
            <v>V17551-PIND-0036-03</v>
          </cell>
          <cell r="C757" t="str">
            <v>PROD/25-26/07355</v>
          </cell>
          <cell r="D757" t="str">
            <v/>
          </cell>
          <cell r="E757" t="str">
            <v>TJ/25-26/184-CS</v>
          </cell>
          <cell r="F757" t="str">
            <v>P5,P1</v>
          </cell>
          <cell r="G757">
            <v>0</v>
          </cell>
          <cell r="H757">
            <v>3</v>
          </cell>
          <cell r="I757" t="str">
            <v>Yes</v>
          </cell>
          <cell r="J757" t="str">
            <v/>
          </cell>
          <cell r="K757" t="str">
            <v>No</v>
          </cell>
          <cell r="L757" t="str">
            <v/>
          </cell>
          <cell r="M757" t="str">
            <v/>
          </cell>
          <cell r="N757" t="str">
            <v>Spool</v>
          </cell>
          <cell r="O757">
            <v>0</v>
          </cell>
          <cell r="P757">
            <v>0</v>
          </cell>
          <cell r="Q757" t="str">
            <v>CS</v>
          </cell>
          <cell r="R757">
            <v>1</v>
          </cell>
          <cell r="S757">
            <v>1</v>
          </cell>
          <cell r="T757">
            <v>169.20251999999999</v>
          </cell>
          <cell r="U757">
            <v>169.20251999999999</v>
          </cell>
        </row>
        <row r="758">
          <cell r="B758" t="str">
            <v>V17551-PIND-0038-03</v>
          </cell>
          <cell r="C758" t="str">
            <v>PROD/25-26/07356</v>
          </cell>
          <cell r="D758" t="str">
            <v/>
          </cell>
          <cell r="E758" t="str">
            <v>TJ/25-26/184-CS</v>
          </cell>
          <cell r="F758" t="str">
            <v>P5,P1</v>
          </cell>
          <cell r="G758">
            <v>0</v>
          </cell>
          <cell r="H758">
            <v>3</v>
          </cell>
          <cell r="I758" t="str">
            <v>Yes</v>
          </cell>
          <cell r="J758" t="str">
            <v/>
          </cell>
          <cell r="K758" t="str">
            <v>No</v>
          </cell>
          <cell r="L758" t="str">
            <v/>
          </cell>
          <cell r="M758" t="str">
            <v/>
          </cell>
          <cell r="N758" t="str">
            <v>Spool</v>
          </cell>
          <cell r="O758">
            <v>0</v>
          </cell>
          <cell r="P758">
            <v>0</v>
          </cell>
          <cell r="Q758" t="str">
            <v>CS</v>
          </cell>
          <cell r="R758">
            <v>1</v>
          </cell>
          <cell r="S758">
            <v>1</v>
          </cell>
          <cell r="T758">
            <v>169.20251999999999</v>
          </cell>
          <cell r="U758">
            <v>169.20251999999999</v>
          </cell>
        </row>
        <row r="759">
          <cell r="B759" t="str">
            <v>V17551-PIND-0040-03</v>
          </cell>
          <cell r="C759" t="str">
            <v>PROD/25-26/07357</v>
          </cell>
          <cell r="D759" t="str">
            <v/>
          </cell>
          <cell r="E759" t="str">
            <v>TJ/25-26/184-CS</v>
          </cell>
          <cell r="F759" t="str">
            <v>P5,P1</v>
          </cell>
          <cell r="G759">
            <v>0</v>
          </cell>
          <cell r="H759">
            <v>3</v>
          </cell>
          <cell r="I759" t="str">
            <v>Yes</v>
          </cell>
          <cell r="J759" t="str">
            <v/>
          </cell>
          <cell r="K759" t="str">
            <v>No</v>
          </cell>
          <cell r="L759" t="str">
            <v/>
          </cell>
          <cell r="M759" t="str">
            <v/>
          </cell>
          <cell r="N759" t="str">
            <v>Spool</v>
          </cell>
          <cell r="O759">
            <v>0</v>
          </cell>
          <cell r="P759">
            <v>0</v>
          </cell>
          <cell r="Q759" t="str">
            <v>CS</v>
          </cell>
          <cell r="R759">
            <v>1</v>
          </cell>
          <cell r="S759">
            <v>1</v>
          </cell>
          <cell r="T759">
            <v>169.20251999999999</v>
          </cell>
          <cell r="U759">
            <v>169.20251999999999</v>
          </cell>
        </row>
        <row r="760">
          <cell r="B760" t="str">
            <v>V17551-PIND-0042-03</v>
          </cell>
          <cell r="C760" t="str">
            <v>PROD/25-26/07358</v>
          </cell>
          <cell r="D760" t="str">
            <v/>
          </cell>
          <cell r="E760" t="str">
            <v>TJ/25-26/184-CS</v>
          </cell>
          <cell r="F760" t="str">
            <v>P5,P1</v>
          </cell>
          <cell r="G760">
            <v>0</v>
          </cell>
          <cell r="H760">
            <v>3</v>
          </cell>
          <cell r="I760" t="str">
            <v>Yes</v>
          </cell>
          <cell r="J760" t="str">
            <v/>
          </cell>
          <cell r="K760" t="str">
            <v>No</v>
          </cell>
          <cell r="L760" t="str">
            <v/>
          </cell>
          <cell r="M760" t="str">
            <v/>
          </cell>
          <cell r="N760" t="str">
            <v>Spool</v>
          </cell>
          <cell r="O760">
            <v>0</v>
          </cell>
          <cell r="P760">
            <v>0</v>
          </cell>
          <cell r="Q760" t="str">
            <v>CS</v>
          </cell>
          <cell r="R760">
            <v>1</v>
          </cell>
          <cell r="S760">
            <v>1</v>
          </cell>
          <cell r="T760">
            <v>169.20251999999999</v>
          </cell>
          <cell r="U760">
            <v>169.20251999999999</v>
          </cell>
        </row>
        <row r="761">
          <cell r="B761" t="str">
            <v>V17551-PIND-0044-03</v>
          </cell>
          <cell r="C761" t="str">
            <v>PROD/25-26/07359</v>
          </cell>
          <cell r="D761" t="str">
            <v/>
          </cell>
          <cell r="E761" t="str">
            <v>TJ/25-26/184-CS</v>
          </cell>
          <cell r="F761" t="str">
            <v>P5,P1</v>
          </cell>
          <cell r="G761">
            <v>0</v>
          </cell>
          <cell r="H761">
            <v>3</v>
          </cell>
          <cell r="I761" t="str">
            <v>Yes</v>
          </cell>
          <cell r="J761" t="str">
            <v/>
          </cell>
          <cell r="K761" t="str">
            <v>No</v>
          </cell>
          <cell r="L761" t="str">
            <v/>
          </cell>
          <cell r="M761" t="str">
            <v/>
          </cell>
          <cell r="N761" t="str">
            <v>Spool</v>
          </cell>
          <cell r="O761">
            <v>0</v>
          </cell>
          <cell r="P761">
            <v>0</v>
          </cell>
          <cell r="Q761" t="str">
            <v>CS</v>
          </cell>
          <cell r="R761">
            <v>1</v>
          </cell>
          <cell r="S761">
            <v>1</v>
          </cell>
          <cell r="T761">
            <v>169.20251999999999</v>
          </cell>
          <cell r="U761">
            <v>169.20251999999999</v>
          </cell>
        </row>
        <row r="762">
          <cell r="B762" t="str">
            <v>V17551-PIND-0046-03</v>
          </cell>
          <cell r="C762" t="str">
            <v>PROD/25-26/07360</v>
          </cell>
          <cell r="D762" t="str">
            <v/>
          </cell>
          <cell r="E762" t="str">
            <v>TJ/25-26/184-CS</v>
          </cell>
          <cell r="F762" t="str">
            <v>P5,P1</v>
          </cell>
          <cell r="G762">
            <v>0</v>
          </cell>
          <cell r="H762">
            <v>3</v>
          </cell>
          <cell r="I762" t="str">
            <v>Yes</v>
          </cell>
          <cell r="J762" t="str">
            <v/>
          </cell>
          <cell r="K762" t="str">
            <v>No</v>
          </cell>
          <cell r="L762" t="str">
            <v/>
          </cell>
          <cell r="M762" t="str">
            <v/>
          </cell>
          <cell r="N762" t="str">
            <v>Spool</v>
          </cell>
          <cell r="O762">
            <v>0</v>
          </cell>
          <cell r="P762">
            <v>0</v>
          </cell>
          <cell r="Q762" t="str">
            <v>CS</v>
          </cell>
          <cell r="R762">
            <v>1</v>
          </cell>
          <cell r="S762">
            <v>1</v>
          </cell>
          <cell r="T762">
            <v>169.20251999999999</v>
          </cell>
          <cell r="U762">
            <v>169.20251999999999</v>
          </cell>
        </row>
        <row r="763">
          <cell r="B763" t="str">
            <v>V17551-PIND-0048-03</v>
          </cell>
          <cell r="C763" t="str">
            <v>PROD/25-26/07361</v>
          </cell>
          <cell r="D763" t="str">
            <v/>
          </cell>
          <cell r="E763" t="str">
            <v>TJ/25-26/184-CS</v>
          </cell>
          <cell r="F763" t="str">
            <v>P5,P1</v>
          </cell>
          <cell r="G763">
            <v>0</v>
          </cell>
          <cell r="H763">
            <v>3</v>
          </cell>
          <cell r="I763" t="str">
            <v>Yes</v>
          </cell>
          <cell r="J763" t="str">
            <v/>
          </cell>
          <cell r="K763" t="str">
            <v>No</v>
          </cell>
          <cell r="L763" t="str">
            <v/>
          </cell>
          <cell r="M763" t="str">
            <v/>
          </cell>
          <cell r="N763" t="str">
            <v>Spool</v>
          </cell>
          <cell r="O763">
            <v>0</v>
          </cell>
          <cell r="P763">
            <v>0</v>
          </cell>
          <cell r="Q763" t="str">
            <v>CS</v>
          </cell>
          <cell r="R763">
            <v>1</v>
          </cell>
          <cell r="S763">
            <v>1</v>
          </cell>
          <cell r="T763">
            <v>169.20251999999999</v>
          </cell>
          <cell r="U763">
            <v>169.20251999999999</v>
          </cell>
        </row>
        <row r="764">
          <cell r="B764" t="str">
            <v>V17551-PIND-0050-03</v>
          </cell>
          <cell r="C764" t="str">
            <v>PROD/25-26/07362</v>
          </cell>
          <cell r="D764" t="str">
            <v/>
          </cell>
          <cell r="E764" t="str">
            <v>TJ/25-26/184-CS</v>
          </cell>
          <cell r="F764" t="str">
            <v>P5,P1</v>
          </cell>
          <cell r="G764">
            <v>0</v>
          </cell>
          <cell r="H764">
            <v>3</v>
          </cell>
          <cell r="I764" t="str">
            <v>Yes</v>
          </cell>
          <cell r="J764" t="str">
            <v/>
          </cell>
          <cell r="K764" t="str">
            <v>No</v>
          </cell>
          <cell r="L764" t="str">
            <v/>
          </cell>
          <cell r="M764" t="str">
            <v/>
          </cell>
          <cell r="N764" t="str">
            <v>Spool</v>
          </cell>
          <cell r="O764">
            <v>0</v>
          </cell>
          <cell r="P764">
            <v>0</v>
          </cell>
          <cell r="Q764" t="str">
            <v>CS</v>
          </cell>
          <cell r="R764">
            <v>1</v>
          </cell>
          <cell r="S764">
            <v>1</v>
          </cell>
          <cell r="T764">
            <v>169.22681983199999</v>
          </cell>
          <cell r="U764">
            <v>169.22681983199999</v>
          </cell>
        </row>
        <row r="765">
          <cell r="B765" t="str">
            <v>V17551-PIND-0052-03</v>
          </cell>
          <cell r="C765" t="str">
            <v>PROD/25-26/07363</v>
          </cell>
          <cell r="D765" t="str">
            <v/>
          </cell>
          <cell r="E765" t="str">
            <v>TJ/25-26/184-CS</v>
          </cell>
          <cell r="F765" t="str">
            <v>P5,P1</v>
          </cell>
          <cell r="G765">
            <v>0</v>
          </cell>
          <cell r="H765">
            <v>3</v>
          </cell>
          <cell r="I765" t="str">
            <v>Yes</v>
          </cell>
          <cell r="J765" t="str">
            <v/>
          </cell>
          <cell r="K765" t="str">
            <v>No</v>
          </cell>
          <cell r="L765" t="str">
            <v/>
          </cell>
          <cell r="M765" t="str">
            <v/>
          </cell>
          <cell r="N765" t="str">
            <v>Spool</v>
          </cell>
          <cell r="O765">
            <v>0</v>
          </cell>
          <cell r="P765">
            <v>0</v>
          </cell>
          <cell r="Q765" t="str">
            <v>CS</v>
          </cell>
          <cell r="R765">
            <v>1</v>
          </cell>
          <cell r="S765">
            <v>1</v>
          </cell>
          <cell r="T765">
            <v>169.20251999999999</v>
          </cell>
          <cell r="U765">
            <v>169.20251999999999</v>
          </cell>
        </row>
        <row r="766">
          <cell r="B766" t="str">
            <v>V17551-PIND-0054-03</v>
          </cell>
          <cell r="C766" t="str">
            <v>PROD/25-26/07364</v>
          </cell>
          <cell r="D766" t="str">
            <v/>
          </cell>
          <cell r="E766" t="str">
            <v>TJ/25-26/184-CS</v>
          </cell>
          <cell r="F766" t="str">
            <v>P5,P1</v>
          </cell>
          <cell r="G766">
            <v>0</v>
          </cell>
          <cell r="H766">
            <v>3</v>
          </cell>
          <cell r="I766" t="str">
            <v>Yes</v>
          </cell>
          <cell r="J766" t="str">
            <v/>
          </cell>
          <cell r="K766" t="str">
            <v>No</v>
          </cell>
          <cell r="L766" t="str">
            <v/>
          </cell>
          <cell r="M766" t="str">
            <v/>
          </cell>
          <cell r="N766" t="str">
            <v>Spool</v>
          </cell>
          <cell r="O766">
            <v>0</v>
          </cell>
          <cell r="P766">
            <v>0</v>
          </cell>
          <cell r="Q766" t="str">
            <v>CS</v>
          </cell>
          <cell r="R766">
            <v>1</v>
          </cell>
          <cell r="S766">
            <v>1</v>
          </cell>
          <cell r="T766">
            <v>169.20251999999999</v>
          </cell>
          <cell r="U766">
            <v>169.20251999999999</v>
          </cell>
        </row>
        <row r="767">
          <cell r="B767" t="str">
            <v>V17551-PIND-0056-03</v>
          </cell>
          <cell r="C767" t="str">
            <v>PROD/25-26/07421</v>
          </cell>
          <cell r="D767" t="str">
            <v/>
          </cell>
          <cell r="E767" t="str">
            <v>TJ/25-26/184-CS</v>
          </cell>
          <cell r="F767" t="str">
            <v>P5,P1</v>
          </cell>
          <cell r="G767">
            <v>0</v>
          </cell>
          <cell r="H767">
            <v>3</v>
          </cell>
          <cell r="I767" t="str">
            <v>Yes</v>
          </cell>
          <cell r="J767" t="str">
            <v/>
          </cell>
          <cell r="K767" t="str">
            <v>No</v>
          </cell>
          <cell r="L767" t="str">
            <v/>
          </cell>
          <cell r="M767" t="str">
            <v/>
          </cell>
          <cell r="N767" t="str">
            <v>Spool</v>
          </cell>
          <cell r="O767">
            <v>0</v>
          </cell>
          <cell r="P767">
            <v>0</v>
          </cell>
          <cell r="Q767" t="str">
            <v>CS</v>
          </cell>
          <cell r="R767">
            <v>1</v>
          </cell>
          <cell r="S767">
            <v>1</v>
          </cell>
          <cell r="T767">
            <v>169.20251999999999</v>
          </cell>
          <cell r="U767">
            <v>169.20251999999999</v>
          </cell>
        </row>
        <row r="768">
          <cell r="B768" t="str">
            <v>V17551-PIND-0058-03</v>
          </cell>
          <cell r="C768" t="str">
            <v>PROD/25-26/07422</v>
          </cell>
          <cell r="D768" t="str">
            <v/>
          </cell>
          <cell r="E768" t="str">
            <v>TJ/25-26/184-CS</v>
          </cell>
          <cell r="F768" t="str">
            <v>P5,P1</v>
          </cell>
          <cell r="G768">
            <v>0</v>
          </cell>
          <cell r="H768">
            <v>3</v>
          </cell>
          <cell r="I768" t="str">
            <v>Yes</v>
          </cell>
          <cell r="J768" t="str">
            <v/>
          </cell>
          <cell r="K768" t="str">
            <v>No</v>
          </cell>
          <cell r="L768" t="str">
            <v/>
          </cell>
          <cell r="M768" t="str">
            <v/>
          </cell>
          <cell r="N768" t="str">
            <v>Spool</v>
          </cell>
          <cell r="O768">
            <v>0</v>
          </cell>
          <cell r="P768">
            <v>0</v>
          </cell>
          <cell r="Q768" t="str">
            <v>CS</v>
          </cell>
          <cell r="R768">
            <v>1</v>
          </cell>
          <cell r="S768">
            <v>1</v>
          </cell>
          <cell r="T768">
            <v>169.20251999999999</v>
          </cell>
          <cell r="U768">
            <v>169.20251999999999</v>
          </cell>
        </row>
        <row r="769">
          <cell r="B769" t="str">
            <v>V17551-PIND-0060-03</v>
          </cell>
          <cell r="C769" t="str">
            <v>PROD/25-26/07423</v>
          </cell>
          <cell r="D769" t="str">
            <v/>
          </cell>
          <cell r="E769" t="str">
            <v>TJ/25-26/184-CS</v>
          </cell>
          <cell r="F769" t="str">
            <v>P5,P1</v>
          </cell>
          <cell r="G769">
            <v>0</v>
          </cell>
          <cell r="H769">
            <v>3</v>
          </cell>
          <cell r="I769" t="str">
            <v>Yes</v>
          </cell>
          <cell r="J769" t="str">
            <v/>
          </cell>
          <cell r="K769" t="str">
            <v>No</v>
          </cell>
          <cell r="L769" t="str">
            <v/>
          </cell>
          <cell r="M769" t="str">
            <v/>
          </cell>
          <cell r="N769" t="str">
            <v>Spool</v>
          </cell>
          <cell r="O769">
            <v>0</v>
          </cell>
          <cell r="P769">
            <v>0</v>
          </cell>
          <cell r="Q769" t="str">
            <v>CS</v>
          </cell>
          <cell r="R769">
            <v>1</v>
          </cell>
          <cell r="S769">
            <v>1</v>
          </cell>
          <cell r="T769">
            <v>169.20251999999999</v>
          </cell>
          <cell r="U769">
            <v>169.20251999999999</v>
          </cell>
        </row>
        <row r="770">
          <cell r="B770" t="str">
            <v>V17551-PIND-0062-03</v>
          </cell>
          <cell r="C770" t="str">
            <v>PROD/25-26/07424</v>
          </cell>
          <cell r="D770" t="str">
            <v/>
          </cell>
          <cell r="E770" t="str">
            <v>TJ/25-26/184-CS</v>
          </cell>
          <cell r="F770" t="str">
            <v>P5,P1</v>
          </cell>
          <cell r="G770">
            <v>0</v>
          </cell>
          <cell r="H770">
            <v>3</v>
          </cell>
          <cell r="I770" t="str">
            <v>Yes</v>
          </cell>
          <cell r="J770" t="str">
            <v/>
          </cell>
          <cell r="K770" t="str">
            <v>No</v>
          </cell>
          <cell r="L770" t="str">
            <v/>
          </cell>
          <cell r="M770" t="str">
            <v/>
          </cell>
          <cell r="N770" t="str">
            <v>Spool</v>
          </cell>
          <cell r="O770">
            <v>0</v>
          </cell>
          <cell r="P770">
            <v>0</v>
          </cell>
          <cell r="Q770" t="str">
            <v>CS</v>
          </cell>
          <cell r="R770">
            <v>1</v>
          </cell>
          <cell r="S770">
            <v>1</v>
          </cell>
          <cell r="T770">
            <v>169.22681983199999</v>
          </cell>
          <cell r="U770">
            <v>169.22681983199999</v>
          </cell>
        </row>
        <row r="771">
          <cell r="B771" t="str">
            <v>V17551-PIND-0064-03</v>
          </cell>
          <cell r="C771" t="str">
            <v>PROD/25-26/07425</v>
          </cell>
          <cell r="D771" t="str">
            <v/>
          </cell>
          <cell r="E771" t="str">
            <v>TJ/25-26/184-CS</v>
          </cell>
          <cell r="F771" t="str">
            <v>P5,P1</v>
          </cell>
          <cell r="G771">
            <v>0</v>
          </cell>
          <cell r="H771">
            <v>3</v>
          </cell>
          <cell r="I771" t="str">
            <v>Yes</v>
          </cell>
          <cell r="J771" t="str">
            <v/>
          </cell>
          <cell r="K771" t="str">
            <v>No</v>
          </cell>
          <cell r="L771" t="str">
            <v/>
          </cell>
          <cell r="M771" t="str">
            <v/>
          </cell>
          <cell r="N771" t="str">
            <v>Spool</v>
          </cell>
          <cell r="O771">
            <v>0</v>
          </cell>
          <cell r="P771">
            <v>0</v>
          </cell>
          <cell r="Q771" t="str">
            <v>CS</v>
          </cell>
          <cell r="R771">
            <v>1</v>
          </cell>
          <cell r="S771">
            <v>1</v>
          </cell>
          <cell r="T771">
            <v>274.27044044000002</v>
          </cell>
          <cell r="U771">
            <v>274.27044044000002</v>
          </cell>
        </row>
        <row r="772">
          <cell r="B772" t="str">
            <v>V17551-PIND-0066-03</v>
          </cell>
          <cell r="C772" t="str">
            <v>PROD/25-26/07426</v>
          </cell>
          <cell r="D772" t="str">
            <v/>
          </cell>
          <cell r="E772" t="str">
            <v>TJ/25-26/184-CS</v>
          </cell>
          <cell r="F772" t="str">
            <v>P5,P1</v>
          </cell>
          <cell r="G772">
            <v>0</v>
          </cell>
          <cell r="H772">
            <v>3</v>
          </cell>
          <cell r="I772" t="str">
            <v>Yes</v>
          </cell>
          <cell r="J772" t="str">
            <v/>
          </cell>
          <cell r="K772" t="str">
            <v>No</v>
          </cell>
          <cell r="L772" t="str">
            <v/>
          </cell>
          <cell r="M772" t="str">
            <v/>
          </cell>
          <cell r="N772" t="str">
            <v>Spool</v>
          </cell>
          <cell r="O772">
            <v>0</v>
          </cell>
          <cell r="P772">
            <v>0</v>
          </cell>
          <cell r="Q772" t="str">
            <v>CS</v>
          </cell>
          <cell r="R772">
            <v>1</v>
          </cell>
          <cell r="S772">
            <v>1</v>
          </cell>
          <cell r="T772">
            <v>231.06090044000001</v>
          </cell>
          <cell r="U772">
            <v>231.06090044000001</v>
          </cell>
        </row>
        <row r="773">
          <cell r="B773" t="str">
            <v>V17551-PIND-0068-03</v>
          </cell>
          <cell r="C773" t="str">
            <v>PROD/25-26/07427</v>
          </cell>
          <cell r="D773" t="str">
            <v/>
          </cell>
          <cell r="E773" t="str">
            <v>TJ/25-26/184-CS</v>
          </cell>
          <cell r="F773" t="str">
            <v>P5,P1</v>
          </cell>
          <cell r="G773">
            <v>0</v>
          </cell>
          <cell r="H773">
            <v>3</v>
          </cell>
          <cell r="I773" t="str">
            <v>Yes</v>
          </cell>
          <cell r="J773" t="str">
            <v/>
          </cell>
          <cell r="K773" t="str">
            <v>No</v>
          </cell>
          <cell r="L773" t="str">
            <v/>
          </cell>
          <cell r="M773" t="str">
            <v/>
          </cell>
          <cell r="N773" t="str">
            <v>Spool</v>
          </cell>
          <cell r="O773">
            <v>0</v>
          </cell>
          <cell r="P773">
            <v>0</v>
          </cell>
          <cell r="Q773" t="str">
            <v>CS</v>
          </cell>
          <cell r="R773">
            <v>1</v>
          </cell>
          <cell r="S773">
            <v>1</v>
          </cell>
          <cell r="T773">
            <v>190.79444043999999</v>
          </cell>
          <cell r="U773">
            <v>190.79444043999999</v>
          </cell>
        </row>
        <row r="774">
          <cell r="B774" t="str">
            <v>V17551-PIND-0070-03</v>
          </cell>
          <cell r="C774" t="str">
            <v>PROD/25-26/07428</v>
          </cell>
          <cell r="D774" t="str">
            <v/>
          </cell>
          <cell r="E774" t="str">
            <v>TJ/25-26/184-CS</v>
          </cell>
          <cell r="F774" t="str">
            <v>P5,P1</v>
          </cell>
          <cell r="G774">
            <v>0</v>
          </cell>
          <cell r="H774">
            <v>3</v>
          </cell>
          <cell r="I774" t="str">
            <v>Yes</v>
          </cell>
          <cell r="J774" t="str">
            <v/>
          </cell>
          <cell r="K774" t="str">
            <v>No</v>
          </cell>
          <cell r="L774" t="str">
            <v/>
          </cell>
          <cell r="M774" t="str">
            <v/>
          </cell>
          <cell r="N774" t="str">
            <v>Spool</v>
          </cell>
          <cell r="O774">
            <v>0</v>
          </cell>
          <cell r="P774">
            <v>0</v>
          </cell>
          <cell r="Q774" t="str">
            <v>CS</v>
          </cell>
          <cell r="R774">
            <v>1</v>
          </cell>
          <cell r="S774">
            <v>1</v>
          </cell>
          <cell r="T774">
            <v>103.402346592</v>
          </cell>
          <cell r="U774">
            <v>103.402346592</v>
          </cell>
        </row>
        <row r="775">
          <cell r="B775" t="str">
            <v>V17551-PIND-0072-03</v>
          </cell>
          <cell r="C775" t="str">
            <v>PROD/25-26/07429</v>
          </cell>
          <cell r="D775" t="str">
            <v/>
          </cell>
          <cell r="E775" t="str">
            <v>TJ/25-26/184-CS</v>
          </cell>
          <cell r="F775" t="str">
            <v>P5,P1</v>
          </cell>
          <cell r="G775">
            <v>0</v>
          </cell>
          <cell r="H775">
            <v>3</v>
          </cell>
          <cell r="I775" t="str">
            <v>Yes</v>
          </cell>
          <cell r="J775" t="str">
            <v/>
          </cell>
          <cell r="K775" t="str">
            <v>No</v>
          </cell>
          <cell r="L775" t="str">
            <v/>
          </cell>
          <cell r="M775" t="str">
            <v/>
          </cell>
          <cell r="N775" t="str">
            <v>Spool</v>
          </cell>
          <cell r="O775">
            <v>0</v>
          </cell>
          <cell r="P775">
            <v>0</v>
          </cell>
          <cell r="Q775" t="str">
            <v>CS</v>
          </cell>
          <cell r="R775">
            <v>1</v>
          </cell>
          <cell r="S775">
            <v>1</v>
          </cell>
          <cell r="T775">
            <v>90.487526591999995</v>
          </cell>
          <cell r="U775">
            <v>90.487526591999995</v>
          </cell>
        </row>
        <row r="776">
          <cell r="B776" t="str">
            <v>V17551-PIND-0074-03</v>
          </cell>
          <cell r="C776" t="str">
            <v>PROD/25-26/07430</v>
          </cell>
          <cell r="D776" t="str">
            <v/>
          </cell>
          <cell r="E776" t="str">
            <v>TJ/25-26/184-CS</v>
          </cell>
          <cell r="F776" t="str">
            <v>P5,P1</v>
          </cell>
          <cell r="G776">
            <v>0</v>
          </cell>
          <cell r="H776">
            <v>3</v>
          </cell>
          <cell r="I776" t="str">
            <v>Yes</v>
          </cell>
          <cell r="J776" t="str">
            <v/>
          </cell>
          <cell r="K776" t="str">
            <v>No</v>
          </cell>
          <cell r="L776" t="str">
            <v/>
          </cell>
          <cell r="M776" t="str">
            <v/>
          </cell>
          <cell r="N776" t="str">
            <v>Spool</v>
          </cell>
          <cell r="O776">
            <v>0</v>
          </cell>
          <cell r="P776">
            <v>0</v>
          </cell>
          <cell r="Q776" t="str">
            <v>CS</v>
          </cell>
          <cell r="R776">
            <v>1</v>
          </cell>
          <cell r="S776">
            <v>1</v>
          </cell>
          <cell r="T776">
            <v>117.697866592</v>
          </cell>
          <cell r="U776">
            <v>117.697866592</v>
          </cell>
        </row>
        <row r="777">
          <cell r="B777" t="str">
            <v>V17551-PIND-0076-03</v>
          </cell>
          <cell r="C777" t="str">
            <v>PROD/25-26/07431</v>
          </cell>
          <cell r="D777" t="str">
            <v/>
          </cell>
          <cell r="E777" t="str">
            <v>TJ/25-26/184-CS</v>
          </cell>
          <cell r="F777" t="str">
            <v>P5,P1</v>
          </cell>
          <cell r="G777">
            <v>0</v>
          </cell>
          <cell r="H777">
            <v>3</v>
          </cell>
          <cell r="I777" t="str">
            <v>Yes</v>
          </cell>
          <cell r="J777" t="str">
            <v/>
          </cell>
          <cell r="K777" t="str">
            <v>No</v>
          </cell>
          <cell r="L777" t="str">
            <v/>
          </cell>
          <cell r="M777" t="str">
            <v/>
          </cell>
          <cell r="N777" t="str">
            <v>Spool</v>
          </cell>
          <cell r="O777">
            <v>0</v>
          </cell>
          <cell r="P777">
            <v>0</v>
          </cell>
          <cell r="Q777" t="str">
            <v>CS</v>
          </cell>
          <cell r="R777">
            <v>1</v>
          </cell>
          <cell r="S777">
            <v>1</v>
          </cell>
          <cell r="T777">
            <v>82.592086592000001</v>
          </cell>
          <cell r="U777">
            <v>82.592086592000001</v>
          </cell>
        </row>
        <row r="778">
          <cell r="B778" t="str">
            <v>V17551-PIND-0078-03</v>
          </cell>
          <cell r="C778" t="str">
            <v>PROD/25-26/08075</v>
          </cell>
          <cell r="D778" t="str">
            <v/>
          </cell>
          <cell r="E778" t="str">
            <v>TJ/25-26/184-CS</v>
          </cell>
          <cell r="F778" t="str">
            <v>P5</v>
          </cell>
          <cell r="G778">
            <v>0</v>
          </cell>
          <cell r="H778">
            <v>3</v>
          </cell>
          <cell r="I778" t="str">
            <v>Yes</v>
          </cell>
          <cell r="J778" t="str">
            <v/>
          </cell>
          <cell r="K778" t="str">
            <v>No</v>
          </cell>
          <cell r="L778" t="str">
            <v/>
          </cell>
          <cell r="M778" t="str">
            <v/>
          </cell>
          <cell r="N778" t="str">
            <v>Spool</v>
          </cell>
          <cell r="O778">
            <v>0</v>
          </cell>
          <cell r="P778">
            <v>0</v>
          </cell>
          <cell r="Q778" t="str">
            <v>CS</v>
          </cell>
          <cell r="R778">
            <v>1</v>
          </cell>
          <cell r="S778">
            <v>1</v>
          </cell>
          <cell r="T778">
            <v>443.15200576000001</v>
          </cell>
          <cell r="U778">
            <v>443.15200576000001</v>
          </cell>
        </row>
        <row r="779">
          <cell r="B779" t="str">
            <v>V17551-PIND-0079-03</v>
          </cell>
          <cell r="C779" t="str">
            <v>PROD/25-26/08076</v>
          </cell>
          <cell r="D779" t="str">
            <v/>
          </cell>
          <cell r="E779" t="str">
            <v>TJ/25-26/184-CS</v>
          </cell>
          <cell r="F779" t="str">
            <v>P5</v>
          </cell>
          <cell r="G779">
            <v>0</v>
          </cell>
          <cell r="H779">
            <v>3</v>
          </cell>
          <cell r="I779" t="str">
            <v>Yes</v>
          </cell>
          <cell r="J779" t="str">
            <v/>
          </cell>
          <cell r="K779" t="str">
            <v>No</v>
          </cell>
          <cell r="L779" t="str">
            <v/>
          </cell>
          <cell r="M779" t="str">
            <v/>
          </cell>
          <cell r="N779" t="str">
            <v>Spool</v>
          </cell>
          <cell r="O779">
            <v>0</v>
          </cell>
          <cell r="P779">
            <v>0</v>
          </cell>
          <cell r="Q779" t="str">
            <v>CS</v>
          </cell>
          <cell r="R779">
            <v>1</v>
          </cell>
          <cell r="S779">
            <v>1</v>
          </cell>
          <cell r="T779">
            <v>2034.83208216</v>
          </cell>
          <cell r="U779">
            <v>2034.83208216</v>
          </cell>
        </row>
        <row r="780">
          <cell r="B780" t="str">
            <v>V17551-PIND-0080-03</v>
          </cell>
          <cell r="C780" t="str">
            <v>PROD/25-26/08511</v>
          </cell>
          <cell r="D780" t="str">
            <v/>
          </cell>
          <cell r="E780" t="str">
            <v>TJ/25-26/184-CS</v>
          </cell>
          <cell r="F780" t="str">
            <v>P5</v>
          </cell>
          <cell r="G780">
            <v>0</v>
          </cell>
          <cell r="H780">
            <v>3</v>
          </cell>
          <cell r="I780" t="str">
            <v>No</v>
          </cell>
          <cell r="J780" t="str">
            <v/>
          </cell>
          <cell r="K780" t="str">
            <v>No</v>
          </cell>
          <cell r="L780" t="str">
            <v/>
          </cell>
          <cell r="M780" t="str">
            <v/>
          </cell>
          <cell r="N780" t="str">
            <v>Spool</v>
          </cell>
          <cell r="O780">
            <v>0</v>
          </cell>
          <cell r="P780">
            <v>0</v>
          </cell>
          <cell r="Q780" t="str">
            <v>CS</v>
          </cell>
          <cell r="R780">
            <v>1</v>
          </cell>
          <cell r="S780">
            <v>1</v>
          </cell>
          <cell r="T780">
            <v>949.62532999999996</v>
          </cell>
          <cell r="U780">
            <v>949.62532999999996</v>
          </cell>
        </row>
        <row r="781">
          <cell r="B781" t="str">
            <v>V17551-PIND-0081-L18</v>
          </cell>
          <cell r="C781" t="str">
            <v>PROD/25-26/08655</v>
          </cell>
          <cell r="D781" t="str">
            <v/>
          </cell>
          <cell r="E781" t="str">
            <v>TJ/25-26/184-CS</v>
          </cell>
          <cell r="F781" t="str">
            <v>P5</v>
          </cell>
          <cell r="G781">
            <v>0</v>
          </cell>
          <cell r="H781">
            <v>3</v>
          </cell>
          <cell r="I781" t="str">
            <v>No</v>
          </cell>
          <cell r="J781" t="str">
            <v/>
          </cell>
          <cell r="K781" t="str">
            <v>No</v>
          </cell>
          <cell r="L781" t="str">
            <v/>
          </cell>
          <cell r="M781" t="str">
            <v/>
          </cell>
          <cell r="N781" t="str">
            <v>Spool</v>
          </cell>
          <cell r="O781">
            <v>0</v>
          </cell>
          <cell r="P781">
            <v>0</v>
          </cell>
          <cell r="Q781" t="str">
            <v>CS</v>
          </cell>
          <cell r="R781">
            <v>1</v>
          </cell>
          <cell r="S781">
            <v>1</v>
          </cell>
          <cell r="T781">
            <v>60.38</v>
          </cell>
          <cell r="U781">
            <v>60.38</v>
          </cell>
        </row>
        <row r="782">
          <cell r="B782" t="str">
            <v>V17551-PIND-0082-03</v>
          </cell>
          <cell r="C782" t="str">
            <v>PROD/25-26/06629</v>
          </cell>
          <cell r="D782" t="str">
            <v>S-5080</v>
          </cell>
          <cell r="E782" t="str">
            <v>TJ/25-26/184-CS</v>
          </cell>
          <cell r="F782" t="str">
            <v>P5</v>
          </cell>
          <cell r="G782">
            <v>0</v>
          </cell>
          <cell r="H782">
            <v>3</v>
          </cell>
          <cell r="I782" t="str">
            <v>Yes</v>
          </cell>
          <cell r="J782" t="str">
            <v/>
          </cell>
          <cell r="K782" t="str">
            <v>No</v>
          </cell>
          <cell r="L782" t="str">
            <v/>
          </cell>
          <cell r="M782" t="str">
            <v/>
          </cell>
          <cell r="N782" t="str">
            <v>Spool</v>
          </cell>
          <cell r="O782">
            <v>0</v>
          </cell>
          <cell r="P782">
            <v>0</v>
          </cell>
          <cell r="Q782" t="str">
            <v>CS</v>
          </cell>
          <cell r="R782">
            <v>1</v>
          </cell>
          <cell r="S782">
            <v>1</v>
          </cell>
          <cell r="T782">
            <v>1539.6859999999999</v>
          </cell>
          <cell r="U782">
            <v>1539.6859999999999</v>
          </cell>
        </row>
        <row r="783">
          <cell r="B783" t="str">
            <v>V17551-PIND-0083-03</v>
          </cell>
          <cell r="C783" t="str">
            <v>PROD/25-26/12795</v>
          </cell>
          <cell r="D783" t="str">
            <v>S-5085</v>
          </cell>
          <cell r="E783" t="str">
            <v>TJ/25-26/184-CS</v>
          </cell>
          <cell r="F783" t="str">
            <v>P5,P1</v>
          </cell>
          <cell r="G783">
            <v>0</v>
          </cell>
          <cell r="H783">
            <v>3</v>
          </cell>
          <cell r="I783" t="str">
            <v>Yes</v>
          </cell>
          <cell r="J783" t="str">
            <v/>
          </cell>
          <cell r="K783" t="str">
            <v>No</v>
          </cell>
          <cell r="L783" t="str">
            <v/>
          </cell>
          <cell r="M783" t="str">
            <v/>
          </cell>
          <cell r="N783" t="str">
            <v>Spool</v>
          </cell>
          <cell r="O783">
            <v>0</v>
          </cell>
          <cell r="P783">
            <v>0</v>
          </cell>
          <cell r="Q783" t="str">
            <v>CS</v>
          </cell>
          <cell r="R783">
            <v>1</v>
          </cell>
          <cell r="S783">
            <v>1</v>
          </cell>
          <cell r="T783">
            <v>275.04494318399998</v>
          </cell>
          <cell r="U783">
            <v>275.04494318399998</v>
          </cell>
        </row>
        <row r="784">
          <cell r="B784" t="str">
            <v>V17551-PIND-0084-01</v>
          </cell>
          <cell r="C784" t="str">
            <v>PROD/25-26/08418</v>
          </cell>
          <cell r="D784" t="str">
            <v>S-5090</v>
          </cell>
          <cell r="E784" t="str">
            <v>TJ/25-26/184-P22</v>
          </cell>
          <cell r="F784" t="str">
            <v>P5</v>
          </cell>
          <cell r="G784">
            <v>0</v>
          </cell>
          <cell r="H784">
            <v>3</v>
          </cell>
          <cell r="I784" t="str">
            <v>Yes</v>
          </cell>
          <cell r="J784" t="str">
            <v/>
          </cell>
          <cell r="K784" t="str">
            <v>No</v>
          </cell>
          <cell r="L784" t="str">
            <v/>
          </cell>
          <cell r="M784" t="str">
            <v/>
          </cell>
          <cell r="N784" t="str">
            <v>Spool</v>
          </cell>
          <cell r="O784">
            <v>0</v>
          </cell>
          <cell r="P784">
            <v>0</v>
          </cell>
          <cell r="Q784" t="str">
            <v>P22</v>
          </cell>
          <cell r="R784">
            <v>1</v>
          </cell>
          <cell r="S784">
            <v>1</v>
          </cell>
          <cell r="T784">
            <v>227.17744999999999</v>
          </cell>
          <cell r="U784">
            <v>227.17744999999999</v>
          </cell>
        </row>
        <row r="785">
          <cell r="B785" t="str">
            <v>V17551-PIND-0085-03</v>
          </cell>
          <cell r="C785" t="str">
            <v>PROD/25-26/14208</v>
          </cell>
          <cell r="D785" t="str">
            <v/>
          </cell>
          <cell r="E785" t="str">
            <v>TJ/25-26/184-CS</v>
          </cell>
          <cell r="F785" t="str">
            <v>P5,P1</v>
          </cell>
          <cell r="G785">
            <v>0</v>
          </cell>
          <cell r="H785">
            <v>3</v>
          </cell>
          <cell r="I785" t="str">
            <v>Yes</v>
          </cell>
          <cell r="J785" t="str">
            <v/>
          </cell>
          <cell r="K785" t="str">
            <v>No</v>
          </cell>
          <cell r="L785" t="str">
            <v/>
          </cell>
          <cell r="M785" t="str">
            <v/>
          </cell>
          <cell r="N785" t="str">
            <v>Spool</v>
          </cell>
          <cell r="O785">
            <v>0</v>
          </cell>
          <cell r="P785">
            <v>0</v>
          </cell>
          <cell r="Q785" t="str">
            <v>CS</v>
          </cell>
          <cell r="R785">
            <v>1</v>
          </cell>
          <cell r="S785">
            <v>1</v>
          </cell>
          <cell r="T785">
            <v>156.84352999999999</v>
          </cell>
          <cell r="U785">
            <v>156.84352999999999</v>
          </cell>
        </row>
        <row r="786">
          <cell r="B786" t="str">
            <v>V17551-PIND-0086-03</v>
          </cell>
          <cell r="C786" t="str">
            <v>PROD/25-26/08419</v>
          </cell>
          <cell r="D786" t="str">
            <v>S-5097</v>
          </cell>
          <cell r="E786" t="str">
            <v>TJ/25-26/184-CS</v>
          </cell>
          <cell r="F786" t="str">
            <v>P5,P1</v>
          </cell>
          <cell r="G786">
            <v>0</v>
          </cell>
          <cell r="H786">
            <v>3</v>
          </cell>
          <cell r="I786" t="str">
            <v>Yes</v>
          </cell>
          <cell r="J786" t="str">
            <v/>
          </cell>
          <cell r="K786" t="str">
            <v>No</v>
          </cell>
          <cell r="L786" t="str">
            <v/>
          </cell>
          <cell r="M786" t="str">
            <v/>
          </cell>
          <cell r="N786" t="str">
            <v>Spool</v>
          </cell>
          <cell r="O786">
            <v>0</v>
          </cell>
          <cell r="P786">
            <v>0</v>
          </cell>
          <cell r="Q786" t="str">
            <v>CS</v>
          </cell>
          <cell r="R786">
            <v>1</v>
          </cell>
          <cell r="S786">
            <v>1</v>
          </cell>
          <cell r="T786">
            <v>220.26034659199999</v>
          </cell>
          <cell r="U786">
            <v>220.26034659199999</v>
          </cell>
        </row>
        <row r="787">
          <cell r="B787" t="str">
            <v>V17551-PIND-0087-03</v>
          </cell>
          <cell r="C787" t="str">
            <v>PROD/25-26/07274</v>
          </cell>
          <cell r="D787" t="str">
            <v>S-5100</v>
          </cell>
          <cell r="E787" t="str">
            <v>TJ/25-26/184-CS</v>
          </cell>
          <cell r="F787" t="str">
            <v>P5</v>
          </cell>
          <cell r="G787">
            <v>0</v>
          </cell>
          <cell r="H787">
            <v>3</v>
          </cell>
          <cell r="I787" t="str">
            <v>Yes</v>
          </cell>
          <cell r="J787" t="str">
            <v/>
          </cell>
          <cell r="K787" t="str">
            <v>No</v>
          </cell>
          <cell r="L787" t="str">
            <v/>
          </cell>
          <cell r="M787" t="str">
            <v/>
          </cell>
          <cell r="N787" t="str">
            <v>Spool</v>
          </cell>
          <cell r="O787">
            <v>0</v>
          </cell>
          <cell r="P787">
            <v>0</v>
          </cell>
          <cell r="Q787" t="str">
            <v>CS</v>
          </cell>
          <cell r="R787">
            <v>1</v>
          </cell>
          <cell r="S787">
            <v>1</v>
          </cell>
          <cell r="T787">
            <v>190.80914999999999</v>
          </cell>
          <cell r="U787">
            <v>190.80914999999999</v>
          </cell>
        </row>
        <row r="788">
          <cell r="B788" t="str">
            <v>V17551-PIND-0088-03</v>
          </cell>
          <cell r="C788" t="str">
            <v>PROD/25-26/12797</v>
          </cell>
          <cell r="D788" t="str">
            <v>S-5112</v>
          </cell>
          <cell r="E788" t="str">
            <v>TJ/25-26/184-P91</v>
          </cell>
          <cell r="F788" t="str">
            <v>P5,P1</v>
          </cell>
          <cell r="G788">
            <v>0</v>
          </cell>
          <cell r="H788">
            <v>3</v>
          </cell>
          <cell r="I788" t="str">
            <v>Yes</v>
          </cell>
          <cell r="J788" t="str">
            <v/>
          </cell>
          <cell r="K788" t="str">
            <v>No</v>
          </cell>
          <cell r="L788" t="str">
            <v/>
          </cell>
          <cell r="M788" t="str">
            <v/>
          </cell>
          <cell r="N788" t="str">
            <v>Spool</v>
          </cell>
          <cell r="O788">
            <v>0</v>
          </cell>
          <cell r="P788">
            <v>0</v>
          </cell>
          <cell r="Q788" t="str">
            <v>P91</v>
          </cell>
          <cell r="R788">
            <v>1</v>
          </cell>
          <cell r="S788">
            <v>1</v>
          </cell>
          <cell r="T788">
            <v>1616.5049824319999</v>
          </cell>
          <cell r="U788">
            <v>1616.5049824319999</v>
          </cell>
        </row>
        <row r="789">
          <cell r="B789" t="str">
            <v>V17551-PIND-0089-03</v>
          </cell>
          <cell r="C789" t="str">
            <v>PROD/25-26/07128</v>
          </cell>
          <cell r="D789" t="str">
            <v>S-5115</v>
          </cell>
          <cell r="E789" t="str">
            <v>TJ/25-26/184-P91</v>
          </cell>
          <cell r="F789" t="str">
            <v>P5</v>
          </cell>
          <cell r="G789">
            <v>0</v>
          </cell>
          <cell r="H789">
            <v>3</v>
          </cell>
          <cell r="I789" t="str">
            <v>Yes</v>
          </cell>
          <cell r="J789" t="str">
            <v/>
          </cell>
          <cell r="K789" t="str">
            <v>No</v>
          </cell>
          <cell r="L789" t="str">
            <v/>
          </cell>
          <cell r="M789" t="str">
            <v/>
          </cell>
          <cell r="N789" t="str">
            <v>Spool</v>
          </cell>
          <cell r="O789">
            <v>0</v>
          </cell>
          <cell r="P789">
            <v>0</v>
          </cell>
          <cell r="Q789" t="str">
            <v>P91</v>
          </cell>
          <cell r="R789">
            <v>1</v>
          </cell>
          <cell r="S789">
            <v>1</v>
          </cell>
          <cell r="T789">
            <v>1376.6013600000001</v>
          </cell>
          <cell r="U789">
            <v>1376.6013600000001</v>
          </cell>
        </row>
        <row r="790">
          <cell r="B790" t="str">
            <v>V17551-PIND-0090-03</v>
          </cell>
          <cell r="C790" t="str">
            <v>PROD/25-26/12799</v>
          </cell>
          <cell r="D790" t="str">
            <v>S-5119</v>
          </cell>
          <cell r="E790" t="str">
            <v>TJ/25-26/184-P91</v>
          </cell>
          <cell r="F790" t="str">
            <v>P5,P1</v>
          </cell>
          <cell r="G790">
            <v>0</v>
          </cell>
          <cell r="H790">
            <v>3</v>
          </cell>
          <cell r="I790" t="str">
            <v>Yes</v>
          </cell>
          <cell r="J790" t="str">
            <v/>
          </cell>
          <cell r="K790" t="str">
            <v>No</v>
          </cell>
          <cell r="L790" t="str">
            <v/>
          </cell>
          <cell r="M790" t="str">
            <v/>
          </cell>
          <cell r="N790" t="str">
            <v>Spool</v>
          </cell>
          <cell r="O790">
            <v>0</v>
          </cell>
          <cell r="P790">
            <v>0</v>
          </cell>
          <cell r="Q790" t="str">
            <v>P91</v>
          </cell>
          <cell r="R790">
            <v>1</v>
          </cell>
          <cell r="S790">
            <v>1</v>
          </cell>
          <cell r="T790">
            <v>5918.7364967800004</v>
          </cell>
          <cell r="U790">
            <v>5918.7364967800004</v>
          </cell>
        </row>
        <row r="791">
          <cell r="B791" t="str">
            <v>V17551-PIND-0094-03</v>
          </cell>
          <cell r="C791" t="str">
            <v>PROD/25-26/06630</v>
          </cell>
          <cell r="D791" t="str">
            <v/>
          </cell>
          <cell r="E791" t="str">
            <v>TJ/25-26/184-CS</v>
          </cell>
          <cell r="F791" t="str">
            <v>P5</v>
          </cell>
          <cell r="G791">
            <v>0</v>
          </cell>
          <cell r="H791">
            <v>3</v>
          </cell>
          <cell r="I791" t="str">
            <v>Yes</v>
          </cell>
          <cell r="J791" t="str">
            <v/>
          </cell>
          <cell r="K791" t="str">
            <v>No</v>
          </cell>
          <cell r="L791" t="str">
            <v/>
          </cell>
          <cell r="M791" t="str">
            <v/>
          </cell>
          <cell r="N791" t="str">
            <v>Spool</v>
          </cell>
          <cell r="O791">
            <v>0</v>
          </cell>
          <cell r="P791">
            <v>0</v>
          </cell>
          <cell r="Q791" t="str">
            <v>CS</v>
          </cell>
          <cell r="R791">
            <v>1</v>
          </cell>
          <cell r="S791">
            <v>1</v>
          </cell>
          <cell r="T791">
            <v>49.999600000000001</v>
          </cell>
          <cell r="U791">
            <v>49.999600000000001</v>
          </cell>
        </row>
        <row r="792">
          <cell r="B792" t="str">
            <v>V17551-PIND-0096-L22</v>
          </cell>
          <cell r="C792" t="str">
            <v>PROD/25-26/08657</v>
          </cell>
          <cell r="D792" t="str">
            <v/>
          </cell>
          <cell r="E792" t="str">
            <v>TJ/25-26/184-CS</v>
          </cell>
          <cell r="F792" t="str">
            <v>P5</v>
          </cell>
          <cell r="G792">
            <v>0</v>
          </cell>
          <cell r="H792">
            <v>3</v>
          </cell>
          <cell r="I792" t="str">
            <v>No</v>
          </cell>
          <cell r="J792" t="str">
            <v/>
          </cell>
          <cell r="K792" t="str">
            <v>No</v>
          </cell>
          <cell r="L792" t="str">
            <v/>
          </cell>
          <cell r="M792" t="str">
            <v/>
          </cell>
          <cell r="N792" t="str">
            <v>Spool</v>
          </cell>
          <cell r="O792">
            <v>0</v>
          </cell>
          <cell r="P792">
            <v>0</v>
          </cell>
          <cell r="Q792" t="str">
            <v>CS</v>
          </cell>
          <cell r="R792">
            <v>1</v>
          </cell>
          <cell r="S792">
            <v>1</v>
          </cell>
          <cell r="T792">
            <v>33</v>
          </cell>
          <cell r="U792">
            <v>33</v>
          </cell>
        </row>
        <row r="793">
          <cell r="B793" t="str">
            <v>V17551-PIND-0098-03</v>
          </cell>
          <cell r="C793" t="str">
            <v>PROD/25-26/06826</v>
          </cell>
          <cell r="D793" t="str">
            <v>S-5133</v>
          </cell>
          <cell r="E793" t="str">
            <v>TJ/25-26/184-P11</v>
          </cell>
          <cell r="F793" t="str">
            <v>P5,P1</v>
          </cell>
          <cell r="G793">
            <v>0</v>
          </cell>
          <cell r="H793">
            <v>3</v>
          </cell>
          <cell r="I793" t="str">
            <v>Yes</v>
          </cell>
          <cell r="J793" t="str">
            <v/>
          </cell>
          <cell r="K793" t="str">
            <v>No</v>
          </cell>
          <cell r="L793" t="str">
            <v/>
          </cell>
          <cell r="M793" t="str">
            <v/>
          </cell>
          <cell r="N793" t="str">
            <v>Spool</v>
          </cell>
          <cell r="O793">
            <v>0</v>
          </cell>
          <cell r="P793">
            <v>0</v>
          </cell>
          <cell r="Q793" t="str">
            <v>P11</v>
          </cell>
          <cell r="R793">
            <v>1</v>
          </cell>
          <cell r="S793">
            <v>1</v>
          </cell>
          <cell r="T793">
            <v>37.271120000000003</v>
          </cell>
          <cell r="U793">
            <v>37.271120000000003</v>
          </cell>
        </row>
        <row r="794">
          <cell r="B794" t="str">
            <v>V17551-PIND-0100-03</v>
          </cell>
          <cell r="C794" t="str">
            <v>PROD/25-26/08658</v>
          </cell>
          <cell r="D794" t="str">
            <v>S-5138</v>
          </cell>
          <cell r="E794" t="str">
            <v>TJ/25-26/184-CS</v>
          </cell>
          <cell r="F794" t="str">
            <v>P5,P1</v>
          </cell>
          <cell r="G794">
            <v>0</v>
          </cell>
          <cell r="H794">
            <v>3</v>
          </cell>
          <cell r="I794" t="str">
            <v>Yes</v>
          </cell>
          <cell r="J794" t="str">
            <v/>
          </cell>
          <cell r="K794" t="str">
            <v>No</v>
          </cell>
          <cell r="L794" t="str">
            <v/>
          </cell>
          <cell r="M794" t="str">
            <v/>
          </cell>
          <cell r="N794" t="str">
            <v>Spool</v>
          </cell>
          <cell r="O794">
            <v>0</v>
          </cell>
          <cell r="P794">
            <v>0</v>
          </cell>
          <cell r="Q794" t="str">
            <v>CS</v>
          </cell>
          <cell r="R794">
            <v>1</v>
          </cell>
          <cell r="S794">
            <v>1</v>
          </cell>
          <cell r="T794">
            <v>306.06826515199998</v>
          </cell>
          <cell r="U794">
            <v>306.06826515199998</v>
          </cell>
        </row>
        <row r="795">
          <cell r="B795" t="str">
            <v>V17551-PIND-0101-03</v>
          </cell>
          <cell r="C795" t="str">
            <v>PROD/25-26/07440</v>
          </cell>
          <cell r="D795" t="str">
            <v/>
          </cell>
          <cell r="E795" t="str">
            <v>TJ/25-26/184-CS</v>
          </cell>
          <cell r="F795" t="str">
            <v>P5,P1</v>
          </cell>
          <cell r="G795">
            <v>0</v>
          </cell>
          <cell r="H795">
            <v>3</v>
          </cell>
          <cell r="I795" t="str">
            <v>Yes</v>
          </cell>
          <cell r="J795" t="str">
            <v/>
          </cell>
          <cell r="K795" t="str">
            <v>No</v>
          </cell>
          <cell r="L795" t="str">
            <v/>
          </cell>
          <cell r="M795" t="str">
            <v/>
          </cell>
          <cell r="N795" t="str">
            <v>Spool</v>
          </cell>
          <cell r="O795">
            <v>0</v>
          </cell>
          <cell r="P795">
            <v>0</v>
          </cell>
          <cell r="Q795" t="str">
            <v>CS</v>
          </cell>
          <cell r="R795">
            <v>1</v>
          </cell>
          <cell r="S795">
            <v>1</v>
          </cell>
          <cell r="T795">
            <v>69.704161744000004</v>
          </cell>
          <cell r="U795">
            <v>69.704161744000004</v>
          </cell>
        </row>
        <row r="796">
          <cell r="B796" t="str">
            <v>V17551-PIND-0102-03</v>
          </cell>
          <cell r="C796" t="str">
            <v>PROD/25-26/13258</v>
          </cell>
          <cell r="D796" t="str">
            <v>S-5141</v>
          </cell>
          <cell r="E796" t="str">
            <v>TJ/25-26/184-CS</v>
          </cell>
          <cell r="F796" t="str">
            <v>P5,P1</v>
          </cell>
          <cell r="G796">
            <v>0</v>
          </cell>
          <cell r="H796">
            <v>3</v>
          </cell>
          <cell r="I796" t="str">
            <v>Yes</v>
          </cell>
          <cell r="J796" t="str">
            <v/>
          </cell>
          <cell r="K796" t="str">
            <v>No</v>
          </cell>
          <cell r="L796" t="str">
            <v/>
          </cell>
          <cell r="M796" t="str">
            <v/>
          </cell>
          <cell r="N796" t="str">
            <v>Spool</v>
          </cell>
          <cell r="O796">
            <v>0</v>
          </cell>
          <cell r="P796">
            <v>0</v>
          </cell>
          <cell r="Q796" t="str">
            <v>CS</v>
          </cell>
          <cell r="R796">
            <v>1</v>
          </cell>
          <cell r="S796">
            <v>1</v>
          </cell>
          <cell r="T796">
            <v>560.87023515199996</v>
          </cell>
          <cell r="U796">
            <v>560.87023515199996</v>
          </cell>
        </row>
        <row r="797">
          <cell r="B797" t="str">
            <v>V17551-PIND-0103-03</v>
          </cell>
          <cell r="C797" t="str">
            <v>PROD/25-26/08421</v>
          </cell>
          <cell r="D797" t="str">
            <v>S-5144</v>
          </cell>
          <cell r="E797" t="str">
            <v>TJ/25-26/184-CS</v>
          </cell>
          <cell r="F797" t="str">
            <v>P5</v>
          </cell>
          <cell r="G797">
            <v>0</v>
          </cell>
          <cell r="H797">
            <v>3</v>
          </cell>
          <cell r="I797" t="str">
            <v>Yes</v>
          </cell>
          <cell r="J797" t="str">
            <v/>
          </cell>
          <cell r="K797" t="str">
            <v>No</v>
          </cell>
          <cell r="L797" t="str">
            <v/>
          </cell>
          <cell r="M797" t="str">
            <v/>
          </cell>
          <cell r="N797" t="str">
            <v>Spool</v>
          </cell>
          <cell r="O797">
            <v>0</v>
          </cell>
          <cell r="P797">
            <v>0</v>
          </cell>
          <cell r="Q797" t="str">
            <v>CS</v>
          </cell>
          <cell r="R797">
            <v>1</v>
          </cell>
          <cell r="S797">
            <v>1</v>
          </cell>
          <cell r="T797">
            <v>120.49679999999999</v>
          </cell>
          <cell r="U797">
            <v>120.49679999999999</v>
          </cell>
        </row>
        <row r="798">
          <cell r="B798" t="str">
            <v>V17551-PIND-0105-03</v>
          </cell>
          <cell r="C798" t="str">
            <v>PROD/25-26/08422</v>
          </cell>
          <cell r="D798" t="str">
            <v/>
          </cell>
          <cell r="E798" t="str">
            <v>TJ/25-26/184-CS</v>
          </cell>
          <cell r="F798" t="str">
            <v>P5,P1</v>
          </cell>
          <cell r="G798">
            <v>0</v>
          </cell>
          <cell r="H798">
            <v>3</v>
          </cell>
          <cell r="I798" t="str">
            <v>Yes</v>
          </cell>
          <cell r="J798" t="str">
            <v/>
          </cell>
          <cell r="K798" t="str">
            <v>No</v>
          </cell>
          <cell r="L798" t="str">
            <v/>
          </cell>
          <cell r="M798" t="str">
            <v/>
          </cell>
          <cell r="N798" t="str">
            <v>Spool</v>
          </cell>
          <cell r="O798">
            <v>0</v>
          </cell>
          <cell r="P798">
            <v>0</v>
          </cell>
          <cell r="Q798" t="str">
            <v>CS</v>
          </cell>
          <cell r="R798">
            <v>1</v>
          </cell>
          <cell r="S798">
            <v>1</v>
          </cell>
          <cell r="T798">
            <v>522.25148720000004</v>
          </cell>
          <cell r="U798">
            <v>522.25148720000004</v>
          </cell>
        </row>
        <row r="799">
          <cell r="B799" t="str">
            <v>V17551-PIND-0106-03</v>
          </cell>
          <cell r="C799" t="str">
            <v>PROD/25-26/12807</v>
          </cell>
          <cell r="D799" t="str">
            <v/>
          </cell>
          <cell r="E799" t="str">
            <v>TJ/25-26/184-CS</v>
          </cell>
          <cell r="F799" t="str">
            <v>P5,P1</v>
          </cell>
          <cell r="G799">
            <v>0</v>
          </cell>
          <cell r="H799">
            <v>3</v>
          </cell>
          <cell r="I799" t="str">
            <v>Yes</v>
          </cell>
          <cell r="J799" t="str">
            <v/>
          </cell>
          <cell r="K799" t="str">
            <v>No</v>
          </cell>
          <cell r="L799" t="str">
            <v/>
          </cell>
          <cell r="M799" t="str">
            <v/>
          </cell>
          <cell r="N799" t="str">
            <v>Spool</v>
          </cell>
          <cell r="O799">
            <v>0</v>
          </cell>
          <cell r="P799">
            <v>0</v>
          </cell>
          <cell r="Q799" t="str">
            <v>CS</v>
          </cell>
          <cell r="R799">
            <v>1</v>
          </cell>
          <cell r="S799">
            <v>1</v>
          </cell>
          <cell r="T799">
            <v>121.755349528</v>
          </cell>
          <cell r="U799">
            <v>121.755349528</v>
          </cell>
        </row>
        <row r="800">
          <cell r="B800" t="str">
            <v>V17551-PIND-0107-03</v>
          </cell>
          <cell r="C800" t="str">
            <v>PROD/25-26/07441</v>
          </cell>
          <cell r="D800" t="str">
            <v/>
          </cell>
          <cell r="E800" t="str">
            <v>TJ/25-26/184-CS</v>
          </cell>
          <cell r="F800" t="str">
            <v>P5,P1</v>
          </cell>
          <cell r="G800">
            <v>0</v>
          </cell>
          <cell r="H800">
            <v>3</v>
          </cell>
          <cell r="I800" t="str">
            <v>Yes</v>
          </cell>
          <cell r="J800" t="str">
            <v/>
          </cell>
          <cell r="K800" t="str">
            <v>No</v>
          </cell>
          <cell r="L800" t="str">
            <v/>
          </cell>
          <cell r="M800" t="str">
            <v/>
          </cell>
          <cell r="N800" t="str">
            <v>Spool</v>
          </cell>
          <cell r="O800">
            <v>0</v>
          </cell>
          <cell r="P800">
            <v>0</v>
          </cell>
          <cell r="Q800" t="str">
            <v>CS</v>
          </cell>
          <cell r="R800">
            <v>1</v>
          </cell>
          <cell r="S800">
            <v>1</v>
          </cell>
          <cell r="T800">
            <v>129.03654905600001</v>
          </cell>
          <cell r="U800">
            <v>129.03654905600001</v>
          </cell>
        </row>
        <row r="801">
          <cell r="B801" t="str">
            <v>V17551-PIND-0108-03</v>
          </cell>
          <cell r="C801" t="str">
            <v>PROD/25-26/08423</v>
          </cell>
          <cell r="D801" t="str">
            <v>S-5149</v>
          </cell>
          <cell r="E801" t="str">
            <v>TJ/25-26/184-P11</v>
          </cell>
          <cell r="F801" t="str">
            <v>P5</v>
          </cell>
          <cell r="G801">
            <v>0</v>
          </cell>
          <cell r="H801">
            <v>3</v>
          </cell>
          <cell r="I801" t="str">
            <v>Yes</v>
          </cell>
          <cell r="J801" t="str">
            <v/>
          </cell>
          <cell r="K801" t="str">
            <v>No</v>
          </cell>
          <cell r="L801" t="str">
            <v/>
          </cell>
          <cell r="M801" t="str">
            <v/>
          </cell>
          <cell r="N801" t="str">
            <v>Spool</v>
          </cell>
          <cell r="O801">
            <v>0</v>
          </cell>
          <cell r="P801">
            <v>0</v>
          </cell>
          <cell r="Q801" t="str">
            <v>P11</v>
          </cell>
          <cell r="R801">
            <v>1</v>
          </cell>
          <cell r="S801">
            <v>1</v>
          </cell>
          <cell r="T801">
            <v>624.74120215999994</v>
          </cell>
          <cell r="U801">
            <v>624.74120215999994</v>
          </cell>
        </row>
        <row r="802">
          <cell r="B802" t="str">
            <v>V17551-PIND-0110-03</v>
          </cell>
          <cell r="C802" t="str">
            <v>PROD/25-26/07442</v>
          </cell>
          <cell r="D802" t="str">
            <v/>
          </cell>
          <cell r="E802" t="str">
            <v>TJ/25-26/184-CS</v>
          </cell>
          <cell r="F802" t="str">
            <v>P5,P1</v>
          </cell>
          <cell r="G802">
            <v>0</v>
          </cell>
          <cell r="H802">
            <v>3</v>
          </cell>
          <cell r="I802" t="str">
            <v>Yes</v>
          </cell>
          <cell r="J802" t="str">
            <v/>
          </cell>
          <cell r="K802" t="str">
            <v>No</v>
          </cell>
          <cell r="L802" t="str">
            <v/>
          </cell>
          <cell r="M802" t="str">
            <v/>
          </cell>
          <cell r="N802" t="str">
            <v>Spool</v>
          </cell>
          <cell r="O802">
            <v>0</v>
          </cell>
          <cell r="P802">
            <v>0</v>
          </cell>
          <cell r="Q802" t="str">
            <v>CS</v>
          </cell>
          <cell r="R802">
            <v>1</v>
          </cell>
          <cell r="S802">
            <v>1</v>
          </cell>
          <cell r="T802">
            <v>655.65596000000005</v>
          </cell>
          <cell r="U802">
            <v>655.65596000000005</v>
          </cell>
        </row>
        <row r="803">
          <cell r="B803" t="str">
            <v>V17551-PIND-0111-03</v>
          </cell>
          <cell r="C803" t="str">
            <v>PROD/25-26/08113</v>
          </cell>
          <cell r="D803" t="str">
            <v/>
          </cell>
          <cell r="E803" t="str">
            <v>TJ/25-26/184-CS</v>
          </cell>
          <cell r="F803" t="str">
            <v>P5,P1</v>
          </cell>
          <cell r="G803">
            <v>0</v>
          </cell>
          <cell r="H803">
            <v>3</v>
          </cell>
          <cell r="I803" t="str">
            <v>Yes</v>
          </cell>
          <cell r="J803" t="str">
            <v/>
          </cell>
          <cell r="K803" t="str">
            <v>No</v>
          </cell>
          <cell r="L803" t="str">
            <v/>
          </cell>
          <cell r="M803" t="str">
            <v/>
          </cell>
          <cell r="N803" t="str">
            <v>Spool</v>
          </cell>
          <cell r="O803">
            <v>0</v>
          </cell>
          <cell r="P803">
            <v>0</v>
          </cell>
          <cell r="Q803" t="str">
            <v>CS</v>
          </cell>
          <cell r="R803">
            <v>1</v>
          </cell>
          <cell r="S803">
            <v>1</v>
          </cell>
          <cell r="T803">
            <v>517.24166636799998</v>
          </cell>
          <cell r="U803">
            <v>517.24166636799998</v>
          </cell>
        </row>
        <row r="804">
          <cell r="B804" t="str">
            <v>V17551-PIND-0112-03</v>
          </cell>
          <cell r="C804" t="str">
            <v>PROD/25-26/07444</v>
          </cell>
          <cell r="D804" t="str">
            <v>S-5156</v>
          </cell>
          <cell r="E804" t="str">
            <v>TJ/25-26/184-CS</v>
          </cell>
          <cell r="F804" t="str">
            <v>P5,P1</v>
          </cell>
          <cell r="G804">
            <v>0</v>
          </cell>
          <cell r="H804">
            <v>3</v>
          </cell>
          <cell r="I804" t="str">
            <v>Yes</v>
          </cell>
          <cell r="J804" t="str">
            <v/>
          </cell>
          <cell r="K804" t="str">
            <v>No</v>
          </cell>
          <cell r="L804" t="str">
            <v/>
          </cell>
          <cell r="M804" t="str">
            <v/>
          </cell>
          <cell r="N804" t="str">
            <v>Spool</v>
          </cell>
          <cell r="O804">
            <v>0</v>
          </cell>
          <cell r="P804">
            <v>0</v>
          </cell>
          <cell r="Q804" t="str">
            <v>CS</v>
          </cell>
          <cell r="R804">
            <v>1</v>
          </cell>
          <cell r="S804">
            <v>1</v>
          </cell>
          <cell r="T804">
            <v>120.7625118</v>
          </cell>
          <cell r="U804">
            <v>120.7625118</v>
          </cell>
        </row>
        <row r="805">
          <cell r="B805" t="str">
            <v>V17551-PIND-0113-07</v>
          </cell>
          <cell r="C805" t="str">
            <v>PROD/25-26/07445</v>
          </cell>
          <cell r="D805" t="str">
            <v>S-5160</v>
          </cell>
          <cell r="E805" t="str">
            <v>TJ/25-26/184-CS</v>
          </cell>
          <cell r="F805" t="str">
            <v>P5,P1</v>
          </cell>
          <cell r="G805">
            <v>0</v>
          </cell>
          <cell r="H805">
            <v>3</v>
          </cell>
          <cell r="I805" t="str">
            <v>Yes</v>
          </cell>
          <cell r="J805" t="str">
            <v/>
          </cell>
          <cell r="K805" t="str">
            <v>No</v>
          </cell>
          <cell r="L805" t="str">
            <v/>
          </cell>
          <cell r="M805" t="str">
            <v/>
          </cell>
          <cell r="N805" t="str">
            <v>Spool</v>
          </cell>
          <cell r="O805">
            <v>0</v>
          </cell>
          <cell r="P805">
            <v>0</v>
          </cell>
          <cell r="Q805" t="str">
            <v>CS</v>
          </cell>
          <cell r="R805">
            <v>1</v>
          </cell>
          <cell r="S805">
            <v>1</v>
          </cell>
          <cell r="T805">
            <v>132.23607179999999</v>
          </cell>
          <cell r="U805">
            <v>132.23607179999999</v>
          </cell>
        </row>
        <row r="806">
          <cell r="B806" t="str">
            <v>V17551-PIND-0114-11</v>
          </cell>
          <cell r="C806" t="str">
            <v>PROD/25-26/07446</v>
          </cell>
          <cell r="D806" t="str">
            <v>S-5164</v>
          </cell>
          <cell r="E806" t="str">
            <v>TJ/25-26/184-CS</v>
          </cell>
          <cell r="F806" t="str">
            <v>P5,P1</v>
          </cell>
          <cell r="G806">
            <v>0</v>
          </cell>
          <cell r="H806">
            <v>3</v>
          </cell>
          <cell r="I806" t="str">
            <v>Yes</v>
          </cell>
          <cell r="J806" t="str">
            <v/>
          </cell>
          <cell r="K806" t="str">
            <v>No</v>
          </cell>
          <cell r="L806" t="str">
            <v/>
          </cell>
          <cell r="M806" t="str">
            <v/>
          </cell>
          <cell r="N806" t="str">
            <v>Spool</v>
          </cell>
          <cell r="O806">
            <v>0</v>
          </cell>
          <cell r="P806">
            <v>0</v>
          </cell>
          <cell r="Q806" t="str">
            <v>CS</v>
          </cell>
          <cell r="R806">
            <v>1</v>
          </cell>
          <cell r="S806">
            <v>1</v>
          </cell>
          <cell r="T806">
            <v>143.7378918</v>
          </cell>
          <cell r="U806">
            <v>143.7378918</v>
          </cell>
        </row>
        <row r="807">
          <cell r="B807" t="str">
            <v>V17551-PIND-0115-15</v>
          </cell>
          <cell r="C807" t="str">
            <v>PROD/25-26/07447</v>
          </cell>
          <cell r="D807" t="str">
            <v>S-5168</v>
          </cell>
          <cell r="E807" t="str">
            <v>TJ/25-26/184-CS</v>
          </cell>
          <cell r="F807" t="str">
            <v>P5,P1</v>
          </cell>
          <cell r="G807">
            <v>0</v>
          </cell>
          <cell r="H807">
            <v>3</v>
          </cell>
          <cell r="I807" t="str">
            <v>Yes</v>
          </cell>
          <cell r="J807" t="str">
            <v/>
          </cell>
          <cell r="K807" t="str">
            <v>No</v>
          </cell>
          <cell r="L807" t="str">
            <v/>
          </cell>
          <cell r="M807" t="str">
            <v/>
          </cell>
          <cell r="N807" t="str">
            <v>Spool</v>
          </cell>
          <cell r="O807">
            <v>0</v>
          </cell>
          <cell r="P807">
            <v>0</v>
          </cell>
          <cell r="Q807" t="str">
            <v>CS</v>
          </cell>
          <cell r="R807">
            <v>1</v>
          </cell>
          <cell r="S807">
            <v>1</v>
          </cell>
          <cell r="T807">
            <v>155.21145179999999</v>
          </cell>
          <cell r="U807">
            <v>155.21145179999999</v>
          </cell>
        </row>
        <row r="808">
          <cell r="B808" t="str">
            <v>V17551-PIND-0116-19</v>
          </cell>
          <cell r="C808" t="str">
            <v>PROD/25-26/07448</v>
          </cell>
          <cell r="D808" t="str">
            <v>S-5172</v>
          </cell>
          <cell r="E808" t="str">
            <v>TJ/25-26/184-CS</v>
          </cell>
          <cell r="F808" t="str">
            <v>P5,P1</v>
          </cell>
          <cell r="G808">
            <v>0</v>
          </cell>
          <cell r="H808">
            <v>3</v>
          </cell>
          <cell r="I808" t="str">
            <v>Yes</v>
          </cell>
          <cell r="J808" t="str">
            <v/>
          </cell>
          <cell r="K808" t="str">
            <v>No</v>
          </cell>
          <cell r="L808" t="str">
            <v/>
          </cell>
          <cell r="M808" t="str">
            <v/>
          </cell>
          <cell r="N808" t="str">
            <v>Spool</v>
          </cell>
          <cell r="O808">
            <v>0</v>
          </cell>
          <cell r="P808">
            <v>0</v>
          </cell>
          <cell r="Q808" t="str">
            <v>CS</v>
          </cell>
          <cell r="R808">
            <v>1</v>
          </cell>
          <cell r="S808">
            <v>1</v>
          </cell>
          <cell r="T808">
            <v>166.68501180000001</v>
          </cell>
          <cell r="U808">
            <v>166.68501180000001</v>
          </cell>
        </row>
        <row r="809">
          <cell r="B809" t="str">
            <v>V17551-PIND-0117-23</v>
          </cell>
          <cell r="C809" t="str">
            <v>PROD/25-26/07449</v>
          </cell>
          <cell r="D809" t="str">
            <v>S-5176</v>
          </cell>
          <cell r="E809" t="str">
            <v>TJ/25-26/184-CS</v>
          </cell>
          <cell r="F809" t="str">
            <v>P5,P1</v>
          </cell>
          <cell r="G809">
            <v>0</v>
          </cell>
          <cell r="H809">
            <v>3</v>
          </cell>
          <cell r="I809" t="str">
            <v>Yes</v>
          </cell>
          <cell r="J809" t="str">
            <v/>
          </cell>
          <cell r="K809" t="str">
            <v>No</v>
          </cell>
          <cell r="L809" t="str">
            <v/>
          </cell>
          <cell r="M809" t="str">
            <v/>
          </cell>
          <cell r="N809" t="str">
            <v>Spool</v>
          </cell>
          <cell r="O809">
            <v>0</v>
          </cell>
          <cell r="P809">
            <v>0</v>
          </cell>
          <cell r="Q809" t="str">
            <v>CS</v>
          </cell>
          <cell r="R809">
            <v>1</v>
          </cell>
          <cell r="S809">
            <v>1</v>
          </cell>
          <cell r="T809">
            <v>178.18683179999999</v>
          </cell>
          <cell r="U809">
            <v>178.18683179999999</v>
          </cell>
        </row>
        <row r="810">
          <cell r="B810" t="str">
            <v>V17551-PIND-0118-03</v>
          </cell>
          <cell r="C810" t="str">
            <v>PROD/25-26/06640</v>
          </cell>
          <cell r="D810" t="str">
            <v>S-5180</v>
          </cell>
          <cell r="E810" t="str">
            <v>TJ/25-26/184-CS</v>
          </cell>
          <cell r="F810" t="str">
            <v>P5</v>
          </cell>
          <cell r="G810">
            <v>0</v>
          </cell>
          <cell r="H810">
            <v>3</v>
          </cell>
          <cell r="I810" t="str">
            <v>Yes</v>
          </cell>
          <cell r="J810" t="str">
            <v/>
          </cell>
          <cell r="K810" t="str">
            <v>No</v>
          </cell>
          <cell r="L810" t="str">
            <v/>
          </cell>
          <cell r="M810" t="str">
            <v/>
          </cell>
          <cell r="N810" t="str">
            <v>Spool</v>
          </cell>
          <cell r="O810">
            <v>0</v>
          </cell>
          <cell r="P810">
            <v>0</v>
          </cell>
          <cell r="Q810" t="str">
            <v>CS</v>
          </cell>
          <cell r="R810">
            <v>1</v>
          </cell>
          <cell r="S810">
            <v>1</v>
          </cell>
          <cell r="T810">
            <v>16.950659999999999</v>
          </cell>
          <cell r="U810">
            <v>16.950659999999999</v>
          </cell>
        </row>
        <row r="811">
          <cell r="B811" t="str">
            <v>V17551-PIND-0119-03</v>
          </cell>
          <cell r="C811" t="str">
            <v>PROD/25-26/08424</v>
          </cell>
          <cell r="D811" t="str">
            <v/>
          </cell>
          <cell r="E811" t="str">
            <v>TJ/25-26/184-CS</v>
          </cell>
          <cell r="F811" t="str">
            <v>P5,P1</v>
          </cell>
          <cell r="G811">
            <v>0</v>
          </cell>
          <cell r="H811">
            <v>3</v>
          </cell>
          <cell r="I811" t="str">
            <v>Yes</v>
          </cell>
          <cell r="J811" t="str">
            <v/>
          </cell>
          <cell r="K811" t="str">
            <v>No</v>
          </cell>
          <cell r="L811" t="str">
            <v/>
          </cell>
          <cell r="M811" t="str">
            <v/>
          </cell>
          <cell r="N811" t="str">
            <v>Spool</v>
          </cell>
          <cell r="O811">
            <v>0</v>
          </cell>
          <cell r="P811">
            <v>0</v>
          </cell>
          <cell r="Q811" t="str">
            <v>CS</v>
          </cell>
          <cell r="R811">
            <v>1</v>
          </cell>
          <cell r="S811">
            <v>1</v>
          </cell>
          <cell r="T811">
            <v>914.03851999999995</v>
          </cell>
          <cell r="U811">
            <v>914.03851999999995</v>
          </cell>
        </row>
        <row r="812">
          <cell r="B812" t="str">
            <v>V17551-PIND-0120-03</v>
          </cell>
          <cell r="C812" t="str">
            <v>PROD/25-26/14725</v>
          </cell>
          <cell r="D812" t="str">
            <v/>
          </cell>
          <cell r="E812" t="str">
            <v>TJ/25-26/184-CS</v>
          </cell>
          <cell r="F812" t="str">
            <v>P5,P1</v>
          </cell>
          <cell r="G812">
            <v>0</v>
          </cell>
          <cell r="H812">
            <v>3</v>
          </cell>
          <cell r="I812" t="str">
            <v>Yes</v>
          </cell>
          <cell r="J812" t="str">
            <v/>
          </cell>
          <cell r="K812" t="str">
            <v>No</v>
          </cell>
          <cell r="L812" t="str">
            <v/>
          </cell>
          <cell r="M812" t="str">
            <v/>
          </cell>
          <cell r="N812" t="str">
            <v>Spool</v>
          </cell>
          <cell r="O812">
            <v>0</v>
          </cell>
          <cell r="P812">
            <v>0</v>
          </cell>
          <cell r="Q812" t="str">
            <v>CS</v>
          </cell>
          <cell r="R812">
            <v>1</v>
          </cell>
          <cell r="S812">
            <v>1</v>
          </cell>
          <cell r="T812">
            <v>2181.0477833760001</v>
          </cell>
          <cell r="U812">
            <v>2181.0477833760001</v>
          </cell>
        </row>
        <row r="813">
          <cell r="B813" t="str">
            <v>V17551-PIND-0121-03</v>
          </cell>
          <cell r="C813" t="str">
            <v>PROD/25-26/08092</v>
          </cell>
          <cell r="D813" t="str">
            <v/>
          </cell>
          <cell r="E813" t="str">
            <v>TJ/25-26/184-CS</v>
          </cell>
          <cell r="F813" t="str">
            <v>P5,P1</v>
          </cell>
          <cell r="G813">
            <v>0</v>
          </cell>
          <cell r="H813">
            <v>3</v>
          </cell>
          <cell r="I813" t="str">
            <v>Yes</v>
          </cell>
          <cell r="J813" t="str">
            <v/>
          </cell>
          <cell r="K813" t="str">
            <v>No</v>
          </cell>
          <cell r="L813" t="str">
            <v/>
          </cell>
          <cell r="M813" t="str">
            <v/>
          </cell>
          <cell r="N813" t="str">
            <v>Spool</v>
          </cell>
          <cell r="O813">
            <v>0</v>
          </cell>
          <cell r="P813">
            <v>0</v>
          </cell>
          <cell r="Q813" t="str">
            <v>CS</v>
          </cell>
          <cell r="R813">
            <v>1</v>
          </cell>
          <cell r="S813">
            <v>1</v>
          </cell>
          <cell r="T813">
            <v>406.23175276799998</v>
          </cell>
          <cell r="U813">
            <v>406.23175276799998</v>
          </cell>
        </row>
        <row r="814">
          <cell r="B814" t="str">
            <v>V17551-PIND-0122-03</v>
          </cell>
          <cell r="C814" t="str">
            <v>PROD/25-26/13075</v>
          </cell>
          <cell r="D814" t="str">
            <v/>
          </cell>
          <cell r="E814" t="str">
            <v>TJ/25-26/184-CS</v>
          </cell>
          <cell r="F814" t="str">
            <v>P5,P1</v>
          </cell>
          <cell r="G814">
            <v>0</v>
          </cell>
          <cell r="H814">
            <v>3</v>
          </cell>
          <cell r="I814" t="str">
            <v>No</v>
          </cell>
          <cell r="J814" t="str">
            <v/>
          </cell>
          <cell r="K814" t="str">
            <v>No</v>
          </cell>
          <cell r="L814" t="str">
            <v/>
          </cell>
          <cell r="M814" t="str">
            <v/>
          </cell>
          <cell r="N814" t="str">
            <v>Spool</v>
          </cell>
          <cell r="O814">
            <v>0</v>
          </cell>
          <cell r="P814">
            <v>0</v>
          </cell>
          <cell r="Q814" t="str">
            <v>CS</v>
          </cell>
          <cell r="R814">
            <v>1</v>
          </cell>
          <cell r="S814">
            <v>1</v>
          </cell>
          <cell r="T814">
            <v>195.41145</v>
          </cell>
          <cell r="U814">
            <v>195.41145</v>
          </cell>
        </row>
        <row r="815">
          <cell r="B815" t="str">
            <v>V17551-PIND-0123-03</v>
          </cell>
          <cell r="C815" t="str">
            <v>PROD/25-26/06641</v>
          </cell>
          <cell r="D815" t="str">
            <v/>
          </cell>
          <cell r="E815" t="str">
            <v>TJ/25-26/184-CS</v>
          </cell>
          <cell r="F815" t="str">
            <v>P5</v>
          </cell>
          <cell r="G815">
            <v>0</v>
          </cell>
          <cell r="H815">
            <v>3</v>
          </cell>
          <cell r="I815" t="str">
            <v>Yes</v>
          </cell>
          <cell r="J815" t="str">
            <v/>
          </cell>
          <cell r="K815" t="str">
            <v>No</v>
          </cell>
          <cell r="L815" t="str">
            <v/>
          </cell>
          <cell r="M815" t="str">
            <v/>
          </cell>
          <cell r="N815" t="str">
            <v>Spool</v>
          </cell>
          <cell r="O815">
            <v>0</v>
          </cell>
          <cell r="P815">
            <v>0</v>
          </cell>
          <cell r="Q815" t="str">
            <v>CS</v>
          </cell>
          <cell r="R815">
            <v>1</v>
          </cell>
          <cell r="S815">
            <v>1</v>
          </cell>
          <cell r="T815">
            <v>572.40572999999995</v>
          </cell>
          <cell r="U815">
            <v>572.40572999999995</v>
          </cell>
        </row>
        <row r="816">
          <cell r="B816" t="str">
            <v>V17551-PIND-0125-03</v>
          </cell>
          <cell r="C816" t="str">
            <v>PROD/25-26/07451</v>
          </cell>
          <cell r="D816" t="str">
            <v>S-5183</v>
          </cell>
          <cell r="E816" t="str">
            <v>TJ/25-26/184-CS</v>
          </cell>
          <cell r="F816" t="str">
            <v>P5,P1</v>
          </cell>
          <cell r="G816">
            <v>0</v>
          </cell>
          <cell r="H816">
            <v>3</v>
          </cell>
          <cell r="I816" t="str">
            <v>Yes</v>
          </cell>
          <cell r="J816" t="str">
            <v/>
          </cell>
          <cell r="K816" t="str">
            <v>No</v>
          </cell>
          <cell r="L816" t="str">
            <v/>
          </cell>
          <cell r="M816" t="str">
            <v/>
          </cell>
          <cell r="N816" t="str">
            <v>Spool</v>
          </cell>
          <cell r="O816">
            <v>0</v>
          </cell>
          <cell r="P816">
            <v>0</v>
          </cell>
          <cell r="Q816" t="str">
            <v>CS</v>
          </cell>
          <cell r="R816">
            <v>1</v>
          </cell>
          <cell r="S816">
            <v>1</v>
          </cell>
          <cell r="T816">
            <v>808.883440608</v>
          </cell>
          <cell r="U816">
            <v>808.883440608</v>
          </cell>
        </row>
        <row r="817">
          <cell r="B817" t="str">
            <v>V17551-PIND-0126-03</v>
          </cell>
          <cell r="C817" t="str">
            <v>PROD/25-26/07452</v>
          </cell>
          <cell r="D817" t="str">
            <v>S-5186</v>
          </cell>
          <cell r="E817" t="str">
            <v>TJ/25-26/184-CS</v>
          </cell>
          <cell r="F817" t="str">
            <v>P1</v>
          </cell>
          <cell r="G817">
            <v>0</v>
          </cell>
          <cell r="H817">
            <v>3</v>
          </cell>
          <cell r="I817" t="str">
            <v>Yes</v>
          </cell>
          <cell r="J817" t="str">
            <v/>
          </cell>
          <cell r="K817" t="str">
            <v>No</v>
          </cell>
          <cell r="L817" t="str">
            <v/>
          </cell>
          <cell r="M817" t="str">
            <v/>
          </cell>
          <cell r="N817" t="str">
            <v>Spool</v>
          </cell>
          <cell r="O817">
            <v>0</v>
          </cell>
          <cell r="P817">
            <v>0</v>
          </cell>
          <cell r="Q817" t="str">
            <v>CS</v>
          </cell>
          <cell r="R817">
            <v>1</v>
          </cell>
          <cell r="S817">
            <v>1</v>
          </cell>
          <cell r="T817">
            <v>284.58114</v>
          </cell>
          <cell r="U817">
            <v>284.58114</v>
          </cell>
        </row>
        <row r="818">
          <cell r="B818" t="str">
            <v>V17551-PIND-0127-03</v>
          </cell>
          <cell r="C818" t="str">
            <v>PROD/25-26/08426</v>
          </cell>
          <cell r="D818" t="str">
            <v/>
          </cell>
          <cell r="E818" t="str">
            <v>TJ/25-26/184-CS</v>
          </cell>
          <cell r="F818" t="str">
            <v>P5</v>
          </cell>
          <cell r="G818">
            <v>0</v>
          </cell>
          <cell r="H818">
            <v>3</v>
          </cell>
          <cell r="I818" t="str">
            <v>Yes</v>
          </cell>
          <cell r="J818" t="str">
            <v/>
          </cell>
          <cell r="K818" t="str">
            <v>No</v>
          </cell>
          <cell r="L818" t="str">
            <v/>
          </cell>
          <cell r="M818" t="str">
            <v/>
          </cell>
          <cell r="N818" t="str">
            <v>Spool</v>
          </cell>
          <cell r="O818">
            <v>0</v>
          </cell>
          <cell r="P818">
            <v>0</v>
          </cell>
          <cell r="Q818" t="str">
            <v>CS</v>
          </cell>
          <cell r="R818">
            <v>1</v>
          </cell>
          <cell r="S818">
            <v>1</v>
          </cell>
          <cell r="T818">
            <v>591.04812216000005</v>
          </cell>
          <cell r="U818">
            <v>591.04812216000005</v>
          </cell>
        </row>
        <row r="819">
          <cell r="B819" t="str">
            <v>V17551-PIND-0128-03</v>
          </cell>
          <cell r="C819" t="str">
            <v>PROD/25-26/07454</v>
          </cell>
          <cell r="D819" t="str">
            <v>S-5190</v>
          </cell>
          <cell r="E819" t="str">
            <v>TJ/25-26/184-CS</v>
          </cell>
          <cell r="F819" t="str">
            <v>P1,P1</v>
          </cell>
          <cell r="G819">
            <v>0</v>
          </cell>
          <cell r="H819">
            <v>3</v>
          </cell>
          <cell r="I819" t="str">
            <v>Yes</v>
          </cell>
          <cell r="J819" t="str">
            <v/>
          </cell>
          <cell r="K819" t="str">
            <v>No</v>
          </cell>
          <cell r="L819" t="str">
            <v/>
          </cell>
          <cell r="M819" t="str">
            <v/>
          </cell>
          <cell r="N819" t="str">
            <v>Spool</v>
          </cell>
          <cell r="O819">
            <v>0</v>
          </cell>
          <cell r="P819">
            <v>0</v>
          </cell>
          <cell r="Q819" t="str">
            <v>CS</v>
          </cell>
          <cell r="R819">
            <v>1</v>
          </cell>
          <cell r="S819">
            <v>1</v>
          </cell>
          <cell r="T819">
            <v>234.344590608</v>
          </cell>
          <cell r="U819">
            <v>234.344590608</v>
          </cell>
        </row>
        <row r="820">
          <cell r="B820" t="str">
            <v>V17551-PIND-0129-03</v>
          </cell>
          <cell r="C820" t="str">
            <v>PROD/25-26/08428</v>
          </cell>
          <cell r="D820" t="str">
            <v>S-5197</v>
          </cell>
          <cell r="E820" t="str">
            <v>TJ/25-26/184-CS</v>
          </cell>
          <cell r="F820" t="str">
            <v>P5,P1</v>
          </cell>
          <cell r="G820">
            <v>0</v>
          </cell>
          <cell r="H820">
            <v>3</v>
          </cell>
          <cell r="I820" t="str">
            <v>Yes</v>
          </cell>
          <cell r="J820" t="str">
            <v/>
          </cell>
          <cell r="K820" t="str">
            <v>No</v>
          </cell>
          <cell r="L820" t="str">
            <v/>
          </cell>
          <cell r="M820" t="str">
            <v/>
          </cell>
          <cell r="N820" t="str">
            <v>Spool</v>
          </cell>
          <cell r="O820">
            <v>0</v>
          </cell>
          <cell r="P820">
            <v>0</v>
          </cell>
          <cell r="Q820" t="str">
            <v>CS</v>
          </cell>
          <cell r="R820">
            <v>1</v>
          </cell>
          <cell r="S820">
            <v>1</v>
          </cell>
          <cell r="T820">
            <v>527.16677935999996</v>
          </cell>
          <cell r="U820">
            <v>527.16677935999996</v>
          </cell>
        </row>
        <row r="821">
          <cell r="B821" t="str">
            <v>V17551-PIND-0130-03</v>
          </cell>
          <cell r="C821" t="str">
            <v>PROD/25-26/07455</v>
          </cell>
          <cell r="D821" t="str">
            <v/>
          </cell>
          <cell r="E821" t="str">
            <v>TJ/25-26/184-CS</v>
          </cell>
          <cell r="F821" t="str">
            <v>P5,P1</v>
          </cell>
          <cell r="G821">
            <v>0</v>
          </cell>
          <cell r="H821">
            <v>3</v>
          </cell>
          <cell r="I821" t="str">
            <v>Yes</v>
          </cell>
          <cell r="J821" t="str">
            <v/>
          </cell>
          <cell r="K821" t="str">
            <v>No</v>
          </cell>
          <cell r="L821" t="str">
            <v/>
          </cell>
          <cell r="M821" t="str">
            <v/>
          </cell>
          <cell r="N821" t="str">
            <v>Spool</v>
          </cell>
          <cell r="O821">
            <v>0</v>
          </cell>
          <cell r="P821">
            <v>0</v>
          </cell>
          <cell r="Q821" t="str">
            <v>CS</v>
          </cell>
          <cell r="R821">
            <v>1</v>
          </cell>
          <cell r="S821">
            <v>1</v>
          </cell>
          <cell r="T821">
            <v>311.31071060800002</v>
          </cell>
          <cell r="U821">
            <v>311.31071060800002</v>
          </cell>
        </row>
        <row r="822">
          <cell r="B822" t="str">
            <v>V17551-PIND-0131-03</v>
          </cell>
          <cell r="C822" t="str">
            <v>PROD/25-26/07456</v>
          </cell>
          <cell r="D822" t="str">
            <v>S-5202</v>
          </cell>
          <cell r="E822" t="str">
            <v>TJ/25-26/184-CS</v>
          </cell>
          <cell r="F822" t="str">
            <v>P5,P1</v>
          </cell>
          <cell r="G822">
            <v>0</v>
          </cell>
          <cell r="H822">
            <v>3</v>
          </cell>
          <cell r="I822" t="str">
            <v>Yes</v>
          </cell>
          <cell r="J822" t="str">
            <v/>
          </cell>
          <cell r="K822" t="str">
            <v>No</v>
          </cell>
          <cell r="L822" t="str">
            <v/>
          </cell>
          <cell r="M822" t="str">
            <v/>
          </cell>
          <cell r="N822" t="str">
            <v>Spool</v>
          </cell>
          <cell r="O822">
            <v>0</v>
          </cell>
          <cell r="P822">
            <v>0</v>
          </cell>
          <cell r="Q822" t="str">
            <v>CS</v>
          </cell>
          <cell r="R822">
            <v>1</v>
          </cell>
          <cell r="S822">
            <v>1</v>
          </cell>
          <cell r="T822">
            <v>589.134160608</v>
          </cell>
          <cell r="U822">
            <v>589.134160608</v>
          </cell>
        </row>
        <row r="823">
          <cell r="B823" t="str">
            <v>V17551-PIND-0133-03</v>
          </cell>
          <cell r="C823" t="str">
            <v>PROD/25-26/08430</v>
          </cell>
          <cell r="D823" t="str">
            <v/>
          </cell>
          <cell r="E823" t="str">
            <v>TJ/25-26/184-CS</v>
          </cell>
          <cell r="F823" t="str">
            <v>P5,P1</v>
          </cell>
          <cell r="G823">
            <v>0</v>
          </cell>
          <cell r="H823">
            <v>3</v>
          </cell>
          <cell r="I823" t="str">
            <v>Yes</v>
          </cell>
          <cell r="J823" t="str">
            <v/>
          </cell>
          <cell r="K823" t="str">
            <v>No</v>
          </cell>
          <cell r="L823" t="str">
            <v/>
          </cell>
          <cell r="M823" t="str">
            <v/>
          </cell>
          <cell r="N823" t="str">
            <v>Spool</v>
          </cell>
          <cell r="O823">
            <v>0</v>
          </cell>
          <cell r="P823">
            <v>0</v>
          </cell>
          <cell r="Q823" t="str">
            <v>CS</v>
          </cell>
          <cell r="R823">
            <v>1</v>
          </cell>
          <cell r="S823">
            <v>1</v>
          </cell>
          <cell r="T823">
            <v>55.928150000000002</v>
          </cell>
          <cell r="U823">
            <v>55.928150000000002</v>
          </cell>
        </row>
        <row r="824">
          <cell r="B824" t="str">
            <v>V17551-PIND-0134-03</v>
          </cell>
          <cell r="C824" t="str">
            <v>PROD/25-26/14060</v>
          </cell>
          <cell r="D824" t="str">
            <v/>
          </cell>
          <cell r="E824" t="str">
            <v>TJ/25-26/184-CS</v>
          </cell>
          <cell r="F824" t="str">
            <v>P5,P1</v>
          </cell>
          <cell r="G824">
            <v>0</v>
          </cell>
          <cell r="H824">
            <v>3</v>
          </cell>
          <cell r="I824" t="str">
            <v>Yes</v>
          </cell>
          <cell r="J824" t="str">
            <v/>
          </cell>
          <cell r="K824" t="str">
            <v>No</v>
          </cell>
          <cell r="L824" t="str">
            <v/>
          </cell>
          <cell r="M824" t="str">
            <v/>
          </cell>
          <cell r="N824" t="str">
            <v>Spool</v>
          </cell>
          <cell r="O824">
            <v>0</v>
          </cell>
          <cell r="P824">
            <v>0</v>
          </cell>
          <cell r="Q824" t="str">
            <v>CS</v>
          </cell>
          <cell r="R824">
            <v>1</v>
          </cell>
          <cell r="S824">
            <v>1</v>
          </cell>
          <cell r="T824">
            <v>625.41135515200006</v>
          </cell>
          <cell r="U824">
            <v>625.41135515200006</v>
          </cell>
        </row>
        <row r="825">
          <cell r="B825" t="str">
            <v>V17551-PIND-0135-03</v>
          </cell>
          <cell r="C825" t="str">
            <v>PROD/25-26/12811</v>
          </cell>
          <cell r="D825" t="str">
            <v>S-5206</v>
          </cell>
          <cell r="E825" t="str">
            <v>TJ/25-26/184-CS</v>
          </cell>
          <cell r="F825" t="str">
            <v>P5,P1</v>
          </cell>
          <cell r="G825">
            <v>0</v>
          </cell>
          <cell r="H825">
            <v>3</v>
          </cell>
          <cell r="I825" t="str">
            <v>Yes</v>
          </cell>
          <cell r="J825" t="str">
            <v/>
          </cell>
          <cell r="K825" t="str">
            <v>No</v>
          </cell>
          <cell r="L825" t="str">
            <v/>
          </cell>
          <cell r="M825" t="str">
            <v/>
          </cell>
          <cell r="N825" t="str">
            <v>Spool</v>
          </cell>
          <cell r="O825">
            <v>0</v>
          </cell>
          <cell r="P825">
            <v>0</v>
          </cell>
          <cell r="Q825" t="str">
            <v>CS</v>
          </cell>
          <cell r="R825">
            <v>1</v>
          </cell>
          <cell r="S825">
            <v>1</v>
          </cell>
          <cell r="T825">
            <v>183.58866</v>
          </cell>
          <cell r="U825">
            <v>183.58866</v>
          </cell>
        </row>
        <row r="826">
          <cell r="B826" t="str">
            <v>V17551-PIND-0136-03</v>
          </cell>
          <cell r="C826" t="str">
            <v>PROD/25-26/13028</v>
          </cell>
          <cell r="D826" t="str">
            <v/>
          </cell>
          <cell r="E826" t="str">
            <v>TJ/25-26/184-P22</v>
          </cell>
          <cell r="F826" t="str">
            <v>P5</v>
          </cell>
          <cell r="G826">
            <v>0</v>
          </cell>
          <cell r="H826">
            <v>3</v>
          </cell>
          <cell r="I826" t="str">
            <v>No</v>
          </cell>
          <cell r="J826" t="str">
            <v/>
          </cell>
          <cell r="K826" t="str">
            <v>No</v>
          </cell>
          <cell r="L826" t="str">
            <v/>
          </cell>
          <cell r="M826" t="str">
            <v/>
          </cell>
          <cell r="N826" t="str">
            <v>Spool</v>
          </cell>
          <cell r="O826">
            <v>0</v>
          </cell>
          <cell r="P826">
            <v>0</v>
          </cell>
          <cell r="Q826" t="str">
            <v>P22</v>
          </cell>
          <cell r="R826">
            <v>1</v>
          </cell>
          <cell r="S826">
            <v>1</v>
          </cell>
          <cell r="T826">
            <v>82.990250000000003</v>
          </cell>
          <cell r="U826">
            <v>82.990250000000003</v>
          </cell>
        </row>
        <row r="827">
          <cell r="B827" t="str">
            <v>V17551-PIND-0139-03</v>
          </cell>
          <cell r="C827" t="str">
            <v>PROD/25-26/12814</v>
          </cell>
          <cell r="D827" t="str">
            <v>S-5209</v>
          </cell>
          <cell r="E827" t="str">
            <v>TJ/25-26/184-P22</v>
          </cell>
          <cell r="F827" t="str">
            <v>P5,P1</v>
          </cell>
          <cell r="G827">
            <v>0</v>
          </cell>
          <cell r="H827">
            <v>3</v>
          </cell>
          <cell r="I827" t="str">
            <v>Yes</v>
          </cell>
          <cell r="J827" t="str">
            <v/>
          </cell>
          <cell r="K827" t="str">
            <v>No</v>
          </cell>
          <cell r="L827" t="str">
            <v/>
          </cell>
          <cell r="M827" t="str">
            <v/>
          </cell>
          <cell r="N827" t="str">
            <v>Spool</v>
          </cell>
          <cell r="O827">
            <v>0</v>
          </cell>
          <cell r="P827">
            <v>0</v>
          </cell>
          <cell r="Q827" t="str">
            <v>P22</v>
          </cell>
          <cell r="R827">
            <v>1</v>
          </cell>
          <cell r="S827">
            <v>1</v>
          </cell>
          <cell r="T827">
            <v>1518.8016624320001</v>
          </cell>
          <cell r="U827">
            <v>1518.8016624320001</v>
          </cell>
        </row>
        <row r="828">
          <cell r="B828" t="str">
            <v>V17551-PIND-0140-03</v>
          </cell>
          <cell r="C828" t="str">
            <v>PROD/25-26/13264</v>
          </cell>
          <cell r="D828" t="str">
            <v>S-5212</v>
          </cell>
          <cell r="E828" t="str">
            <v>TJ/25-26/184-P22</v>
          </cell>
          <cell r="F828" t="str">
            <v>P5,P1</v>
          </cell>
          <cell r="G828">
            <v>0</v>
          </cell>
          <cell r="H828">
            <v>3</v>
          </cell>
          <cell r="I828" t="str">
            <v>Yes</v>
          </cell>
          <cell r="J828" t="str">
            <v/>
          </cell>
          <cell r="K828" t="str">
            <v>No</v>
          </cell>
          <cell r="L828" t="str">
            <v/>
          </cell>
          <cell r="M828" t="str">
            <v/>
          </cell>
          <cell r="N828" t="str">
            <v>Spool</v>
          </cell>
          <cell r="O828">
            <v>0</v>
          </cell>
          <cell r="P828">
            <v>0</v>
          </cell>
          <cell r="Q828" t="str">
            <v>P22</v>
          </cell>
          <cell r="R828">
            <v>1</v>
          </cell>
          <cell r="S828">
            <v>1</v>
          </cell>
          <cell r="T828">
            <v>5085.7526149650002</v>
          </cell>
          <cell r="U828">
            <v>5085.7526149650002</v>
          </cell>
        </row>
        <row r="829">
          <cell r="B829" t="str">
            <v>V17551-PIND-0141-03</v>
          </cell>
          <cell r="C829" t="str">
            <v>PROD/25-26/13027</v>
          </cell>
          <cell r="D829" t="str">
            <v/>
          </cell>
          <cell r="E829" t="str">
            <v>TJ/25-26/184-P22</v>
          </cell>
          <cell r="F829" t="str">
            <v>P5</v>
          </cell>
          <cell r="G829">
            <v>0</v>
          </cell>
          <cell r="H829">
            <v>3</v>
          </cell>
          <cell r="I829" t="str">
            <v>No</v>
          </cell>
          <cell r="J829" t="str">
            <v/>
          </cell>
          <cell r="K829" t="str">
            <v>No</v>
          </cell>
          <cell r="L829" t="str">
            <v/>
          </cell>
          <cell r="M829" t="str">
            <v/>
          </cell>
          <cell r="N829" t="str">
            <v>Spool</v>
          </cell>
          <cell r="O829">
            <v>0</v>
          </cell>
          <cell r="P829">
            <v>0</v>
          </cell>
          <cell r="Q829" t="str">
            <v>P91</v>
          </cell>
          <cell r="R829">
            <v>1</v>
          </cell>
          <cell r="S829">
            <v>1</v>
          </cell>
          <cell r="T829">
            <v>153.87413000000001</v>
          </cell>
          <cell r="U829">
            <v>153.87413000000001</v>
          </cell>
        </row>
        <row r="830">
          <cell r="B830" t="str">
            <v>V17551-PIND-0143-03</v>
          </cell>
          <cell r="C830" t="str">
            <v>PROD/25-26/06646</v>
          </cell>
          <cell r="D830" t="str">
            <v/>
          </cell>
          <cell r="E830" t="str">
            <v>TJ/25-26/184-CS</v>
          </cell>
          <cell r="F830" t="str">
            <v>P1</v>
          </cell>
          <cell r="G830">
            <v>0</v>
          </cell>
          <cell r="H830">
            <v>3</v>
          </cell>
          <cell r="I830" t="str">
            <v>Yes</v>
          </cell>
          <cell r="J830" t="str">
            <v/>
          </cell>
          <cell r="K830" t="str">
            <v>No</v>
          </cell>
          <cell r="L830" t="str">
            <v/>
          </cell>
          <cell r="M830" t="str">
            <v/>
          </cell>
          <cell r="N830" t="str">
            <v>Spool</v>
          </cell>
          <cell r="O830">
            <v>0</v>
          </cell>
          <cell r="P830">
            <v>0</v>
          </cell>
          <cell r="Q830" t="str">
            <v>CS</v>
          </cell>
          <cell r="R830">
            <v>1</v>
          </cell>
          <cell r="S830">
            <v>1</v>
          </cell>
          <cell r="T830">
            <v>373.29014999999998</v>
          </cell>
          <cell r="U830">
            <v>373.29014999999998</v>
          </cell>
        </row>
        <row r="831">
          <cell r="B831" t="str">
            <v>V17551-PIND-0144-03</v>
          </cell>
          <cell r="C831" t="str">
            <v>PROD/25-26/06822</v>
          </cell>
          <cell r="D831" t="str">
            <v/>
          </cell>
          <cell r="E831" t="str">
            <v>TJ/25-26/184-CS</v>
          </cell>
          <cell r="F831" t="str">
            <v>P1</v>
          </cell>
          <cell r="G831">
            <v>0</v>
          </cell>
          <cell r="H831">
            <v>3</v>
          </cell>
          <cell r="I831" t="str">
            <v>Yes</v>
          </cell>
          <cell r="J831" t="str">
            <v/>
          </cell>
          <cell r="K831" t="str">
            <v>No</v>
          </cell>
          <cell r="L831" t="str">
            <v/>
          </cell>
          <cell r="M831" t="str">
            <v/>
          </cell>
          <cell r="N831" t="str">
            <v>Spool</v>
          </cell>
          <cell r="O831">
            <v>0</v>
          </cell>
          <cell r="P831">
            <v>0</v>
          </cell>
          <cell r="Q831" t="str">
            <v>CS</v>
          </cell>
          <cell r="R831">
            <v>1</v>
          </cell>
          <cell r="S831">
            <v>1</v>
          </cell>
          <cell r="T831">
            <v>124.81984</v>
          </cell>
          <cell r="U831">
            <v>124.81984</v>
          </cell>
        </row>
        <row r="832">
          <cell r="B832" t="str">
            <v>V17551-PIND-0145-03</v>
          </cell>
          <cell r="C832" t="str">
            <v>PROD/25-26/07459</v>
          </cell>
          <cell r="D832" t="str">
            <v/>
          </cell>
          <cell r="E832" t="str">
            <v>TJ/25-26/184-CS</v>
          </cell>
          <cell r="F832" t="str">
            <v>P1</v>
          </cell>
          <cell r="G832">
            <v>0</v>
          </cell>
          <cell r="H832">
            <v>3</v>
          </cell>
          <cell r="I832" t="str">
            <v>Yes</v>
          </cell>
          <cell r="J832" t="str">
            <v/>
          </cell>
          <cell r="K832" t="str">
            <v>No</v>
          </cell>
          <cell r="L832" t="str">
            <v/>
          </cell>
          <cell r="M832" t="str">
            <v/>
          </cell>
          <cell r="N832" t="str">
            <v>Spool</v>
          </cell>
          <cell r="O832">
            <v>0</v>
          </cell>
          <cell r="P832">
            <v>0</v>
          </cell>
          <cell r="Q832" t="str">
            <v>CS</v>
          </cell>
          <cell r="R832">
            <v>1</v>
          </cell>
          <cell r="S832">
            <v>1</v>
          </cell>
          <cell r="T832">
            <v>318.71627999999998</v>
          </cell>
          <cell r="U832">
            <v>318.71627999999998</v>
          </cell>
        </row>
        <row r="833">
          <cell r="B833" t="str">
            <v>V17551-PIND-0147-06</v>
          </cell>
          <cell r="C833" t="str">
            <v>PROD/25-26/08434</v>
          </cell>
          <cell r="D833" t="str">
            <v>S-5223</v>
          </cell>
          <cell r="E833" t="str">
            <v>TJ/25-26/184-CS</v>
          </cell>
          <cell r="F833" t="str">
            <v>P5,P1</v>
          </cell>
          <cell r="G833">
            <v>0</v>
          </cell>
          <cell r="H833">
            <v>3</v>
          </cell>
          <cell r="I833" t="str">
            <v>Yes</v>
          </cell>
          <cell r="J833" t="str">
            <v/>
          </cell>
          <cell r="K833" t="str">
            <v>No</v>
          </cell>
          <cell r="L833" t="str">
            <v/>
          </cell>
          <cell r="M833" t="str">
            <v/>
          </cell>
          <cell r="N833" t="str">
            <v>Spool</v>
          </cell>
          <cell r="O833">
            <v>0</v>
          </cell>
          <cell r="P833">
            <v>0</v>
          </cell>
          <cell r="Q833" t="str">
            <v>CS</v>
          </cell>
          <cell r="R833">
            <v>1</v>
          </cell>
          <cell r="S833">
            <v>1</v>
          </cell>
          <cell r="T833">
            <v>171.76552515200001</v>
          </cell>
          <cell r="U833">
            <v>171.76552515200001</v>
          </cell>
        </row>
        <row r="834">
          <cell r="B834" t="str">
            <v>V17551-PIND-0148-03</v>
          </cell>
          <cell r="C834" t="str">
            <v>PROD/25-26/07461</v>
          </cell>
          <cell r="D834" t="str">
            <v/>
          </cell>
          <cell r="E834" t="str">
            <v>TJ/25-26/184-CS</v>
          </cell>
          <cell r="F834" t="str">
            <v>P5,P1</v>
          </cell>
          <cell r="G834">
            <v>0</v>
          </cell>
          <cell r="H834">
            <v>3</v>
          </cell>
          <cell r="I834" t="str">
            <v>Yes</v>
          </cell>
          <cell r="J834" t="str">
            <v/>
          </cell>
          <cell r="K834" t="str">
            <v>No</v>
          </cell>
          <cell r="L834" t="str">
            <v/>
          </cell>
          <cell r="M834" t="str">
            <v/>
          </cell>
          <cell r="N834" t="str">
            <v>Spool</v>
          </cell>
          <cell r="O834">
            <v>0</v>
          </cell>
          <cell r="P834">
            <v>0</v>
          </cell>
          <cell r="Q834" t="str">
            <v>CS</v>
          </cell>
          <cell r="R834">
            <v>1</v>
          </cell>
          <cell r="S834">
            <v>1</v>
          </cell>
          <cell r="T834">
            <v>178.672769776</v>
          </cell>
          <cell r="U834">
            <v>178.672769776</v>
          </cell>
        </row>
        <row r="835">
          <cell r="B835" t="str">
            <v>V17551-PIND-0149-03</v>
          </cell>
          <cell r="C835" t="str">
            <v>PROD/25-26/13265</v>
          </cell>
          <cell r="D835" t="str">
            <v/>
          </cell>
          <cell r="E835" t="str">
            <v>TJ/25-26/184-CS</v>
          </cell>
          <cell r="F835" t="str">
            <v>P5,P1</v>
          </cell>
          <cell r="G835">
            <v>0</v>
          </cell>
          <cell r="H835">
            <v>3</v>
          </cell>
          <cell r="I835" t="str">
            <v>Yes</v>
          </cell>
          <cell r="J835" t="str">
            <v/>
          </cell>
          <cell r="K835" t="str">
            <v>No</v>
          </cell>
          <cell r="L835" t="str">
            <v/>
          </cell>
          <cell r="M835" t="str">
            <v/>
          </cell>
          <cell r="N835" t="str">
            <v>Spool</v>
          </cell>
          <cell r="O835">
            <v>0</v>
          </cell>
          <cell r="P835">
            <v>0</v>
          </cell>
          <cell r="Q835" t="str">
            <v>CS</v>
          </cell>
          <cell r="R835">
            <v>1</v>
          </cell>
          <cell r="S835">
            <v>1</v>
          </cell>
          <cell r="T835">
            <v>171.35743977600001</v>
          </cell>
          <cell r="U835">
            <v>171.35743977600001</v>
          </cell>
        </row>
        <row r="836">
          <cell r="B836" t="str">
            <v>V17551-PIND-0157-03</v>
          </cell>
          <cell r="C836" t="str">
            <v>PROD/25-26/08438</v>
          </cell>
          <cell r="D836" t="str">
            <v/>
          </cell>
          <cell r="E836" t="str">
            <v>TJ/25-26/184-CS</v>
          </cell>
          <cell r="F836" t="str">
            <v>P5</v>
          </cell>
          <cell r="G836">
            <v>0</v>
          </cell>
          <cell r="H836">
            <v>3</v>
          </cell>
          <cell r="I836" t="str">
            <v>Yes</v>
          </cell>
          <cell r="J836" t="str">
            <v/>
          </cell>
          <cell r="K836" t="str">
            <v>No</v>
          </cell>
          <cell r="L836" t="str">
            <v/>
          </cell>
          <cell r="M836" t="str">
            <v/>
          </cell>
          <cell r="N836" t="str">
            <v>Spool</v>
          </cell>
          <cell r="O836">
            <v>0</v>
          </cell>
          <cell r="P836">
            <v>0</v>
          </cell>
          <cell r="Q836" t="str">
            <v>CS</v>
          </cell>
          <cell r="R836">
            <v>1</v>
          </cell>
          <cell r="S836">
            <v>1</v>
          </cell>
          <cell r="T836">
            <v>42.520569999999999</v>
          </cell>
          <cell r="U836">
            <v>42.520569999999999</v>
          </cell>
        </row>
        <row r="837">
          <cell r="B837" t="str">
            <v>V17551-PIND-0158-02</v>
          </cell>
          <cell r="C837" t="str">
            <v>PROD/25-26/08439</v>
          </cell>
          <cell r="D837" t="str">
            <v/>
          </cell>
          <cell r="E837" t="str">
            <v>TJ/25-26/184-CS</v>
          </cell>
          <cell r="F837" t="str">
            <v>P5</v>
          </cell>
          <cell r="G837">
            <v>0</v>
          </cell>
          <cell r="H837">
            <v>3</v>
          </cell>
          <cell r="I837" t="str">
            <v>Yes</v>
          </cell>
          <cell r="J837" t="str">
            <v/>
          </cell>
          <cell r="K837" t="str">
            <v>No</v>
          </cell>
          <cell r="L837" t="str">
            <v/>
          </cell>
          <cell r="M837" t="str">
            <v/>
          </cell>
          <cell r="N837" t="str">
            <v>Spool</v>
          </cell>
          <cell r="O837">
            <v>0</v>
          </cell>
          <cell r="P837">
            <v>0</v>
          </cell>
          <cell r="Q837" t="str">
            <v>CS</v>
          </cell>
          <cell r="R837">
            <v>1</v>
          </cell>
          <cell r="S837">
            <v>1</v>
          </cell>
          <cell r="T837">
            <v>97.0976</v>
          </cell>
          <cell r="U837">
            <v>97.0976</v>
          </cell>
        </row>
        <row r="838">
          <cell r="B838" t="str">
            <v>V17551-PIND-0159-03</v>
          </cell>
          <cell r="C838" t="str">
            <v>PROD/25-26/13267</v>
          </cell>
          <cell r="D838" t="str">
            <v/>
          </cell>
          <cell r="E838" t="str">
            <v>TJ/25-26/184-CS</v>
          </cell>
          <cell r="F838" t="str">
            <v>P5</v>
          </cell>
          <cell r="G838">
            <v>0</v>
          </cell>
          <cell r="H838">
            <v>3</v>
          </cell>
          <cell r="I838" t="str">
            <v>Yes</v>
          </cell>
          <cell r="J838" t="str">
            <v/>
          </cell>
          <cell r="K838" t="str">
            <v>No</v>
          </cell>
          <cell r="L838" t="str">
            <v/>
          </cell>
          <cell r="M838" t="str">
            <v/>
          </cell>
          <cell r="N838" t="str">
            <v>Spool</v>
          </cell>
          <cell r="O838">
            <v>0</v>
          </cell>
          <cell r="P838">
            <v>0</v>
          </cell>
          <cell r="Q838" t="str">
            <v>P22</v>
          </cell>
          <cell r="R838">
            <v>1</v>
          </cell>
          <cell r="S838">
            <v>1</v>
          </cell>
          <cell r="T838">
            <v>32.311619999999998</v>
          </cell>
          <cell r="U838">
            <v>32.311619999999998</v>
          </cell>
        </row>
        <row r="839">
          <cell r="B839" t="str">
            <v>V17551-PIND-0304-03</v>
          </cell>
          <cell r="C839" t="str">
            <v>PROD/25-26/13719</v>
          </cell>
          <cell r="D839" t="str">
            <v/>
          </cell>
          <cell r="E839" t="str">
            <v>TJ/25-26/184-CS</v>
          </cell>
          <cell r="F839" t="str">
            <v>P1</v>
          </cell>
          <cell r="G839">
            <v>0</v>
          </cell>
          <cell r="H839">
            <v>3</v>
          </cell>
          <cell r="I839" t="str">
            <v>Yes</v>
          </cell>
          <cell r="J839" t="str">
            <v/>
          </cell>
          <cell r="K839" t="str">
            <v>No</v>
          </cell>
          <cell r="L839" t="str">
            <v/>
          </cell>
          <cell r="M839" t="str">
            <v/>
          </cell>
          <cell r="N839" t="str">
            <v>Spool</v>
          </cell>
          <cell r="O839">
            <v>0</v>
          </cell>
          <cell r="P839">
            <v>0</v>
          </cell>
          <cell r="Q839" t="str">
            <v>CS</v>
          </cell>
          <cell r="R839">
            <v>1</v>
          </cell>
          <cell r="S839">
            <v>1</v>
          </cell>
          <cell r="T839">
            <v>13.241199999999999</v>
          </cell>
          <cell r="U839">
            <v>13.241199999999999</v>
          </cell>
        </row>
        <row r="840">
          <cell r="B840" t="str">
            <v>V17551-PIND-0305-03</v>
          </cell>
          <cell r="C840" t="str">
            <v>PROD/25-26/13720</v>
          </cell>
          <cell r="D840" t="str">
            <v/>
          </cell>
          <cell r="E840" t="str">
            <v>TJ/25-26/184-CS</v>
          </cell>
          <cell r="F840" t="str">
            <v>P1</v>
          </cell>
          <cell r="G840">
            <v>0</v>
          </cell>
          <cell r="H840">
            <v>3</v>
          </cell>
          <cell r="I840" t="str">
            <v>Yes</v>
          </cell>
          <cell r="J840" t="str">
            <v/>
          </cell>
          <cell r="K840" t="str">
            <v>No</v>
          </cell>
          <cell r="L840" t="str">
            <v/>
          </cell>
          <cell r="M840" t="str">
            <v/>
          </cell>
          <cell r="N840" t="str">
            <v>Spool</v>
          </cell>
          <cell r="O840">
            <v>0</v>
          </cell>
          <cell r="P840">
            <v>0</v>
          </cell>
          <cell r="Q840" t="str">
            <v>CS</v>
          </cell>
          <cell r="R840">
            <v>1</v>
          </cell>
          <cell r="S840">
            <v>1</v>
          </cell>
          <cell r="T840">
            <v>47.148560000000003</v>
          </cell>
          <cell r="U840">
            <v>47.148560000000003</v>
          </cell>
        </row>
        <row r="841">
          <cell r="B841" t="str">
            <v>V17551-PIND-0306-03</v>
          </cell>
          <cell r="C841" t="str">
            <v>PROD/25-26/13721</v>
          </cell>
          <cell r="D841" t="str">
            <v/>
          </cell>
          <cell r="E841" t="str">
            <v>TJ/25-26/184-CS</v>
          </cell>
          <cell r="F841" t="str">
            <v>P1</v>
          </cell>
          <cell r="G841">
            <v>0</v>
          </cell>
          <cell r="H841">
            <v>3</v>
          </cell>
          <cell r="I841" t="str">
            <v>Yes</v>
          </cell>
          <cell r="J841" t="str">
            <v/>
          </cell>
          <cell r="K841" t="str">
            <v>No</v>
          </cell>
          <cell r="L841" t="str">
            <v/>
          </cell>
          <cell r="M841" t="str">
            <v/>
          </cell>
          <cell r="N841" t="str">
            <v>Spool</v>
          </cell>
          <cell r="O841">
            <v>0</v>
          </cell>
          <cell r="P841">
            <v>0</v>
          </cell>
          <cell r="Q841" t="str">
            <v>CS</v>
          </cell>
          <cell r="R841">
            <v>1</v>
          </cell>
          <cell r="S841">
            <v>1</v>
          </cell>
          <cell r="T841">
            <v>10.192959999999999</v>
          </cell>
          <cell r="U841">
            <v>10.192959999999999</v>
          </cell>
        </row>
        <row r="842">
          <cell r="B842" t="str">
            <v>V17551-PIND-0307-03</v>
          </cell>
          <cell r="C842" t="str">
            <v>PROD/25-26/13722</v>
          </cell>
          <cell r="D842" t="str">
            <v/>
          </cell>
          <cell r="E842" t="str">
            <v>TJ/25-26/184-SS</v>
          </cell>
          <cell r="F842" t="str">
            <v>P1</v>
          </cell>
          <cell r="G842">
            <v>0</v>
          </cell>
          <cell r="H842">
            <v>3</v>
          </cell>
          <cell r="I842" t="str">
            <v>Yes</v>
          </cell>
          <cell r="J842" t="str">
            <v/>
          </cell>
          <cell r="K842" t="str">
            <v>No</v>
          </cell>
          <cell r="L842" t="str">
            <v/>
          </cell>
          <cell r="M842" t="str">
            <v/>
          </cell>
          <cell r="N842" t="str">
            <v>Spool</v>
          </cell>
          <cell r="O842">
            <v>0</v>
          </cell>
          <cell r="P842">
            <v>0</v>
          </cell>
          <cell r="Q842" t="str">
            <v>SS</v>
          </cell>
          <cell r="R842">
            <v>1</v>
          </cell>
          <cell r="S842">
            <v>1</v>
          </cell>
          <cell r="T842">
            <v>9.4357199999999999</v>
          </cell>
          <cell r="U842">
            <v>9.4357199999999999</v>
          </cell>
        </row>
        <row r="843">
          <cell r="B843" t="str">
            <v>V17551-PIND-0314-03</v>
          </cell>
          <cell r="C843" t="str">
            <v>PROD/25-26/13729</v>
          </cell>
          <cell r="D843" t="str">
            <v/>
          </cell>
          <cell r="E843" t="str">
            <v>TJ/25-26/184-CS</v>
          </cell>
          <cell r="F843" t="str">
            <v>P1</v>
          </cell>
          <cell r="G843">
            <v>0</v>
          </cell>
          <cell r="H843">
            <v>3</v>
          </cell>
          <cell r="I843" t="str">
            <v>Yes</v>
          </cell>
          <cell r="J843" t="str">
            <v/>
          </cell>
          <cell r="K843" t="str">
            <v>No</v>
          </cell>
          <cell r="L843" t="str">
            <v/>
          </cell>
          <cell r="M843" t="str">
            <v/>
          </cell>
          <cell r="N843" t="str">
            <v>Spool</v>
          </cell>
          <cell r="O843">
            <v>0</v>
          </cell>
          <cell r="P843">
            <v>0</v>
          </cell>
          <cell r="Q843" t="str">
            <v>CS</v>
          </cell>
          <cell r="R843">
            <v>1</v>
          </cell>
          <cell r="S843">
            <v>1</v>
          </cell>
          <cell r="T843">
            <v>19.364159999999998</v>
          </cell>
          <cell r="U843">
            <v>19.364159999999998</v>
          </cell>
        </row>
        <row r="844">
          <cell r="B844" t="str">
            <v>V17551-PIND-0315-03</v>
          </cell>
          <cell r="C844" t="str">
            <v>PROD/25-26/13730</v>
          </cell>
          <cell r="D844" t="str">
            <v/>
          </cell>
          <cell r="E844" t="str">
            <v>TJ/25-26/184-CS</v>
          </cell>
          <cell r="F844" t="str">
            <v>P5</v>
          </cell>
          <cell r="G844">
            <v>0</v>
          </cell>
          <cell r="H844">
            <v>3</v>
          </cell>
          <cell r="I844" t="str">
            <v>Yes</v>
          </cell>
          <cell r="J844" t="str">
            <v/>
          </cell>
          <cell r="K844" t="str">
            <v>No</v>
          </cell>
          <cell r="L844" t="str">
            <v/>
          </cell>
          <cell r="M844" t="str">
            <v/>
          </cell>
          <cell r="N844" t="str">
            <v>Spool</v>
          </cell>
          <cell r="O844">
            <v>0</v>
          </cell>
          <cell r="P844">
            <v>0</v>
          </cell>
          <cell r="Q844" t="str">
            <v>CS</v>
          </cell>
          <cell r="R844">
            <v>1</v>
          </cell>
          <cell r="S844">
            <v>1</v>
          </cell>
          <cell r="T844">
            <v>77.58193</v>
          </cell>
          <cell r="U844">
            <v>77.58193</v>
          </cell>
        </row>
        <row r="845">
          <cell r="B845" t="str">
            <v>V17551-PIND-0316-03</v>
          </cell>
          <cell r="C845" t="str">
            <v>PROD/25-26/13731</v>
          </cell>
          <cell r="D845" t="str">
            <v/>
          </cell>
          <cell r="E845" t="str">
            <v>TJ/25-26/184-CS</v>
          </cell>
          <cell r="F845" t="str">
            <v>P5</v>
          </cell>
          <cell r="G845">
            <v>0</v>
          </cell>
          <cell r="H845">
            <v>3</v>
          </cell>
          <cell r="I845" t="str">
            <v>Yes</v>
          </cell>
          <cell r="J845" t="str">
            <v/>
          </cell>
          <cell r="K845" t="str">
            <v>No</v>
          </cell>
          <cell r="L845" t="str">
            <v/>
          </cell>
          <cell r="M845" t="str">
            <v/>
          </cell>
          <cell r="N845" t="str">
            <v>Spool</v>
          </cell>
          <cell r="O845">
            <v>0</v>
          </cell>
          <cell r="P845">
            <v>0</v>
          </cell>
          <cell r="Q845" t="str">
            <v>CS</v>
          </cell>
          <cell r="R845">
            <v>1</v>
          </cell>
          <cell r="S845">
            <v>1</v>
          </cell>
          <cell r="T845">
            <v>28.705559999999998</v>
          </cell>
          <cell r="U845">
            <v>28.705559999999998</v>
          </cell>
        </row>
        <row r="846">
          <cell r="B846" t="str">
            <v>V17551-PIND-0319-03</v>
          </cell>
          <cell r="C846" t="str">
            <v>PROD/25-26/13733</v>
          </cell>
          <cell r="D846" t="str">
            <v/>
          </cell>
          <cell r="E846" t="str">
            <v>TJ/25-26/184-CS</v>
          </cell>
          <cell r="F846" t="str">
            <v>P5</v>
          </cell>
          <cell r="G846">
            <v>0</v>
          </cell>
          <cell r="H846">
            <v>3</v>
          </cell>
          <cell r="I846" t="str">
            <v>Yes</v>
          </cell>
          <cell r="J846" t="str">
            <v/>
          </cell>
          <cell r="K846" t="str">
            <v>No</v>
          </cell>
          <cell r="L846" t="str">
            <v/>
          </cell>
          <cell r="M846" t="str">
            <v/>
          </cell>
          <cell r="N846" t="str">
            <v>Spool</v>
          </cell>
          <cell r="O846">
            <v>0</v>
          </cell>
          <cell r="P846">
            <v>0</v>
          </cell>
          <cell r="Q846" t="str">
            <v>CS</v>
          </cell>
          <cell r="R846">
            <v>1</v>
          </cell>
          <cell r="S846">
            <v>1</v>
          </cell>
          <cell r="T846">
            <v>14.07504</v>
          </cell>
          <cell r="U846">
            <v>14.07504</v>
          </cell>
        </row>
        <row r="847">
          <cell r="B847" t="str">
            <v>V17551-PIND-0320-03</v>
          </cell>
          <cell r="C847" t="str">
            <v>PROD/25-26/13734</v>
          </cell>
          <cell r="D847" t="str">
            <v/>
          </cell>
          <cell r="E847" t="str">
            <v>TJ/25-26/184-CS</v>
          </cell>
          <cell r="F847" t="str">
            <v>P5</v>
          </cell>
          <cell r="G847">
            <v>0</v>
          </cell>
          <cell r="H847">
            <v>3</v>
          </cell>
          <cell r="I847" t="str">
            <v>Yes</v>
          </cell>
          <cell r="J847" t="str">
            <v/>
          </cell>
          <cell r="K847" t="str">
            <v>No</v>
          </cell>
          <cell r="L847" t="str">
            <v/>
          </cell>
          <cell r="M847" t="str">
            <v/>
          </cell>
          <cell r="N847" t="str">
            <v>Spool</v>
          </cell>
          <cell r="O847">
            <v>0</v>
          </cell>
          <cell r="P847">
            <v>0</v>
          </cell>
          <cell r="Q847" t="str">
            <v>CS</v>
          </cell>
          <cell r="R847">
            <v>1</v>
          </cell>
          <cell r="S847">
            <v>1</v>
          </cell>
          <cell r="T847">
            <v>16.171320000000001</v>
          </cell>
          <cell r="U847">
            <v>16.171320000000001</v>
          </cell>
        </row>
        <row r="848">
          <cell r="B848" t="str">
            <v>V17551-PIND-0321-03</v>
          </cell>
          <cell r="C848" t="str">
            <v>PROD/25-26/13735</v>
          </cell>
          <cell r="D848" t="str">
            <v/>
          </cell>
          <cell r="E848" t="str">
            <v>TJ/25-26/184-CS</v>
          </cell>
          <cell r="F848" t="str">
            <v>P5</v>
          </cell>
          <cell r="G848">
            <v>0</v>
          </cell>
          <cell r="H848">
            <v>3</v>
          </cell>
          <cell r="I848" t="str">
            <v>Yes</v>
          </cell>
          <cell r="J848" t="str">
            <v/>
          </cell>
          <cell r="K848" t="str">
            <v>No</v>
          </cell>
          <cell r="L848" t="str">
            <v/>
          </cell>
          <cell r="M848" t="str">
            <v/>
          </cell>
          <cell r="N848" t="str">
            <v>Spool</v>
          </cell>
          <cell r="O848">
            <v>0</v>
          </cell>
          <cell r="P848">
            <v>0</v>
          </cell>
          <cell r="Q848" t="str">
            <v>CS</v>
          </cell>
          <cell r="R848">
            <v>1</v>
          </cell>
          <cell r="S848">
            <v>1</v>
          </cell>
          <cell r="T848">
            <v>15.76032</v>
          </cell>
          <cell r="U848">
            <v>15.76032</v>
          </cell>
        </row>
        <row r="849">
          <cell r="B849" t="str">
            <v>V17551-PIND-0322-03</v>
          </cell>
          <cell r="C849" t="str">
            <v>PROD/25-26/13736</v>
          </cell>
          <cell r="D849" t="str">
            <v/>
          </cell>
          <cell r="E849" t="str">
            <v>TJ/25-26/184-CS</v>
          </cell>
          <cell r="F849" t="str">
            <v>P5</v>
          </cell>
          <cell r="G849">
            <v>0</v>
          </cell>
          <cell r="H849">
            <v>3</v>
          </cell>
          <cell r="I849" t="str">
            <v>Yes</v>
          </cell>
          <cell r="J849" t="str">
            <v/>
          </cell>
          <cell r="K849" t="str">
            <v>No</v>
          </cell>
          <cell r="L849" t="str">
            <v/>
          </cell>
          <cell r="M849" t="str">
            <v/>
          </cell>
          <cell r="N849" t="str">
            <v>Spool</v>
          </cell>
          <cell r="O849">
            <v>0</v>
          </cell>
          <cell r="P849">
            <v>0</v>
          </cell>
          <cell r="Q849" t="str">
            <v>CS</v>
          </cell>
          <cell r="R849">
            <v>1</v>
          </cell>
          <cell r="S849">
            <v>1</v>
          </cell>
          <cell r="T849">
            <v>13.699680000000001</v>
          </cell>
          <cell r="U849">
            <v>13.699680000000001</v>
          </cell>
        </row>
        <row r="850">
          <cell r="B850" t="str">
            <v>V17551-PIND-0323-03</v>
          </cell>
          <cell r="C850" t="str">
            <v>PROD/25-26/14070</v>
          </cell>
          <cell r="D850" t="str">
            <v/>
          </cell>
          <cell r="E850" t="str">
            <v>TJ/25-26/184-CS</v>
          </cell>
          <cell r="F850" t="str">
            <v>P5</v>
          </cell>
          <cell r="G850">
            <v>0</v>
          </cell>
          <cell r="H850">
            <v>3</v>
          </cell>
          <cell r="I850" t="str">
            <v>Yes</v>
          </cell>
          <cell r="J850" t="str">
            <v/>
          </cell>
          <cell r="K850" t="str">
            <v>No</v>
          </cell>
          <cell r="L850" t="str">
            <v/>
          </cell>
          <cell r="M850" t="str">
            <v/>
          </cell>
          <cell r="N850" t="str">
            <v>Spool</v>
          </cell>
          <cell r="O850">
            <v>0</v>
          </cell>
          <cell r="P850">
            <v>0</v>
          </cell>
          <cell r="Q850" t="str">
            <v>CS</v>
          </cell>
          <cell r="R850">
            <v>1</v>
          </cell>
          <cell r="S850">
            <v>1</v>
          </cell>
          <cell r="T850">
            <v>54.164360000000002</v>
          </cell>
          <cell r="U850">
            <v>54.164360000000002</v>
          </cell>
        </row>
        <row r="851">
          <cell r="B851" t="str">
            <v>V17551-PIND-0324-03</v>
          </cell>
          <cell r="C851" t="str">
            <v>PROD/25-26/13738</v>
          </cell>
          <cell r="D851" t="str">
            <v/>
          </cell>
          <cell r="E851" t="str">
            <v>TJ/25-26/184-CS</v>
          </cell>
          <cell r="F851" t="str">
            <v>P5</v>
          </cell>
          <cell r="G851">
            <v>0</v>
          </cell>
          <cell r="H851">
            <v>3</v>
          </cell>
          <cell r="I851" t="str">
            <v>No</v>
          </cell>
          <cell r="J851" t="str">
            <v/>
          </cell>
          <cell r="K851" t="str">
            <v>No</v>
          </cell>
          <cell r="L851" t="str">
            <v/>
          </cell>
          <cell r="M851" t="str">
            <v/>
          </cell>
          <cell r="N851" t="str">
            <v>Spool</v>
          </cell>
          <cell r="O851">
            <v>0</v>
          </cell>
          <cell r="P851">
            <v>0</v>
          </cell>
          <cell r="Q851" t="str">
            <v>CS</v>
          </cell>
          <cell r="R851">
            <v>1</v>
          </cell>
          <cell r="S851">
            <v>1</v>
          </cell>
          <cell r="T851">
            <v>10.8804</v>
          </cell>
          <cell r="U851">
            <v>10.8804</v>
          </cell>
        </row>
        <row r="852">
          <cell r="B852" t="str">
            <v>V17551-PIND-0325-03</v>
          </cell>
          <cell r="C852" t="str">
            <v>PROD/25-26/13739</v>
          </cell>
          <cell r="D852" t="str">
            <v/>
          </cell>
          <cell r="E852" t="str">
            <v>TJ/25-26/184-CS</v>
          </cell>
          <cell r="F852" t="str">
            <v>P5</v>
          </cell>
          <cell r="G852">
            <v>0</v>
          </cell>
          <cell r="H852">
            <v>3</v>
          </cell>
          <cell r="I852" t="str">
            <v>Yes</v>
          </cell>
          <cell r="J852" t="str">
            <v/>
          </cell>
          <cell r="K852" t="str">
            <v>No</v>
          </cell>
          <cell r="L852" t="str">
            <v/>
          </cell>
          <cell r="M852" t="str">
            <v/>
          </cell>
          <cell r="N852" t="str">
            <v>Spool</v>
          </cell>
          <cell r="O852">
            <v>0</v>
          </cell>
          <cell r="P852">
            <v>0</v>
          </cell>
          <cell r="Q852" t="str">
            <v>CS</v>
          </cell>
          <cell r="R852">
            <v>1</v>
          </cell>
          <cell r="S852">
            <v>1</v>
          </cell>
          <cell r="T852">
            <v>10.8804</v>
          </cell>
          <cell r="U852">
            <v>10.8804</v>
          </cell>
        </row>
        <row r="853">
          <cell r="B853" t="str">
            <v>V17551-PIND-0327-03</v>
          </cell>
          <cell r="C853" t="str">
            <v>PROD/25-26/13741</v>
          </cell>
          <cell r="D853" t="str">
            <v/>
          </cell>
          <cell r="E853" t="str">
            <v>TJ/25-26/184-CS</v>
          </cell>
          <cell r="F853" t="str">
            <v>P5</v>
          </cell>
          <cell r="G853">
            <v>0</v>
          </cell>
          <cell r="H853">
            <v>3</v>
          </cell>
          <cell r="I853" t="str">
            <v>Yes</v>
          </cell>
          <cell r="J853" t="str">
            <v/>
          </cell>
          <cell r="K853" t="str">
            <v>No</v>
          </cell>
          <cell r="L853" t="str">
            <v/>
          </cell>
          <cell r="M853" t="str">
            <v/>
          </cell>
          <cell r="N853" t="str">
            <v>Spool</v>
          </cell>
          <cell r="O853">
            <v>0</v>
          </cell>
          <cell r="P853">
            <v>0</v>
          </cell>
          <cell r="Q853" t="str">
            <v>CS</v>
          </cell>
          <cell r="R853">
            <v>1</v>
          </cell>
          <cell r="S853">
            <v>1</v>
          </cell>
          <cell r="T853">
            <v>22.693000000000001</v>
          </cell>
          <cell r="U853">
            <v>22.693000000000001</v>
          </cell>
        </row>
        <row r="854">
          <cell r="B854" t="str">
            <v>V17551-PIND-0329-03</v>
          </cell>
          <cell r="C854" t="str">
            <v>PROD/25-26/13743</v>
          </cell>
          <cell r="D854" t="str">
            <v/>
          </cell>
          <cell r="E854" t="str">
            <v>TJ/25-26/184-CS</v>
          </cell>
          <cell r="F854" t="str">
            <v>P5</v>
          </cell>
          <cell r="G854">
            <v>0</v>
          </cell>
          <cell r="H854">
            <v>3</v>
          </cell>
          <cell r="I854" t="str">
            <v>Yes</v>
          </cell>
          <cell r="J854" t="str">
            <v/>
          </cell>
          <cell r="K854" t="str">
            <v>No</v>
          </cell>
          <cell r="L854" t="str">
            <v/>
          </cell>
          <cell r="M854" t="str">
            <v/>
          </cell>
          <cell r="N854" t="str">
            <v>Spool</v>
          </cell>
          <cell r="O854">
            <v>0</v>
          </cell>
          <cell r="P854">
            <v>0</v>
          </cell>
          <cell r="Q854" t="str">
            <v>CS</v>
          </cell>
          <cell r="R854">
            <v>1</v>
          </cell>
          <cell r="S854">
            <v>1</v>
          </cell>
          <cell r="T854">
            <v>17.890360000000001</v>
          </cell>
          <cell r="U854">
            <v>17.890360000000001</v>
          </cell>
        </row>
        <row r="855">
          <cell r="B855" t="str">
            <v>V17551-PIND-0331-03</v>
          </cell>
          <cell r="C855" t="str">
            <v>PROD/25-26/13745</v>
          </cell>
          <cell r="D855" t="str">
            <v/>
          </cell>
          <cell r="E855" t="str">
            <v>TJ/25-26/184-CS</v>
          </cell>
          <cell r="F855" t="str">
            <v>P5</v>
          </cell>
          <cell r="G855">
            <v>0</v>
          </cell>
          <cell r="H855">
            <v>3</v>
          </cell>
          <cell r="I855" t="str">
            <v>Yes</v>
          </cell>
          <cell r="J855" t="str">
            <v/>
          </cell>
          <cell r="K855" t="str">
            <v>No</v>
          </cell>
          <cell r="L855" t="str">
            <v/>
          </cell>
          <cell r="M855" t="str">
            <v/>
          </cell>
          <cell r="N855" t="str">
            <v>Spool</v>
          </cell>
          <cell r="O855">
            <v>0</v>
          </cell>
          <cell r="P855">
            <v>0</v>
          </cell>
          <cell r="Q855" t="str">
            <v>CS</v>
          </cell>
          <cell r="R855">
            <v>1</v>
          </cell>
          <cell r="S855">
            <v>1</v>
          </cell>
          <cell r="T855">
            <v>13.23724</v>
          </cell>
          <cell r="U855">
            <v>13.23724</v>
          </cell>
        </row>
        <row r="856">
          <cell r="B856" t="str">
            <v>V17551-PIND-0332-03</v>
          </cell>
          <cell r="C856" t="str">
            <v>PROD/25-26/13746</v>
          </cell>
          <cell r="D856" t="str">
            <v/>
          </cell>
          <cell r="E856" t="str">
            <v>TJ/25-26/184-CS</v>
          </cell>
          <cell r="F856" t="str">
            <v>P5</v>
          </cell>
          <cell r="G856">
            <v>0</v>
          </cell>
          <cell r="H856">
            <v>3</v>
          </cell>
          <cell r="I856" t="str">
            <v>Yes</v>
          </cell>
          <cell r="J856" t="str">
            <v/>
          </cell>
          <cell r="K856" t="str">
            <v>No</v>
          </cell>
          <cell r="L856" t="str">
            <v/>
          </cell>
          <cell r="M856" t="str">
            <v/>
          </cell>
          <cell r="N856" t="str">
            <v>Spool</v>
          </cell>
          <cell r="O856">
            <v>0</v>
          </cell>
          <cell r="P856">
            <v>0</v>
          </cell>
          <cell r="Q856" t="str">
            <v>CS</v>
          </cell>
          <cell r="R856">
            <v>1</v>
          </cell>
          <cell r="S856">
            <v>1</v>
          </cell>
          <cell r="T856">
            <v>16.085039999999999</v>
          </cell>
          <cell r="U856">
            <v>16.085039999999999</v>
          </cell>
        </row>
        <row r="857">
          <cell r="B857" t="str">
            <v>V17551-PIND-0333-03</v>
          </cell>
          <cell r="C857" t="str">
            <v>PROD/25-26/13747</v>
          </cell>
          <cell r="D857" t="str">
            <v/>
          </cell>
          <cell r="E857" t="str">
            <v>TJ/25-26/184-CS</v>
          </cell>
          <cell r="F857" t="str">
            <v>P5</v>
          </cell>
          <cell r="G857">
            <v>0</v>
          </cell>
          <cell r="H857">
            <v>3</v>
          </cell>
          <cell r="I857" t="str">
            <v>Yes</v>
          </cell>
          <cell r="J857" t="str">
            <v/>
          </cell>
          <cell r="K857" t="str">
            <v>No</v>
          </cell>
          <cell r="L857" t="str">
            <v/>
          </cell>
          <cell r="M857" t="str">
            <v/>
          </cell>
          <cell r="N857" t="str">
            <v>Spool</v>
          </cell>
          <cell r="O857">
            <v>0</v>
          </cell>
          <cell r="P857">
            <v>0</v>
          </cell>
          <cell r="Q857" t="str">
            <v>CS</v>
          </cell>
          <cell r="R857">
            <v>1</v>
          </cell>
          <cell r="S857">
            <v>1</v>
          </cell>
          <cell r="T857">
            <v>24.87276</v>
          </cell>
          <cell r="U857">
            <v>24.87276</v>
          </cell>
        </row>
        <row r="858">
          <cell r="B858" t="str">
            <v>V17551-PIND-0334-03</v>
          </cell>
          <cell r="C858" t="str">
            <v>PROD/25-26/14074</v>
          </cell>
          <cell r="D858" t="str">
            <v/>
          </cell>
          <cell r="E858" t="str">
            <v>TJ/25-26/184-CS</v>
          </cell>
          <cell r="F858" t="str">
            <v>P5</v>
          </cell>
          <cell r="G858">
            <v>0</v>
          </cell>
          <cell r="H858">
            <v>3</v>
          </cell>
          <cell r="I858" t="str">
            <v>Yes</v>
          </cell>
          <cell r="J858" t="str">
            <v/>
          </cell>
          <cell r="K858" t="str">
            <v>No</v>
          </cell>
          <cell r="L858" t="str">
            <v/>
          </cell>
          <cell r="M858" t="str">
            <v/>
          </cell>
          <cell r="N858" t="str">
            <v>Spool</v>
          </cell>
          <cell r="O858">
            <v>0</v>
          </cell>
          <cell r="P858">
            <v>0</v>
          </cell>
          <cell r="Q858" t="str">
            <v>CS</v>
          </cell>
          <cell r="R858">
            <v>1</v>
          </cell>
          <cell r="S858">
            <v>1</v>
          </cell>
          <cell r="T858">
            <v>46.932679999999998</v>
          </cell>
          <cell r="U858">
            <v>46.932679999999998</v>
          </cell>
        </row>
        <row r="859">
          <cell r="B859" t="str">
            <v>V17551-PIND-0335-03</v>
          </cell>
          <cell r="C859" t="str">
            <v>PROD/25-26/14075</v>
          </cell>
          <cell r="D859" t="str">
            <v/>
          </cell>
          <cell r="E859" t="str">
            <v>TJ/25-26/184-CS</v>
          </cell>
          <cell r="F859" t="str">
            <v>P5</v>
          </cell>
          <cell r="G859">
            <v>0</v>
          </cell>
          <cell r="H859">
            <v>3</v>
          </cell>
          <cell r="I859" t="str">
            <v>Yes</v>
          </cell>
          <cell r="J859" t="str">
            <v/>
          </cell>
          <cell r="K859" t="str">
            <v>No</v>
          </cell>
          <cell r="L859" t="str">
            <v/>
          </cell>
          <cell r="M859" t="str">
            <v/>
          </cell>
          <cell r="N859" t="str">
            <v>Spool</v>
          </cell>
          <cell r="O859">
            <v>0</v>
          </cell>
          <cell r="P859">
            <v>0</v>
          </cell>
          <cell r="Q859" t="str">
            <v>CS</v>
          </cell>
          <cell r="R859">
            <v>1</v>
          </cell>
          <cell r="S859">
            <v>1</v>
          </cell>
          <cell r="T859">
            <v>46.932679999999998</v>
          </cell>
          <cell r="U859">
            <v>46.932679999999998</v>
          </cell>
        </row>
        <row r="860">
          <cell r="B860" t="str">
            <v>V17551-PIND-0336-03</v>
          </cell>
          <cell r="C860" t="str">
            <v>PROD/25-26/14076</v>
          </cell>
          <cell r="D860" t="str">
            <v/>
          </cell>
          <cell r="E860" t="str">
            <v>TJ/25-26/184-CS</v>
          </cell>
          <cell r="F860" t="str">
            <v>P5</v>
          </cell>
          <cell r="G860">
            <v>0</v>
          </cell>
          <cell r="H860">
            <v>3</v>
          </cell>
          <cell r="I860" t="str">
            <v>Yes</v>
          </cell>
          <cell r="J860" t="str">
            <v/>
          </cell>
          <cell r="K860" t="str">
            <v>No</v>
          </cell>
          <cell r="L860" t="str">
            <v/>
          </cell>
          <cell r="M860" t="str">
            <v/>
          </cell>
          <cell r="N860" t="str">
            <v>Spool</v>
          </cell>
          <cell r="O860">
            <v>0</v>
          </cell>
          <cell r="P860">
            <v>0</v>
          </cell>
          <cell r="Q860" t="str">
            <v>CS</v>
          </cell>
          <cell r="R860">
            <v>1</v>
          </cell>
          <cell r="S860">
            <v>1</v>
          </cell>
          <cell r="T860">
            <v>46.92944</v>
          </cell>
          <cell r="U860">
            <v>46.92944</v>
          </cell>
        </row>
        <row r="861">
          <cell r="B861" t="str">
            <v>V17551-PIND-0337-03</v>
          </cell>
          <cell r="C861" t="str">
            <v>PROD/25-26/14077</v>
          </cell>
          <cell r="D861" t="str">
            <v/>
          </cell>
          <cell r="E861" t="str">
            <v>TJ/25-26/184-CS</v>
          </cell>
          <cell r="F861" t="str">
            <v>P5</v>
          </cell>
          <cell r="G861">
            <v>0</v>
          </cell>
          <cell r="H861">
            <v>3</v>
          </cell>
          <cell r="I861" t="str">
            <v>Yes</v>
          </cell>
          <cell r="J861" t="str">
            <v/>
          </cell>
          <cell r="K861" t="str">
            <v>No</v>
          </cell>
          <cell r="L861" t="str">
            <v/>
          </cell>
          <cell r="M861" t="str">
            <v/>
          </cell>
          <cell r="N861" t="str">
            <v>Spool</v>
          </cell>
          <cell r="O861">
            <v>0</v>
          </cell>
          <cell r="P861">
            <v>0</v>
          </cell>
          <cell r="Q861" t="str">
            <v>CS</v>
          </cell>
          <cell r="R861">
            <v>1</v>
          </cell>
          <cell r="S861">
            <v>1</v>
          </cell>
          <cell r="T861">
            <v>46.92944</v>
          </cell>
          <cell r="U861">
            <v>46.92944</v>
          </cell>
        </row>
        <row r="862">
          <cell r="B862" t="str">
            <v>V17551-PIND-0339-03</v>
          </cell>
          <cell r="C862" t="str">
            <v>PROD/25-26/13752</v>
          </cell>
          <cell r="D862" t="str">
            <v/>
          </cell>
          <cell r="E862" t="str">
            <v>TJ/25-26/184-CS</v>
          </cell>
          <cell r="F862" t="str">
            <v>P5</v>
          </cell>
          <cell r="G862">
            <v>0</v>
          </cell>
          <cell r="H862">
            <v>3</v>
          </cell>
          <cell r="I862" t="str">
            <v>Yes</v>
          </cell>
          <cell r="J862" t="str">
            <v/>
          </cell>
          <cell r="K862" t="str">
            <v>No</v>
          </cell>
          <cell r="L862" t="str">
            <v/>
          </cell>
          <cell r="M862" t="str">
            <v/>
          </cell>
          <cell r="N862" t="str">
            <v>Spool</v>
          </cell>
          <cell r="O862">
            <v>0</v>
          </cell>
          <cell r="P862">
            <v>0</v>
          </cell>
          <cell r="Q862" t="str">
            <v>CS</v>
          </cell>
          <cell r="R862">
            <v>1</v>
          </cell>
          <cell r="S862">
            <v>1</v>
          </cell>
          <cell r="T862">
            <v>5.5348800000000002</v>
          </cell>
          <cell r="U862">
            <v>5.5348800000000002</v>
          </cell>
        </row>
        <row r="863">
          <cell r="B863" t="str">
            <v>V17551-PIND-0340-03</v>
          </cell>
          <cell r="C863" t="str">
            <v>PROD/25-26/13753</v>
          </cell>
          <cell r="D863" t="str">
            <v/>
          </cell>
          <cell r="E863" t="str">
            <v>TJ/25-26/184-CS</v>
          </cell>
          <cell r="F863" t="str">
            <v>P5</v>
          </cell>
          <cell r="G863">
            <v>0</v>
          </cell>
          <cell r="H863">
            <v>3</v>
          </cell>
          <cell r="I863" t="str">
            <v>Yes</v>
          </cell>
          <cell r="J863" t="str">
            <v/>
          </cell>
          <cell r="K863" t="str">
            <v>No</v>
          </cell>
          <cell r="L863" t="str">
            <v/>
          </cell>
          <cell r="M863" t="str">
            <v/>
          </cell>
          <cell r="N863" t="str">
            <v>Spool</v>
          </cell>
          <cell r="O863">
            <v>0</v>
          </cell>
          <cell r="P863">
            <v>0</v>
          </cell>
          <cell r="Q863" t="str">
            <v>CS</v>
          </cell>
          <cell r="R863">
            <v>1</v>
          </cell>
          <cell r="S863">
            <v>1</v>
          </cell>
          <cell r="T863">
            <v>7.8066000000000004</v>
          </cell>
          <cell r="U863">
            <v>7.8066000000000004</v>
          </cell>
        </row>
        <row r="864">
          <cell r="B864" t="str">
            <v>V17551-PIND-0341-03</v>
          </cell>
          <cell r="C864" t="str">
            <v>PROD/25-26/14081</v>
          </cell>
          <cell r="D864" t="str">
            <v/>
          </cell>
          <cell r="E864" t="str">
            <v>TJ/25-26/184-CS</v>
          </cell>
          <cell r="F864" t="str">
            <v>P5</v>
          </cell>
          <cell r="G864">
            <v>0</v>
          </cell>
          <cell r="H864">
            <v>3</v>
          </cell>
          <cell r="I864" t="str">
            <v>Yes</v>
          </cell>
          <cell r="J864" t="str">
            <v/>
          </cell>
          <cell r="K864" t="str">
            <v>No</v>
          </cell>
          <cell r="L864" t="str">
            <v/>
          </cell>
          <cell r="M864" t="str">
            <v/>
          </cell>
          <cell r="N864" t="str">
            <v>Spool</v>
          </cell>
          <cell r="O864">
            <v>0</v>
          </cell>
          <cell r="P864">
            <v>0</v>
          </cell>
          <cell r="Q864" t="str">
            <v>CS</v>
          </cell>
          <cell r="R864">
            <v>1</v>
          </cell>
          <cell r="S864">
            <v>1</v>
          </cell>
          <cell r="T864">
            <v>47.02664</v>
          </cell>
          <cell r="U864">
            <v>47.02664</v>
          </cell>
        </row>
        <row r="865">
          <cell r="B865" t="str">
            <v>V17551-PIND-0342-03</v>
          </cell>
          <cell r="C865" t="str">
            <v>PROD/25-26/14082</v>
          </cell>
          <cell r="D865" t="str">
            <v/>
          </cell>
          <cell r="E865" t="str">
            <v>TJ/25-26/184-CS</v>
          </cell>
          <cell r="F865" t="str">
            <v>P5</v>
          </cell>
          <cell r="G865">
            <v>0</v>
          </cell>
          <cell r="H865">
            <v>3</v>
          </cell>
          <cell r="I865" t="str">
            <v>Yes</v>
          </cell>
          <cell r="J865" t="str">
            <v/>
          </cell>
          <cell r="K865" t="str">
            <v>No</v>
          </cell>
          <cell r="L865" t="str">
            <v/>
          </cell>
          <cell r="M865" t="str">
            <v/>
          </cell>
          <cell r="N865" t="str">
            <v>Spool</v>
          </cell>
          <cell r="O865">
            <v>0</v>
          </cell>
          <cell r="P865">
            <v>0</v>
          </cell>
          <cell r="Q865" t="str">
            <v>CS</v>
          </cell>
          <cell r="R865">
            <v>1</v>
          </cell>
          <cell r="S865">
            <v>1</v>
          </cell>
          <cell r="T865">
            <v>47.02664</v>
          </cell>
          <cell r="U865">
            <v>47.02664</v>
          </cell>
        </row>
        <row r="866">
          <cell r="B866" t="str">
            <v>V17551-PIND-0344-03</v>
          </cell>
          <cell r="C866" t="str">
            <v>PROD/25-26/13757</v>
          </cell>
          <cell r="D866" t="str">
            <v/>
          </cell>
          <cell r="E866" t="str">
            <v>TJ/25-26/184-CS</v>
          </cell>
          <cell r="F866" t="str">
            <v>P5</v>
          </cell>
          <cell r="G866">
            <v>0</v>
          </cell>
          <cell r="H866">
            <v>3</v>
          </cell>
          <cell r="I866" t="str">
            <v>Yes</v>
          </cell>
          <cell r="J866" t="str">
            <v/>
          </cell>
          <cell r="K866" t="str">
            <v>No</v>
          </cell>
          <cell r="L866" t="str">
            <v/>
          </cell>
          <cell r="M866" t="str">
            <v/>
          </cell>
          <cell r="N866" t="str">
            <v>Spool</v>
          </cell>
          <cell r="O866">
            <v>0</v>
          </cell>
          <cell r="P866">
            <v>0</v>
          </cell>
          <cell r="Q866" t="str">
            <v>CS</v>
          </cell>
          <cell r="R866">
            <v>1</v>
          </cell>
          <cell r="S866">
            <v>1</v>
          </cell>
          <cell r="T866">
            <v>11.668200000000001</v>
          </cell>
          <cell r="U866">
            <v>11.668200000000001</v>
          </cell>
        </row>
        <row r="867">
          <cell r="B867" t="str">
            <v>V17551-PIND-0345-03</v>
          </cell>
          <cell r="C867" t="str">
            <v>PROD/25-26/14202</v>
          </cell>
          <cell r="D867" t="str">
            <v/>
          </cell>
          <cell r="E867" t="str">
            <v>TJ/25-26/184-CS</v>
          </cell>
          <cell r="F867" t="str">
            <v>P5</v>
          </cell>
          <cell r="G867">
            <v>0</v>
          </cell>
          <cell r="H867">
            <v>3</v>
          </cell>
          <cell r="I867" t="str">
            <v>Yes</v>
          </cell>
          <cell r="J867" t="str">
            <v/>
          </cell>
          <cell r="K867" t="str">
            <v>No</v>
          </cell>
          <cell r="L867" t="str">
            <v/>
          </cell>
          <cell r="M867" t="str">
            <v/>
          </cell>
          <cell r="N867" t="str">
            <v>Spool</v>
          </cell>
          <cell r="O867">
            <v>0</v>
          </cell>
          <cell r="P867">
            <v>0</v>
          </cell>
          <cell r="Q867" t="str">
            <v>CS</v>
          </cell>
          <cell r="R867">
            <v>1</v>
          </cell>
          <cell r="S867">
            <v>1</v>
          </cell>
          <cell r="T867">
            <v>8.5635999999999992</v>
          </cell>
          <cell r="U867">
            <v>8.5635999999999992</v>
          </cell>
        </row>
        <row r="868">
          <cell r="B868" t="str">
            <v>V17551-PIND-0346-03</v>
          </cell>
          <cell r="C868" t="str">
            <v>PROD/25-26/13759</v>
          </cell>
          <cell r="D868" t="str">
            <v/>
          </cell>
          <cell r="E868" t="str">
            <v>TJ/25-26/184-CS</v>
          </cell>
          <cell r="F868" t="str">
            <v>P5</v>
          </cell>
          <cell r="G868">
            <v>0</v>
          </cell>
          <cell r="H868">
            <v>3</v>
          </cell>
          <cell r="I868" t="str">
            <v>Yes</v>
          </cell>
          <cell r="J868" t="str">
            <v/>
          </cell>
          <cell r="K868" t="str">
            <v>No</v>
          </cell>
          <cell r="L868" t="str">
            <v/>
          </cell>
          <cell r="M868" t="str">
            <v/>
          </cell>
          <cell r="N868" t="str">
            <v>Spool</v>
          </cell>
          <cell r="O868">
            <v>0</v>
          </cell>
          <cell r="P868">
            <v>0</v>
          </cell>
          <cell r="Q868" t="str">
            <v>CS</v>
          </cell>
          <cell r="R868">
            <v>1</v>
          </cell>
          <cell r="S868">
            <v>1</v>
          </cell>
          <cell r="T868">
            <v>23.8476</v>
          </cell>
          <cell r="U868">
            <v>23.8476</v>
          </cell>
        </row>
        <row r="869">
          <cell r="B869" t="str">
            <v>V17551-PIND-0348-03</v>
          </cell>
          <cell r="C869" t="str">
            <v>PROD/25-26/13761</v>
          </cell>
          <cell r="D869" t="str">
            <v/>
          </cell>
          <cell r="E869" t="str">
            <v>TJ/25-26/184-CS</v>
          </cell>
          <cell r="F869" t="str">
            <v>P5</v>
          </cell>
          <cell r="G869">
            <v>0</v>
          </cell>
          <cell r="H869">
            <v>3</v>
          </cell>
          <cell r="I869" t="str">
            <v>Yes</v>
          </cell>
          <cell r="J869" t="str">
            <v/>
          </cell>
          <cell r="K869" t="str">
            <v>No</v>
          </cell>
          <cell r="L869" t="str">
            <v/>
          </cell>
          <cell r="M869" t="str">
            <v/>
          </cell>
          <cell r="N869" t="str">
            <v>Spool</v>
          </cell>
          <cell r="O869">
            <v>0</v>
          </cell>
          <cell r="P869">
            <v>0</v>
          </cell>
          <cell r="Q869" t="str">
            <v>CS</v>
          </cell>
          <cell r="R869">
            <v>1</v>
          </cell>
          <cell r="S869">
            <v>1</v>
          </cell>
          <cell r="T869">
            <v>41.057040000000001</v>
          </cell>
          <cell r="U869">
            <v>41.057040000000001</v>
          </cell>
        </row>
        <row r="870">
          <cell r="B870" t="str">
            <v>V17551-PIND-0349-06</v>
          </cell>
          <cell r="C870" t="str">
            <v>PROD/25-26/13762</v>
          </cell>
          <cell r="D870" t="str">
            <v/>
          </cell>
          <cell r="E870" t="str">
            <v>TJ/25-26/184-CS</v>
          </cell>
          <cell r="F870" t="str">
            <v>P5</v>
          </cell>
          <cell r="G870">
            <v>0</v>
          </cell>
          <cell r="H870">
            <v>3</v>
          </cell>
          <cell r="I870" t="str">
            <v>Yes</v>
          </cell>
          <cell r="J870" t="str">
            <v/>
          </cell>
          <cell r="K870" t="str">
            <v>No</v>
          </cell>
          <cell r="L870" t="str">
            <v/>
          </cell>
          <cell r="M870" t="str">
            <v/>
          </cell>
          <cell r="N870" t="str">
            <v>Spool</v>
          </cell>
          <cell r="O870">
            <v>0</v>
          </cell>
          <cell r="P870">
            <v>0</v>
          </cell>
          <cell r="Q870" t="str">
            <v>CS</v>
          </cell>
          <cell r="R870">
            <v>1</v>
          </cell>
          <cell r="S870">
            <v>1</v>
          </cell>
          <cell r="T870">
            <v>11.531639999999999</v>
          </cell>
          <cell r="U870">
            <v>11.531639999999999</v>
          </cell>
        </row>
        <row r="871">
          <cell r="B871" t="str">
            <v>V17551-PIND-0362-03</v>
          </cell>
          <cell r="C871" t="str">
            <v>PROD/25-26/13773</v>
          </cell>
          <cell r="D871" t="str">
            <v/>
          </cell>
          <cell r="E871" t="str">
            <v>TJ/25-26/184-CS</v>
          </cell>
          <cell r="F871" t="str">
            <v>P5</v>
          </cell>
          <cell r="G871">
            <v>0</v>
          </cell>
          <cell r="H871">
            <v>3</v>
          </cell>
          <cell r="I871" t="str">
            <v>Yes</v>
          </cell>
          <cell r="J871" t="str">
            <v/>
          </cell>
          <cell r="K871" t="str">
            <v>No</v>
          </cell>
          <cell r="L871" t="str">
            <v/>
          </cell>
          <cell r="M871" t="str">
            <v/>
          </cell>
          <cell r="N871" t="str">
            <v>Spool</v>
          </cell>
          <cell r="O871">
            <v>0</v>
          </cell>
          <cell r="P871">
            <v>0</v>
          </cell>
          <cell r="Q871" t="str">
            <v>CS</v>
          </cell>
          <cell r="R871">
            <v>1</v>
          </cell>
          <cell r="S871">
            <v>1</v>
          </cell>
          <cell r="T871">
            <v>8.7420000000000009</v>
          </cell>
          <cell r="U871">
            <v>8.7420000000000009</v>
          </cell>
        </row>
        <row r="872">
          <cell r="B872" t="str">
            <v>V17551-PIND-0363-03</v>
          </cell>
          <cell r="C872" t="str">
            <v>PROD/25-26/13774</v>
          </cell>
          <cell r="D872" t="str">
            <v/>
          </cell>
          <cell r="E872" t="str">
            <v>TJ/25-26/184-CS</v>
          </cell>
          <cell r="F872" t="str">
            <v>P5</v>
          </cell>
          <cell r="G872">
            <v>0</v>
          </cell>
          <cell r="H872">
            <v>3</v>
          </cell>
          <cell r="I872" t="str">
            <v>Yes</v>
          </cell>
          <cell r="J872" t="str">
            <v/>
          </cell>
          <cell r="K872" t="str">
            <v>No</v>
          </cell>
          <cell r="L872" t="str">
            <v/>
          </cell>
          <cell r="M872" t="str">
            <v/>
          </cell>
          <cell r="N872" t="str">
            <v>Spool</v>
          </cell>
          <cell r="O872">
            <v>0</v>
          </cell>
          <cell r="P872">
            <v>0</v>
          </cell>
          <cell r="Q872" t="str">
            <v>CS</v>
          </cell>
          <cell r="R872">
            <v>1</v>
          </cell>
          <cell r="S872">
            <v>1</v>
          </cell>
          <cell r="T872">
            <v>16.38888</v>
          </cell>
          <cell r="U872">
            <v>16.38888</v>
          </cell>
        </row>
        <row r="873">
          <cell r="B873" t="str">
            <v>V17551-PIND-0366-03</v>
          </cell>
          <cell r="C873" t="str">
            <v>PROD/25-26/13629</v>
          </cell>
          <cell r="D873" t="str">
            <v/>
          </cell>
          <cell r="E873" t="str">
            <v>TJ/25-26/184-CS</v>
          </cell>
          <cell r="F873" t="str">
            <v>P5</v>
          </cell>
          <cell r="G873">
            <v>0</v>
          </cell>
          <cell r="H873">
            <v>3</v>
          </cell>
          <cell r="I873" t="str">
            <v>Yes</v>
          </cell>
          <cell r="J873" t="str">
            <v/>
          </cell>
          <cell r="K873" t="str">
            <v>No</v>
          </cell>
          <cell r="L873" t="str">
            <v/>
          </cell>
          <cell r="M873" t="str">
            <v/>
          </cell>
          <cell r="N873" t="str">
            <v>Spool</v>
          </cell>
          <cell r="O873">
            <v>0</v>
          </cell>
          <cell r="P873">
            <v>0</v>
          </cell>
          <cell r="Q873" t="str">
            <v>CS</v>
          </cell>
          <cell r="R873">
            <v>1</v>
          </cell>
          <cell r="S873">
            <v>1</v>
          </cell>
          <cell r="T873">
            <v>8.4179999999999993</v>
          </cell>
          <cell r="U873">
            <v>8.4179999999999993</v>
          </cell>
        </row>
        <row r="874">
          <cell r="B874" t="str">
            <v>V17551-PIND-0371-03</v>
          </cell>
          <cell r="C874" t="str">
            <v>PROD/25-26/13630</v>
          </cell>
          <cell r="D874" t="str">
            <v/>
          </cell>
          <cell r="E874" t="str">
            <v>TJ/25-26/184-P22</v>
          </cell>
          <cell r="F874" t="str">
            <v>P5</v>
          </cell>
          <cell r="G874">
            <v>0</v>
          </cell>
          <cell r="H874">
            <v>3</v>
          </cell>
          <cell r="I874" t="str">
            <v>Yes</v>
          </cell>
          <cell r="J874" t="str">
            <v/>
          </cell>
          <cell r="K874" t="str">
            <v>No</v>
          </cell>
          <cell r="L874" t="str">
            <v/>
          </cell>
          <cell r="M874" t="str">
            <v/>
          </cell>
          <cell r="N874" t="str">
            <v>Spool</v>
          </cell>
          <cell r="O874">
            <v>0</v>
          </cell>
          <cell r="P874">
            <v>0</v>
          </cell>
          <cell r="Q874" t="str">
            <v>P22</v>
          </cell>
          <cell r="R874">
            <v>1</v>
          </cell>
          <cell r="S874">
            <v>1</v>
          </cell>
          <cell r="T874">
            <v>109.87179999999999</v>
          </cell>
          <cell r="U874">
            <v>109.87179999999999</v>
          </cell>
        </row>
        <row r="875">
          <cell r="B875" t="str">
            <v>V17551-PIND-0372-03</v>
          </cell>
          <cell r="C875" t="str">
            <v>PROD/25-26/13782</v>
          </cell>
          <cell r="D875" t="str">
            <v/>
          </cell>
          <cell r="E875" t="str">
            <v>TJ/25-26/184-P91</v>
          </cell>
          <cell r="F875" t="str">
            <v>P5</v>
          </cell>
          <cell r="G875">
            <v>0</v>
          </cell>
          <cell r="H875">
            <v>3</v>
          </cell>
          <cell r="I875" t="str">
            <v>Yes</v>
          </cell>
          <cell r="J875" t="str">
            <v/>
          </cell>
          <cell r="K875" t="str">
            <v>No</v>
          </cell>
          <cell r="L875" t="str">
            <v/>
          </cell>
          <cell r="M875" t="str">
            <v/>
          </cell>
          <cell r="N875" t="str">
            <v>Spool</v>
          </cell>
          <cell r="O875">
            <v>0</v>
          </cell>
          <cell r="P875">
            <v>0</v>
          </cell>
          <cell r="Q875" t="str">
            <v>P22</v>
          </cell>
          <cell r="R875">
            <v>1</v>
          </cell>
          <cell r="S875">
            <v>1</v>
          </cell>
          <cell r="T875">
            <v>28.862919999999999</v>
          </cell>
          <cell r="U875">
            <v>28.862919999999999</v>
          </cell>
        </row>
        <row r="876">
          <cell r="B876" t="str">
            <v>V17551-PIND-0373-03</v>
          </cell>
          <cell r="C876" t="str">
            <v>PROD/25-26/13783</v>
          </cell>
          <cell r="D876" t="str">
            <v/>
          </cell>
          <cell r="E876" t="str">
            <v>TJ/25-26/184-P22</v>
          </cell>
          <cell r="F876" t="str">
            <v>P5</v>
          </cell>
          <cell r="G876">
            <v>0</v>
          </cell>
          <cell r="H876">
            <v>3</v>
          </cell>
          <cell r="I876" t="str">
            <v>Yes</v>
          </cell>
          <cell r="J876" t="str">
            <v/>
          </cell>
          <cell r="K876" t="str">
            <v>No</v>
          </cell>
          <cell r="L876" t="str">
            <v/>
          </cell>
          <cell r="M876" t="str">
            <v/>
          </cell>
          <cell r="N876" t="str">
            <v>Spool</v>
          </cell>
          <cell r="O876">
            <v>0</v>
          </cell>
          <cell r="P876">
            <v>0</v>
          </cell>
          <cell r="Q876" t="str">
            <v>P91</v>
          </cell>
          <cell r="R876">
            <v>1</v>
          </cell>
          <cell r="S876">
            <v>1</v>
          </cell>
          <cell r="T876">
            <v>113.14404</v>
          </cell>
          <cell r="U876">
            <v>113.14404</v>
          </cell>
        </row>
        <row r="877">
          <cell r="B877" t="str">
            <v>V17551-PIND-0374-03</v>
          </cell>
          <cell r="C877" t="str">
            <v>PROD/25-26/13784</v>
          </cell>
          <cell r="D877" t="str">
            <v/>
          </cell>
          <cell r="E877" t="str">
            <v>TJ/25-26/184-CS</v>
          </cell>
          <cell r="F877" t="str">
            <v>P5</v>
          </cell>
          <cell r="G877">
            <v>0</v>
          </cell>
          <cell r="H877">
            <v>3</v>
          </cell>
          <cell r="I877" t="str">
            <v>Yes</v>
          </cell>
          <cell r="J877" t="str">
            <v/>
          </cell>
          <cell r="K877" t="str">
            <v>No</v>
          </cell>
          <cell r="L877" t="str">
            <v/>
          </cell>
          <cell r="M877" t="str">
            <v/>
          </cell>
          <cell r="N877" t="str">
            <v>Spool</v>
          </cell>
          <cell r="O877">
            <v>0</v>
          </cell>
          <cell r="P877">
            <v>0</v>
          </cell>
          <cell r="Q877" t="str">
            <v>CS</v>
          </cell>
          <cell r="R877">
            <v>1</v>
          </cell>
          <cell r="S877">
            <v>1</v>
          </cell>
          <cell r="T877">
            <v>4.01532</v>
          </cell>
          <cell r="U877">
            <v>4.01532</v>
          </cell>
        </row>
        <row r="878">
          <cell r="B878" t="str">
            <v>V17551-PIND-0375-03</v>
          </cell>
          <cell r="C878" t="str">
            <v>PROD/25-26/13785</v>
          </cell>
          <cell r="D878" t="str">
            <v/>
          </cell>
          <cell r="E878" t="str">
            <v>TJ/25-26/184-CS</v>
          </cell>
          <cell r="F878" t="str">
            <v>P5</v>
          </cell>
          <cell r="G878">
            <v>0</v>
          </cell>
          <cell r="H878">
            <v>3</v>
          </cell>
          <cell r="I878" t="str">
            <v>Yes</v>
          </cell>
          <cell r="J878" t="str">
            <v/>
          </cell>
          <cell r="K878" t="str">
            <v>No</v>
          </cell>
          <cell r="L878" t="str">
            <v/>
          </cell>
          <cell r="M878" t="str">
            <v/>
          </cell>
          <cell r="N878" t="str">
            <v>Spool</v>
          </cell>
          <cell r="O878">
            <v>0</v>
          </cell>
          <cell r="P878">
            <v>0</v>
          </cell>
          <cell r="Q878" t="str">
            <v>CS</v>
          </cell>
          <cell r="R878">
            <v>1</v>
          </cell>
          <cell r="S878">
            <v>1</v>
          </cell>
          <cell r="T878">
            <v>16.979199999999999</v>
          </cell>
          <cell r="U878">
            <v>16.979199999999999</v>
          </cell>
        </row>
        <row r="879">
          <cell r="B879" t="str">
            <v>V17551-PIND-0377-03</v>
          </cell>
          <cell r="C879" t="str">
            <v>PROD/25-26/13787</v>
          </cell>
          <cell r="D879" t="str">
            <v/>
          </cell>
          <cell r="E879" t="str">
            <v>TJ/25-26/184-P22</v>
          </cell>
          <cell r="F879" t="str">
            <v>P5</v>
          </cell>
          <cell r="G879">
            <v>0</v>
          </cell>
          <cell r="H879">
            <v>3</v>
          </cell>
          <cell r="I879" t="str">
            <v>Yes</v>
          </cell>
          <cell r="J879" t="str">
            <v/>
          </cell>
          <cell r="K879" t="str">
            <v>No</v>
          </cell>
          <cell r="L879" t="str">
            <v/>
          </cell>
          <cell r="M879" t="str">
            <v/>
          </cell>
          <cell r="N879" t="str">
            <v>Spool</v>
          </cell>
          <cell r="O879">
            <v>0</v>
          </cell>
          <cell r="P879">
            <v>0</v>
          </cell>
          <cell r="Q879" t="str">
            <v>P22</v>
          </cell>
          <cell r="R879">
            <v>1</v>
          </cell>
          <cell r="S879">
            <v>1</v>
          </cell>
          <cell r="T879">
            <v>22.8964</v>
          </cell>
          <cell r="U879">
            <v>22.8964</v>
          </cell>
        </row>
        <row r="880">
          <cell r="B880" t="str">
            <v>V17551-PIND-0382-03</v>
          </cell>
          <cell r="C880" t="str">
            <v>PROD/25-26/14087</v>
          </cell>
          <cell r="D880" t="str">
            <v/>
          </cell>
          <cell r="E880" t="str">
            <v>TJ/25-26/184-CS</v>
          </cell>
          <cell r="F880" t="str">
            <v>P5</v>
          </cell>
          <cell r="G880">
            <v>0</v>
          </cell>
          <cell r="H880">
            <v>3</v>
          </cell>
          <cell r="I880" t="str">
            <v>Yes</v>
          </cell>
          <cell r="J880" t="str">
            <v/>
          </cell>
          <cell r="K880" t="str">
            <v>No</v>
          </cell>
          <cell r="L880" t="str">
            <v/>
          </cell>
          <cell r="M880" t="str">
            <v/>
          </cell>
          <cell r="N880" t="str">
            <v>Spool</v>
          </cell>
          <cell r="O880">
            <v>0</v>
          </cell>
          <cell r="P880">
            <v>0</v>
          </cell>
          <cell r="Q880" t="str">
            <v>CS</v>
          </cell>
          <cell r="R880">
            <v>1</v>
          </cell>
          <cell r="S880">
            <v>1</v>
          </cell>
          <cell r="T880">
            <v>95.409639999999996</v>
          </cell>
          <cell r="U880">
            <v>95.409639999999996</v>
          </cell>
        </row>
        <row r="881">
          <cell r="B881" t="str">
            <v>V17551-PIND-0384-03</v>
          </cell>
          <cell r="C881" t="str">
            <v>PROD/25-26/13793</v>
          </cell>
          <cell r="D881" t="str">
            <v/>
          </cell>
          <cell r="E881" t="str">
            <v>TJ/25-26/184-CS</v>
          </cell>
          <cell r="F881" t="str">
            <v>P5</v>
          </cell>
          <cell r="G881">
            <v>0</v>
          </cell>
          <cell r="H881">
            <v>3</v>
          </cell>
          <cell r="I881" t="str">
            <v>Yes</v>
          </cell>
          <cell r="J881" t="str">
            <v/>
          </cell>
          <cell r="K881" t="str">
            <v>No</v>
          </cell>
          <cell r="L881" t="str">
            <v/>
          </cell>
          <cell r="M881" t="str">
            <v/>
          </cell>
          <cell r="N881" t="str">
            <v>Spool</v>
          </cell>
          <cell r="O881">
            <v>0</v>
          </cell>
          <cell r="P881">
            <v>0</v>
          </cell>
          <cell r="Q881" t="str">
            <v>CS</v>
          </cell>
          <cell r="R881">
            <v>1</v>
          </cell>
          <cell r="S881">
            <v>1</v>
          </cell>
          <cell r="T881">
            <v>13.141920000000001</v>
          </cell>
          <cell r="U881">
            <v>13.141920000000001</v>
          </cell>
        </row>
        <row r="882">
          <cell r="B882" t="str">
            <v>V17551-PIND-0385-08</v>
          </cell>
          <cell r="C882" t="str">
            <v>PROD/25-26/13794</v>
          </cell>
          <cell r="D882" t="str">
            <v/>
          </cell>
          <cell r="E882" t="str">
            <v>TJ/25-26/184-CS</v>
          </cell>
          <cell r="F882" t="str">
            <v>P5</v>
          </cell>
          <cell r="G882">
            <v>0</v>
          </cell>
          <cell r="H882">
            <v>3</v>
          </cell>
          <cell r="I882" t="str">
            <v>Yes</v>
          </cell>
          <cell r="J882" t="str">
            <v/>
          </cell>
          <cell r="K882" t="str">
            <v>No</v>
          </cell>
          <cell r="L882" t="str">
            <v/>
          </cell>
          <cell r="M882" t="str">
            <v/>
          </cell>
          <cell r="N882" t="str">
            <v>Spool</v>
          </cell>
          <cell r="O882">
            <v>0</v>
          </cell>
          <cell r="P882">
            <v>0</v>
          </cell>
          <cell r="Q882" t="str">
            <v>CS</v>
          </cell>
          <cell r="R882">
            <v>1</v>
          </cell>
          <cell r="S882">
            <v>1</v>
          </cell>
          <cell r="T882">
            <v>17.309519999999999</v>
          </cell>
          <cell r="U882">
            <v>17.309519999999999</v>
          </cell>
        </row>
        <row r="883">
          <cell r="B883" t="str">
            <v>V17551-PIND-0395-03</v>
          </cell>
          <cell r="C883" t="str">
            <v>PROD/25-26/14089</v>
          </cell>
          <cell r="D883" t="str">
            <v/>
          </cell>
          <cell r="E883" t="str">
            <v>TJ/25-26/184-CS</v>
          </cell>
          <cell r="F883" t="str">
            <v>P5</v>
          </cell>
          <cell r="G883">
            <v>0</v>
          </cell>
          <cell r="H883">
            <v>3</v>
          </cell>
          <cell r="I883" t="str">
            <v>Yes</v>
          </cell>
          <cell r="J883" t="str">
            <v/>
          </cell>
          <cell r="K883" t="str">
            <v>No</v>
          </cell>
          <cell r="L883" t="str">
            <v/>
          </cell>
          <cell r="M883" t="str">
            <v/>
          </cell>
          <cell r="N883" t="str">
            <v>Spool</v>
          </cell>
          <cell r="O883">
            <v>0</v>
          </cell>
          <cell r="P883">
            <v>0</v>
          </cell>
          <cell r="Q883" t="str">
            <v>CS</v>
          </cell>
          <cell r="R883">
            <v>1</v>
          </cell>
          <cell r="S883">
            <v>1</v>
          </cell>
          <cell r="T883">
            <v>57.180520000000001</v>
          </cell>
          <cell r="U883">
            <v>57.180520000000001</v>
          </cell>
        </row>
        <row r="884">
          <cell r="B884" t="str">
            <v>V17551-PIND-0396-03</v>
          </cell>
          <cell r="C884" t="str">
            <v>PROD/25-26/14090</v>
          </cell>
          <cell r="D884" t="str">
            <v/>
          </cell>
          <cell r="E884" t="str">
            <v>TJ/25-26/184-CS</v>
          </cell>
          <cell r="F884" t="str">
            <v>P5</v>
          </cell>
          <cell r="G884">
            <v>0</v>
          </cell>
          <cell r="H884">
            <v>3</v>
          </cell>
          <cell r="I884" t="str">
            <v>Yes</v>
          </cell>
          <cell r="J884" t="str">
            <v/>
          </cell>
          <cell r="K884" t="str">
            <v>No</v>
          </cell>
          <cell r="L884" t="str">
            <v/>
          </cell>
          <cell r="M884" t="str">
            <v/>
          </cell>
          <cell r="N884" t="str">
            <v>Spool</v>
          </cell>
          <cell r="O884">
            <v>0</v>
          </cell>
          <cell r="P884">
            <v>0</v>
          </cell>
          <cell r="Q884" t="str">
            <v>CS</v>
          </cell>
          <cell r="R884">
            <v>1</v>
          </cell>
          <cell r="S884">
            <v>1</v>
          </cell>
          <cell r="T884">
            <v>57.414279999999998</v>
          </cell>
          <cell r="U884">
            <v>57.414279999999998</v>
          </cell>
        </row>
        <row r="885">
          <cell r="B885" t="str">
            <v>V17551-PIND-0398-03</v>
          </cell>
          <cell r="C885" t="str">
            <v>PROD/25-26/13805</v>
          </cell>
          <cell r="D885" t="str">
            <v/>
          </cell>
          <cell r="E885" t="str">
            <v>TJ/25-26/184-CS</v>
          </cell>
          <cell r="F885" t="str">
            <v>P5</v>
          </cell>
          <cell r="G885">
            <v>0</v>
          </cell>
          <cell r="H885">
            <v>3</v>
          </cell>
          <cell r="I885" t="str">
            <v>Yes</v>
          </cell>
          <cell r="J885" t="str">
            <v/>
          </cell>
          <cell r="K885" t="str">
            <v>No</v>
          </cell>
          <cell r="L885" t="str">
            <v/>
          </cell>
          <cell r="M885" t="str">
            <v/>
          </cell>
          <cell r="N885" t="str">
            <v>Spool</v>
          </cell>
          <cell r="O885">
            <v>0</v>
          </cell>
          <cell r="P885">
            <v>0</v>
          </cell>
          <cell r="Q885" t="str">
            <v>CS</v>
          </cell>
          <cell r="R885">
            <v>1</v>
          </cell>
          <cell r="S885">
            <v>1</v>
          </cell>
          <cell r="T885">
            <v>4.47492</v>
          </cell>
          <cell r="U885">
            <v>4.47492</v>
          </cell>
        </row>
        <row r="886">
          <cell r="B886" t="str">
            <v>V17551-PIND-0399-03</v>
          </cell>
          <cell r="C886" t="str">
            <v>PROD/25-26/13806</v>
          </cell>
          <cell r="D886" t="str">
            <v/>
          </cell>
          <cell r="E886" t="str">
            <v>TJ/25-26/184-CS</v>
          </cell>
          <cell r="F886" t="str">
            <v>P5</v>
          </cell>
          <cell r="G886">
            <v>0</v>
          </cell>
          <cell r="H886">
            <v>3</v>
          </cell>
          <cell r="I886" t="str">
            <v>Yes</v>
          </cell>
          <cell r="J886" t="str">
            <v/>
          </cell>
          <cell r="K886" t="str">
            <v>No</v>
          </cell>
          <cell r="L886" t="str">
            <v/>
          </cell>
          <cell r="M886" t="str">
            <v/>
          </cell>
          <cell r="N886" t="str">
            <v>Spool</v>
          </cell>
          <cell r="O886">
            <v>0</v>
          </cell>
          <cell r="P886">
            <v>0</v>
          </cell>
          <cell r="Q886" t="str">
            <v>CS</v>
          </cell>
          <cell r="R886">
            <v>1</v>
          </cell>
          <cell r="S886">
            <v>1</v>
          </cell>
          <cell r="T886">
            <v>15.952360000000001</v>
          </cell>
          <cell r="U886">
            <v>15.952360000000001</v>
          </cell>
        </row>
        <row r="887">
          <cell r="B887" t="str">
            <v>V17551-PIND-0400-03</v>
          </cell>
          <cell r="C887" t="str">
            <v>PROD/25-26/13807</v>
          </cell>
          <cell r="D887" t="str">
            <v/>
          </cell>
          <cell r="E887" t="str">
            <v>TJ/25-26/184-CS</v>
          </cell>
          <cell r="F887" t="str">
            <v>P5</v>
          </cell>
          <cell r="G887">
            <v>0</v>
          </cell>
          <cell r="H887">
            <v>3</v>
          </cell>
          <cell r="I887" t="str">
            <v>Yes</v>
          </cell>
          <cell r="J887" t="str">
            <v/>
          </cell>
          <cell r="K887" t="str">
            <v>No</v>
          </cell>
          <cell r="L887" t="str">
            <v/>
          </cell>
          <cell r="M887" t="str">
            <v/>
          </cell>
          <cell r="N887" t="str">
            <v>Spool</v>
          </cell>
          <cell r="O887">
            <v>0</v>
          </cell>
          <cell r="P887">
            <v>0</v>
          </cell>
          <cell r="Q887" t="str">
            <v>CS</v>
          </cell>
          <cell r="R887">
            <v>1</v>
          </cell>
          <cell r="S887">
            <v>1</v>
          </cell>
          <cell r="T887">
            <v>13.88388</v>
          </cell>
          <cell r="U887">
            <v>13.88388</v>
          </cell>
        </row>
        <row r="888">
          <cell r="B888" t="str">
            <v>V17551-PIND-0401-03</v>
          </cell>
          <cell r="C888" t="str">
            <v>PROD/25-26/13808</v>
          </cell>
          <cell r="D888" t="str">
            <v/>
          </cell>
          <cell r="E888" t="str">
            <v>TJ/25-26/184-CS</v>
          </cell>
          <cell r="F888" t="str">
            <v>P5</v>
          </cell>
          <cell r="G888">
            <v>0</v>
          </cell>
          <cell r="H888">
            <v>3</v>
          </cell>
          <cell r="I888" t="str">
            <v>Yes</v>
          </cell>
          <cell r="J888" t="str">
            <v/>
          </cell>
          <cell r="K888" t="str">
            <v>No</v>
          </cell>
          <cell r="L888" t="str">
            <v/>
          </cell>
          <cell r="M888" t="str">
            <v/>
          </cell>
          <cell r="N888" t="str">
            <v>Spool</v>
          </cell>
          <cell r="O888">
            <v>0</v>
          </cell>
          <cell r="P888">
            <v>0</v>
          </cell>
          <cell r="Q888" t="str">
            <v>CS</v>
          </cell>
          <cell r="R888">
            <v>1</v>
          </cell>
          <cell r="S888">
            <v>1</v>
          </cell>
          <cell r="T888">
            <v>13.721880000000001</v>
          </cell>
          <cell r="U888">
            <v>13.721880000000001</v>
          </cell>
        </row>
        <row r="889">
          <cell r="B889" t="str">
            <v>V17551-PIND-0403-03</v>
          </cell>
          <cell r="C889" t="str">
            <v>PROD/25-26/13810</v>
          </cell>
          <cell r="D889" t="str">
            <v/>
          </cell>
          <cell r="E889" t="str">
            <v>TJ/25-26/184-P11</v>
          </cell>
          <cell r="F889" t="str">
            <v>P5</v>
          </cell>
          <cell r="G889">
            <v>0</v>
          </cell>
          <cell r="H889">
            <v>3</v>
          </cell>
          <cell r="I889" t="str">
            <v>Yes</v>
          </cell>
          <cell r="J889" t="str">
            <v/>
          </cell>
          <cell r="K889" t="str">
            <v>No</v>
          </cell>
          <cell r="L889" t="str">
            <v/>
          </cell>
          <cell r="M889" t="str">
            <v/>
          </cell>
          <cell r="N889" t="str">
            <v>Spool</v>
          </cell>
          <cell r="O889">
            <v>0</v>
          </cell>
          <cell r="P889">
            <v>0</v>
          </cell>
          <cell r="Q889" t="str">
            <v>P11</v>
          </cell>
          <cell r="R889">
            <v>1</v>
          </cell>
          <cell r="S889">
            <v>1</v>
          </cell>
          <cell r="T889">
            <v>24.356000000000002</v>
          </cell>
          <cell r="U889">
            <v>24.356000000000002</v>
          </cell>
        </row>
        <row r="890">
          <cell r="B890" t="str">
            <v>V17551-PIND-0404-03</v>
          </cell>
          <cell r="C890" t="str">
            <v>PROD/25-26/13811</v>
          </cell>
          <cell r="D890" t="str">
            <v/>
          </cell>
          <cell r="E890" t="str">
            <v>TJ/25-26/184-CS</v>
          </cell>
          <cell r="F890" t="str">
            <v>P5</v>
          </cell>
          <cell r="G890">
            <v>0</v>
          </cell>
          <cell r="H890">
            <v>3</v>
          </cell>
          <cell r="I890" t="str">
            <v>Yes</v>
          </cell>
          <cell r="J890" t="str">
            <v/>
          </cell>
          <cell r="K890" t="str">
            <v>No</v>
          </cell>
          <cell r="L890" t="str">
            <v/>
          </cell>
          <cell r="M890" t="str">
            <v/>
          </cell>
          <cell r="N890" t="str">
            <v>Spool</v>
          </cell>
          <cell r="O890">
            <v>0</v>
          </cell>
          <cell r="P890">
            <v>0</v>
          </cell>
          <cell r="Q890" t="str">
            <v>CS</v>
          </cell>
          <cell r="R890">
            <v>1</v>
          </cell>
          <cell r="S890">
            <v>1</v>
          </cell>
          <cell r="T890">
            <v>2.28566</v>
          </cell>
          <cell r="U890">
            <v>2.28566</v>
          </cell>
        </row>
        <row r="891">
          <cell r="B891" t="str">
            <v>V17551-PIND-0405-03</v>
          </cell>
          <cell r="C891" t="str">
            <v>PROD/25-26/13812</v>
          </cell>
          <cell r="D891" t="str">
            <v/>
          </cell>
          <cell r="E891" t="str">
            <v>TJ/25-26/184-CS</v>
          </cell>
          <cell r="F891" t="str">
            <v>P5</v>
          </cell>
          <cell r="G891">
            <v>0</v>
          </cell>
          <cell r="H891">
            <v>3</v>
          </cell>
          <cell r="I891" t="str">
            <v>Yes</v>
          </cell>
          <cell r="J891" t="str">
            <v/>
          </cell>
          <cell r="K891" t="str">
            <v>No</v>
          </cell>
          <cell r="L891" t="str">
            <v/>
          </cell>
          <cell r="M891" t="str">
            <v/>
          </cell>
          <cell r="N891" t="str">
            <v>Spool</v>
          </cell>
          <cell r="O891">
            <v>0</v>
          </cell>
          <cell r="P891">
            <v>0</v>
          </cell>
          <cell r="Q891" t="str">
            <v>CS</v>
          </cell>
          <cell r="R891">
            <v>1</v>
          </cell>
          <cell r="S891">
            <v>1</v>
          </cell>
          <cell r="T891">
            <v>2.335</v>
          </cell>
          <cell r="U891">
            <v>2.335</v>
          </cell>
        </row>
        <row r="892">
          <cell r="B892" t="str">
            <v>V17551-PIND-0406-03</v>
          </cell>
          <cell r="C892" t="str">
            <v>PROD/25-26/13813</v>
          </cell>
          <cell r="D892" t="str">
            <v/>
          </cell>
          <cell r="E892" t="str">
            <v>TJ/25-26/184-CS</v>
          </cell>
          <cell r="F892" t="str">
            <v>P5</v>
          </cell>
          <cell r="G892">
            <v>0</v>
          </cell>
          <cell r="H892">
            <v>3</v>
          </cell>
          <cell r="I892" t="str">
            <v>Yes</v>
          </cell>
          <cell r="J892" t="str">
            <v/>
          </cell>
          <cell r="K892" t="str">
            <v>No</v>
          </cell>
          <cell r="L892" t="str">
            <v/>
          </cell>
          <cell r="M892" t="str">
            <v/>
          </cell>
          <cell r="N892" t="str">
            <v>Spool</v>
          </cell>
          <cell r="O892">
            <v>0</v>
          </cell>
          <cell r="P892">
            <v>0</v>
          </cell>
          <cell r="Q892" t="str">
            <v>CS</v>
          </cell>
          <cell r="R892">
            <v>1</v>
          </cell>
          <cell r="S892">
            <v>1</v>
          </cell>
          <cell r="T892">
            <v>92.520759999999996</v>
          </cell>
          <cell r="U892">
            <v>92.520759999999996</v>
          </cell>
        </row>
        <row r="893">
          <cell r="B893" t="str">
            <v>V17551-PIND-0418-03</v>
          </cell>
          <cell r="C893" t="str">
            <v>PROD/25-26/13822</v>
          </cell>
          <cell r="D893" t="str">
            <v/>
          </cell>
          <cell r="E893" t="str">
            <v>TJ/25-26/184-CS</v>
          </cell>
          <cell r="F893" t="str">
            <v>P5</v>
          </cell>
          <cell r="G893">
            <v>0</v>
          </cell>
          <cell r="H893">
            <v>3</v>
          </cell>
          <cell r="I893" t="str">
            <v>Yes</v>
          </cell>
          <cell r="J893" t="str">
            <v/>
          </cell>
          <cell r="K893" t="str">
            <v>No</v>
          </cell>
          <cell r="L893" t="str">
            <v/>
          </cell>
          <cell r="M893" t="str">
            <v/>
          </cell>
          <cell r="N893" t="str">
            <v>Spool</v>
          </cell>
          <cell r="O893">
            <v>0</v>
          </cell>
          <cell r="P893">
            <v>0</v>
          </cell>
          <cell r="Q893" t="str">
            <v>CS</v>
          </cell>
          <cell r="R893">
            <v>1</v>
          </cell>
          <cell r="S893">
            <v>1</v>
          </cell>
          <cell r="T893">
            <v>13.12668</v>
          </cell>
          <cell r="U893">
            <v>13.12668</v>
          </cell>
        </row>
        <row r="894">
          <cell r="B894" t="str">
            <v>V17551-PIND-0422-03</v>
          </cell>
          <cell r="C894" t="str">
            <v>PROD/25-26/13825</v>
          </cell>
          <cell r="D894" t="str">
            <v/>
          </cell>
          <cell r="E894" t="str">
            <v>TJ/25-26/184-CS</v>
          </cell>
          <cell r="F894" t="str">
            <v>P5</v>
          </cell>
          <cell r="G894">
            <v>0</v>
          </cell>
          <cell r="H894">
            <v>3</v>
          </cell>
          <cell r="I894" t="str">
            <v>Yes</v>
          </cell>
          <cell r="J894" t="str">
            <v/>
          </cell>
          <cell r="K894" t="str">
            <v>No</v>
          </cell>
          <cell r="L894" t="str">
            <v/>
          </cell>
          <cell r="M894" t="str">
            <v/>
          </cell>
          <cell r="N894" t="str">
            <v>Spool</v>
          </cell>
          <cell r="O894">
            <v>0</v>
          </cell>
          <cell r="P894">
            <v>0</v>
          </cell>
          <cell r="Q894" t="str">
            <v>CS</v>
          </cell>
          <cell r="R894">
            <v>1</v>
          </cell>
          <cell r="S894">
            <v>1</v>
          </cell>
          <cell r="T894">
            <v>8.7686399999999995</v>
          </cell>
          <cell r="U894">
            <v>8.7686399999999995</v>
          </cell>
        </row>
        <row r="895">
          <cell r="B895" t="str">
            <v>V17551-PIND-0424-03</v>
          </cell>
          <cell r="C895" t="str">
            <v>PROD/25-26/13827</v>
          </cell>
          <cell r="D895" t="str">
            <v/>
          </cell>
          <cell r="E895" t="str">
            <v>TJ/25-26/184-CS</v>
          </cell>
          <cell r="F895" t="str">
            <v>P5</v>
          </cell>
          <cell r="G895">
            <v>0</v>
          </cell>
          <cell r="H895">
            <v>3</v>
          </cell>
          <cell r="I895" t="str">
            <v>Yes</v>
          </cell>
          <cell r="J895" t="str">
            <v/>
          </cell>
          <cell r="K895" t="str">
            <v>No</v>
          </cell>
          <cell r="L895" t="str">
            <v/>
          </cell>
          <cell r="M895" t="str">
            <v/>
          </cell>
          <cell r="N895" t="str">
            <v>Spool</v>
          </cell>
          <cell r="O895">
            <v>0</v>
          </cell>
          <cell r="P895">
            <v>0</v>
          </cell>
          <cell r="Q895" t="str">
            <v>CS</v>
          </cell>
          <cell r="R895">
            <v>1</v>
          </cell>
          <cell r="S895">
            <v>1</v>
          </cell>
          <cell r="T895">
            <v>33.092120000000001</v>
          </cell>
          <cell r="U895">
            <v>33.092120000000001</v>
          </cell>
        </row>
        <row r="896">
          <cell r="B896" t="str">
            <v>V17551-PIND-0427-03</v>
          </cell>
          <cell r="C896" t="str">
            <v>PROD/25-26/13830</v>
          </cell>
          <cell r="D896" t="str">
            <v/>
          </cell>
          <cell r="E896" t="str">
            <v>TJ/25-26/184-CS</v>
          </cell>
          <cell r="F896" t="str">
            <v>P5</v>
          </cell>
          <cell r="G896">
            <v>0</v>
          </cell>
          <cell r="H896">
            <v>3</v>
          </cell>
          <cell r="I896" t="str">
            <v>Yes</v>
          </cell>
          <cell r="J896" t="str">
            <v/>
          </cell>
          <cell r="K896" t="str">
            <v>No</v>
          </cell>
          <cell r="L896" t="str">
            <v/>
          </cell>
          <cell r="M896" t="str">
            <v/>
          </cell>
          <cell r="N896" t="str">
            <v>Spool</v>
          </cell>
          <cell r="O896">
            <v>0</v>
          </cell>
          <cell r="P896">
            <v>0</v>
          </cell>
          <cell r="Q896" t="str">
            <v>CS</v>
          </cell>
          <cell r="R896">
            <v>1</v>
          </cell>
          <cell r="S896">
            <v>1</v>
          </cell>
          <cell r="T896">
            <v>34.341079999999998</v>
          </cell>
          <cell r="U896">
            <v>34.341079999999998</v>
          </cell>
        </row>
        <row r="897">
          <cell r="B897" t="str">
            <v>V17551-PIND-0428-03</v>
          </cell>
          <cell r="C897" t="str">
            <v>PROD/25-26/13831</v>
          </cell>
          <cell r="D897" t="str">
            <v/>
          </cell>
          <cell r="E897" t="str">
            <v>TJ/25-26/184-CS</v>
          </cell>
          <cell r="F897" t="str">
            <v>P5</v>
          </cell>
          <cell r="G897">
            <v>0</v>
          </cell>
          <cell r="H897">
            <v>3</v>
          </cell>
          <cell r="I897" t="str">
            <v>Yes</v>
          </cell>
          <cell r="J897" t="str">
            <v/>
          </cell>
          <cell r="K897" t="str">
            <v>No</v>
          </cell>
          <cell r="L897" t="str">
            <v/>
          </cell>
          <cell r="M897" t="str">
            <v/>
          </cell>
          <cell r="N897" t="str">
            <v>Spool</v>
          </cell>
          <cell r="O897">
            <v>0</v>
          </cell>
          <cell r="P897">
            <v>0</v>
          </cell>
          <cell r="Q897" t="str">
            <v>CS</v>
          </cell>
          <cell r="R897">
            <v>1</v>
          </cell>
          <cell r="S897">
            <v>1</v>
          </cell>
          <cell r="T897">
            <v>18.572120000000002</v>
          </cell>
          <cell r="U897">
            <v>18.572120000000002</v>
          </cell>
        </row>
        <row r="898">
          <cell r="B898" t="str">
            <v>V17551-PIND-0431-03</v>
          </cell>
          <cell r="C898" t="str">
            <v>PROD/25-26/13834</v>
          </cell>
          <cell r="D898" t="str">
            <v/>
          </cell>
          <cell r="E898" t="str">
            <v>TJ/25-26/184-CS</v>
          </cell>
          <cell r="F898" t="str">
            <v>P5</v>
          </cell>
          <cell r="G898">
            <v>0</v>
          </cell>
          <cell r="H898">
            <v>3</v>
          </cell>
          <cell r="I898" t="str">
            <v>Yes</v>
          </cell>
          <cell r="J898" t="str">
            <v/>
          </cell>
          <cell r="K898" t="str">
            <v>No</v>
          </cell>
          <cell r="L898" t="str">
            <v/>
          </cell>
          <cell r="M898" t="str">
            <v/>
          </cell>
          <cell r="N898" t="str">
            <v>Spool</v>
          </cell>
          <cell r="O898">
            <v>0</v>
          </cell>
          <cell r="P898">
            <v>0</v>
          </cell>
          <cell r="Q898" t="str">
            <v>CS</v>
          </cell>
          <cell r="R898">
            <v>1</v>
          </cell>
          <cell r="S898">
            <v>1</v>
          </cell>
          <cell r="T898">
            <v>14.72124</v>
          </cell>
          <cell r="U898">
            <v>14.72124</v>
          </cell>
        </row>
        <row r="899">
          <cell r="B899" t="str">
            <v>V17551-PIND-0432-02</v>
          </cell>
          <cell r="C899" t="str">
            <v>PROD/25-26/13835</v>
          </cell>
          <cell r="D899" t="str">
            <v/>
          </cell>
          <cell r="E899" t="str">
            <v>TJ/25-26/184-CS</v>
          </cell>
          <cell r="F899" t="str">
            <v>P5</v>
          </cell>
          <cell r="G899">
            <v>0</v>
          </cell>
          <cell r="H899">
            <v>3</v>
          </cell>
          <cell r="I899" t="str">
            <v>No</v>
          </cell>
          <cell r="J899" t="str">
            <v/>
          </cell>
          <cell r="K899" t="str">
            <v>No</v>
          </cell>
          <cell r="L899" t="str">
            <v/>
          </cell>
          <cell r="M899" t="str">
            <v/>
          </cell>
          <cell r="N899" t="str">
            <v>Spool</v>
          </cell>
          <cell r="O899">
            <v>0</v>
          </cell>
          <cell r="P899">
            <v>0</v>
          </cell>
          <cell r="Q899" t="str">
            <v>CS</v>
          </cell>
          <cell r="R899">
            <v>1</v>
          </cell>
          <cell r="S899">
            <v>1</v>
          </cell>
          <cell r="T899">
            <v>1.8639600000000001</v>
          </cell>
          <cell r="U899">
            <v>1.8639600000000001</v>
          </cell>
        </row>
        <row r="900">
          <cell r="B900" t="str">
            <v>V17551-PIND-0435-03</v>
          </cell>
          <cell r="C900" t="str">
            <v>PROD/25-26/13838</v>
          </cell>
          <cell r="D900" t="str">
            <v/>
          </cell>
          <cell r="E900" t="str">
            <v>TJ/25-26/184-CS</v>
          </cell>
          <cell r="F900" t="str">
            <v>P5</v>
          </cell>
          <cell r="G900">
            <v>0</v>
          </cell>
          <cell r="H900">
            <v>3</v>
          </cell>
          <cell r="I900" t="str">
            <v>Yes</v>
          </cell>
          <cell r="J900" t="str">
            <v/>
          </cell>
          <cell r="K900" t="str">
            <v>No</v>
          </cell>
          <cell r="L900" t="str">
            <v/>
          </cell>
          <cell r="M900" t="str">
            <v/>
          </cell>
          <cell r="N900" t="str">
            <v>Spool</v>
          </cell>
          <cell r="O900">
            <v>0</v>
          </cell>
          <cell r="P900">
            <v>0</v>
          </cell>
          <cell r="Q900" t="str">
            <v>CS</v>
          </cell>
          <cell r="R900">
            <v>1</v>
          </cell>
          <cell r="S900">
            <v>1</v>
          </cell>
          <cell r="T900">
            <v>22.277280000000001</v>
          </cell>
          <cell r="U900">
            <v>22.277280000000001</v>
          </cell>
        </row>
        <row r="901">
          <cell r="B901" t="str">
            <v>V17551-PIND-0437-03</v>
          </cell>
          <cell r="C901" t="str">
            <v>PROD/25-26/13840</v>
          </cell>
          <cell r="D901" t="str">
            <v/>
          </cell>
          <cell r="E901" t="str">
            <v>TJ/25-26/184-CS</v>
          </cell>
          <cell r="F901" t="str">
            <v>P5</v>
          </cell>
          <cell r="G901">
            <v>0</v>
          </cell>
          <cell r="H901">
            <v>3</v>
          </cell>
          <cell r="I901" t="str">
            <v>Yes</v>
          </cell>
          <cell r="J901" t="str">
            <v/>
          </cell>
          <cell r="K901" t="str">
            <v>No</v>
          </cell>
          <cell r="L901" t="str">
            <v/>
          </cell>
          <cell r="M901" t="str">
            <v/>
          </cell>
          <cell r="N901" t="str">
            <v>Spool</v>
          </cell>
          <cell r="O901">
            <v>0</v>
          </cell>
          <cell r="P901">
            <v>0</v>
          </cell>
          <cell r="Q901" t="str">
            <v>CS</v>
          </cell>
          <cell r="R901">
            <v>1</v>
          </cell>
          <cell r="S901">
            <v>1</v>
          </cell>
          <cell r="T901">
            <v>4.0616000000000003</v>
          </cell>
          <cell r="U901">
            <v>4.0616000000000003</v>
          </cell>
        </row>
        <row r="902">
          <cell r="B902" t="str">
            <v>V17551-PIND-0438-03</v>
          </cell>
          <cell r="C902" t="str">
            <v>PROD/25-26/13841</v>
          </cell>
          <cell r="D902" t="str">
            <v/>
          </cell>
          <cell r="E902" t="str">
            <v>TJ/25-26/184-CS</v>
          </cell>
          <cell r="F902" t="str">
            <v>P5</v>
          </cell>
          <cell r="G902">
            <v>0</v>
          </cell>
          <cell r="H902">
            <v>3</v>
          </cell>
          <cell r="I902" t="str">
            <v>Yes</v>
          </cell>
          <cell r="J902" t="str">
            <v/>
          </cell>
          <cell r="K902" t="str">
            <v>No</v>
          </cell>
          <cell r="L902" t="str">
            <v/>
          </cell>
          <cell r="M902" t="str">
            <v/>
          </cell>
          <cell r="N902" t="str">
            <v>Spool</v>
          </cell>
          <cell r="O902">
            <v>0</v>
          </cell>
          <cell r="P902">
            <v>0</v>
          </cell>
          <cell r="Q902" t="str">
            <v>CS</v>
          </cell>
          <cell r="R902">
            <v>1</v>
          </cell>
          <cell r="S902">
            <v>1</v>
          </cell>
          <cell r="T902">
            <v>0.61231999999999998</v>
          </cell>
          <cell r="U902">
            <v>0.61231999999999998</v>
          </cell>
        </row>
        <row r="903">
          <cell r="B903" t="str">
            <v>V17551-PIND-0439-03</v>
          </cell>
          <cell r="C903" t="str">
            <v>PROD/25-26/13842</v>
          </cell>
          <cell r="D903" t="str">
            <v/>
          </cell>
          <cell r="E903" t="str">
            <v>TJ/25-26/184-CS</v>
          </cell>
          <cell r="F903" t="str">
            <v>P5</v>
          </cell>
          <cell r="G903">
            <v>0</v>
          </cell>
          <cell r="H903">
            <v>3</v>
          </cell>
          <cell r="I903" t="str">
            <v>Yes</v>
          </cell>
          <cell r="J903" t="str">
            <v/>
          </cell>
          <cell r="K903" t="str">
            <v>No</v>
          </cell>
          <cell r="L903" t="str">
            <v/>
          </cell>
          <cell r="M903" t="str">
            <v/>
          </cell>
          <cell r="N903" t="str">
            <v>Spool</v>
          </cell>
          <cell r="O903">
            <v>0</v>
          </cell>
          <cell r="P903">
            <v>0</v>
          </cell>
          <cell r="Q903" t="str">
            <v>CS</v>
          </cell>
          <cell r="R903">
            <v>1</v>
          </cell>
          <cell r="S903">
            <v>1</v>
          </cell>
          <cell r="T903">
            <v>5.3959200000000003</v>
          </cell>
          <cell r="U903">
            <v>5.3959200000000003</v>
          </cell>
        </row>
        <row r="904">
          <cell r="B904" t="str">
            <v>V17551-PIND-0440-03</v>
          </cell>
          <cell r="C904" t="str">
            <v>PROD/25-26/13843</v>
          </cell>
          <cell r="D904" t="str">
            <v/>
          </cell>
          <cell r="E904" t="str">
            <v>TJ/25-26/184-CS</v>
          </cell>
          <cell r="F904" t="str">
            <v>P5</v>
          </cell>
          <cell r="G904">
            <v>0</v>
          </cell>
          <cell r="H904">
            <v>3</v>
          </cell>
          <cell r="I904" t="str">
            <v>Yes</v>
          </cell>
          <cell r="J904" t="str">
            <v/>
          </cell>
          <cell r="K904" t="str">
            <v>No</v>
          </cell>
          <cell r="L904" t="str">
            <v/>
          </cell>
          <cell r="M904" t="str">
            <v/>
          </cell>
          <cell r="N904" t="str">
            <v>Spool</v>
          </cell>
          <cell r="O904">
            <v>0</v>
          </cell>
          <cell r="P904">
            <v>0</v>
          </cell>
          <cell r="Q904" t="str">
            <v>CS</v>
          </cell>
          <cell r="R904">
            <v>1</v>
          </cell>
          <cell r="S904">
            <v>1</v>
          </cell>
          <cell r="T904">
            <v>19.862159999999999</v>
          </cell>
          <cell r="U904">
            <v>19.862159999999999</v>
          </cell>
        </row>
        <row r="905">
          <cell r="B905" t="str">
            <v>V17551-PIND-0442-03</v>
          </cell>
          <cell r="C905" t="str">
            <v>PROD/25-26/13845</v>
          </cell>
          <cell r="D905" t="str">
            <v/>
          </cell>
          <cell r="E905" t="str">
            <v>TJ/25-26/184-CS</v>
          </cell>
          <cell r="F905" t="str">
            <v>P5</v>
          </cell>
          <cell r="G905">
            <v>0</v>
          </cell>
          <cell r="H905">
            <v>3</v>
          </cell>
          <cell r="I905" t="str">
            <v>Yes</v>
          </cell>
          <cell r="J905" t="str">
            <v/>
          </cell>
          <cell r="K905" t="str">
            <v>No</v>
          </cell>
          <cell r="L905" t="str">
            <v/>
          </cell>
          <cell r="M905" t="str">
            <v/>
          </cell>
          <cell r="N905" t="str">
            <v>Spool</v>
          </cell>
          <cell r="O905">
            <v>0</v>
          </cell>
          <cell r="P905">
            <v>0</v>
          </cell>
          <cell r="Q905" t="str">
            <v>CS</v>
          </cell>
          <cell r="R905">
            <v>1</v>
          </cell>
          <cell r="S905">
            <v>1</v>
          </cell>
          <cell r="T905">
            <v>43.518839999999997</v>
          </cell>
          <cell r="U905">
            <v>43.518839999999997</v>
          </cell>
        </row>
        <row r="906">
          <cell r="B906" t="str">
            <v>V17551-PIND-0447-03</v>
          </cell>
          <cell r="C906" t="str">
            <v>PROD/25-26/13850</v>
          </cell>
          <cell r="D906" t="str">
            <v/>
          </cell>
          <cell r="E906" t="str">
            <v>TJ/25-26/184-CS</v>
          </cell>
          <cell r="F906" t="str">
            <v>P5</v>
          </cell>
          <cell r="G906">
            <v>0</v>
          </cell>
          <cell r="H906">
            <v>3</v>
          </cell>
          <cell r="I906" t="str">
            <v>Yes</v>
          </cell>
          <cell r="J906" t="str">
            <v/>
          </cell>
          <cell r="K906" t="str">
            <v>No</v>
          </cell>
          <cell r="L906" t="str">
            <v/>
          </cell>
          <cell r="M906" t="str">
            <v/>
          </cell>
          <cell r="N906" t="str">
            <v>Spool</v>
          </cell>
          <cell r="O906">
            <v>0</v>
          </cell>
          <cell r="P906">
            <v>0</v>
          </cell>
          <cell r="Q906" t="str">
            <v>CS</v>
          </cell>
          <cell r="R906">
            <v>1</v>
          </cell>
          <cell r="S906">
            <v>1</v>
          </cell>
          <cell r="T906">
            <v>43.518839999999997</v>
          </cell>
          <cell r="U906">
            <v>43.518839999999997</v>
          </cell>
        </row>
        <row r="907">
          <cell r="B907" t="str">
            <v>V17551-PIND-0450-03</v>
          </cell>
          <cell r="C907" t="str">
            <v>PROD/25-26/13853</v>
          </cell>
          <cell r="D907" t="str">
            <v/>
          </cell>
          <cell r="E907" t="str">
            <v>TJ/25-26/184-CS</v>
          </cell>
          <cell r="F907" t="str">
            <v>P5</v>
          </cell>
          <cell r="G907">
            <v>0</v>
          </cell>
          <cell r="H907">
            <v>3</v>
          </cell>
          <cell r="I907" t="str">
            <v>Yes</v>
          </cell>
          <cell r="J907" t="str">
            <v/>
          </cell>
          <cell r="K907" t="str">
            <v>No</v>
          </cell>
          <cell r="L907" t="str">
            <v/>
          </cell>
          <cell r="M907" t="str">
            <v/>
          </cell>
          <cell r="N907" t="str">
            <v>Spool</v>
          </cell>
          <cell r="O907">
            <v>0</v>
          </cell>
          <cell r="P907">
            <v>0</v>
          </cell>
          <cell r="Q907" t="str">
            <v>CS</v>
          </cell>
          <cell r="R907">
            <v>1</v>
          </cell>
          <cell r="S907">
            <v>1</v>
          </cell>
          <cell r="T907">
            <v>8.0551200000000005</v>
          </cell>
          <cell r="U907">
            <v>8.0551200000000005</v>
          </cell>
        </row>
        <row r="908">
          <cell r="B908" t="str">
            <v>V17551-PIND-0451-03</v>
          </cell>
          <cell r="C908" t="str">
            <v>PROD/25-26/13854</v>
          </cell>
          <cell r="D908" t="str">
            <v/>
          </cell>
          <cell r="E908" t="str">
            <v>TJ/25-26/184-CS</v>
          </cell>
          <cell r="F908" t="str">
            <v>P5</v>
          </cell>
          <cell r="G908">
            <v>0</v>
          </cell>
          <cell r="H908">
            <v>3</v>
          </cell>
          <cell r="I908" t="str">
            <v>Yes</v>
          </cell>
          <cell r="J908" t="str">
            <v/>
          </cell>
          <cell r="K908" t="str">
            <v>No</v>
          </cell>
          <cell r="L908" t="str">
            <v/>
          </cell>
          <cell r="M908" t="str">
            <v/>
          </cell>
          <cell r="N908" t="str">
            <v>Spool</v>
          </cell>
          <cell r="O908">
            <v>0</v>
          </cell>
          <cell r="P908">
            <v>0</v>
          </cell>
          <cell r="Q908" t="str">
            <v>CS</v>
          </cell>
          <cell r="R908">
            <v>1</v>
          </cell>
          <cell r="S908">
            <v>1</v>
          </cell>
          <cell r="T908">
            <v>8.3823600000000003</v>
          </cell>
          <cell r="U908">
            <v>8.3823600000000003</v>
          </cell>
        </row>
        <row r="909">
          <cell r="B909" t="str">
            <v>V17551-PIND-0452-03</v>
          </cell>
          <cell r="C909" t="str">
            <v>PROD/25-26/13855</v>
          </cell>
          <cell r="D909" t="str">
            <v/>
          </cell>
          <cell r="E909" t="str">
            <v>TJ/25-26/184-CS</v>
          </cell>
          <cell r="F909" t="str">
            <v>P5</v>
          </cell>
          <cell r="G909">
            <v>0</v>
          </cell>
          <cell r="H909">
            <v>3</v>
          </cell>
          <cell r="I909" t="str">
            <v>Yes</v>
          </cell>
          <cell r="J909" t="str">
            <v/>
          </cell>
          <cell r="K909" t="str">
            <v>No</v>
          </cell>
          <cell r="L909" t="str">
            <v/>
          </cell>
          <cell r="M909" t="str">
            <v/>
          </cell>
          <cell r="N909" t="str">
            <v>Spool</v>
          </cell>
          <cell r="O909">
            <v>0</v>
          </cell>
          <cell r="P909">
            <v>0</v>
          </cell>
          <cell r="Q909" t="str">
            <v>CS</v>
          </cell>
          <cell r="R909">
            <v>1</v>
          </cell>
          <cell r="S909">
            <v>1</v>
          </cell>
          <cell r="T909">
            <v>7.72464</v>
          </cell>
          <cell r="U909">
            <v>7.72464</v>
          </cell>
        </row>
        <row r="910">
          <cell r="B910" t="str">
            <v>V17551-PIND-0453-03</v>
          </cell>
          <cell r="C910" t="str">
            <v>PROD/25-26/13856</v>
          </cell>
          <cell r="D910" t="str">
            <v/>
          </cell>
          <cell r="E910" t="str">
            <v>TJ/25-26/184-CS</v>
          </cell>
          <cell r="F910" t="str">
            <v>P5</v>
          </cell>
          <cell r="G910">
            <v>0</v>
          </cell>
          <cell r="H910">
            <v>3</v>
          </cell>
          <cell r="I910" t="str">
            <v>Yes</v>
          </cell>
          <cell r="J910" t="str">
            <v/>
          </cell>
          <cell r="K910" t="str">
            <v>No</v>
          </cell>
          <cell r="L910" t="str">
            <v/>
          </cell>
          <cell r="M910" t="str">
            <v/>
          </cell>
          <cell r="N910" t="str">
            <v>Spool</v>
          </cell>
          <cell r="O910">
            <v>0</v>
          </cell>
          <cell r="P910">
            <v>0</v>
          </cell>
          <cell r="Q910" t="str">
            <v>CS</v>
          </cell>
          <cell r="R910">
            <v>1</v>
          </cell>
          <cell r="S910">
            <v>1</v>
          </cell>
          <cell r="T910">
            <v>6.9931200000000002</v>
          </cell>
          <cell r="U910">
            <v>6.9931200000000002</v>
          </cell>
        </row>
        <row r="911">
          <cell r="B911" t="str">
            <v>V17551-PIND-0454-03</v>
          </cell>
          <cell r="C911" t="str">
            <v>PROD/25-26/13857</v>
          </cell>
          <cell r="D911" t="str">
            <v/>
          </cell>
          <cell r="E911" t="str">
            <v>TJ/25-26/184-CS</v>
          </cell>
          <cell r="F911" t="str">
            <v>P5</v>
          </cell>
          <cell r="G911">
            <v>0</v>
          </cell>
          <cell r="H911">
            <v>3</v>
          </cell>
          <cell r="I911" t="str">
            <v>Yes</v>
          </cell>
          <cell r="J911" t="str">
            <v/>
          </cell>
          <cell r="K911" t="str">
            <v>No</v>
          </cell>
          <cell r="L911" t="str">
            <v/>
          </cell>
          <cell r="M911" t="str">
            <v/>
          </cell>
          <cell r="N911" t="str">
            <v>Spool</v>
          </cell>
          <cell r="O911">
            <v>0</v>
          </cell>
          <cell r="P911">
            <v>0</v>
          </cell>
          <cell r="Q911" t="str">
            <v>CS</v>
          </cell>
          <cell r="R911">
            <v>1</v>
          </cell>
          <cell r="S911">
            <v>1</v>
          </cell>
          <cell r="T911">
            <v>5.1009599999999997</v>
          </cell>
          <cell r="U911">
            <v>5.1009599999999997</v>
          </cell>
        </row>
        <row r="912">
          <cell r="B912" t="str">
            <v>V17551-PIND-0460-03</v>
          </cell>
          <cell r="C912" t="str">
            <v>PROD/25-26/13861</v>
          </cell>
          <cell r="D912" t="str">
            <v/>
          </cell>
          <cell r="E912" t="str">
            <v>TJ/25-26/184-CS</v>
          </cell>
          <cell r="F912" t="str">
            <v>P5</v>
          </cell>
          <cell r="G912">
            <v>0</v>
          </cell>
          <cell r="H912">
            <v>3</v>
          </cell>
          <cell r="I912" t="str">
            <v>Yes</v>
          </cell>
          <cell r="J912" t="str">
            <v/>
          </cell>
          <cell r="K912" t="str">
            <v>No</v>
          </cell>
          <cell r="L912" t="str">
            <v/>
          </cell>
          <cell r="M912" t="str">
            <v/>
          </cell>
          <cell r="N912" t="str">
            <v>Spool</v>
          </cell>
          <cell r="O912">
            <v>0</v>
          </cell>
          <cell r="P912">
            <v>0</v>
          </cell>
          <cell r="Q912" t="str">
            <v>P22</v>
          </cell>
          <cell r="R912">
            <v>1</v>
          </cell>
          <cell r="S912">
            <v>1</v>
          </cell>
          <cell r="T912">
            <v>25.190439999999999</v>
          </cell>
          <cell r="U912">
            <v>25.190439999999999</v>
          </cell>
        </row>
        <row r="913">
          <cell r="B913" t="str">
            <v>V17551-PIND-0463-03</v>
          </cell>
          <cell r="C913" t="str">
            <v>PROD/25-26/14108</v>
          </cell>
          <cell r="D913" t="str">
            <v/>
          </cell>
          <cell r="E913" t="str">
            <v>TJ/25-26/184-CS</v>
          </cell>
          <cell r="F913" t="str">
            <v>P5</v>
          </cell>
          <cell r="G913">
            <v>0</v>
          </cell>
          <cell r="H913">
            <v>3</v>
          </cell>
          <cell r="I913" t="str">
            <v>Yes</v>
          </cell>
          <cell r="J913" t="str">
            <v/>
          </cell>
          <cell r="K913" t="str">
            <v>No</v>
          </cell>
          <cell r="L913" t="str">
            <v/>
          </cell>
          <cell r="M913" t="str">
            <v/>
          </cell>
          <cell r="N913" t="str">
            <v>Spool</v>
          </cell>
          <cell r="O913">
            <v>0</v>
          </cell>
          <cell r="P913">
            <v>0</v>
          </cell>
          <cell r="Q913" t="str">
            <v>CS</v>
          </cell>
          <cell r="R913">
            <v>1</v>
          </cell>
          <cell r="S913">
            <v>1</v>
          </cell>
          <cell r="T913">
            <v>10.10976</v>
          </cell>
          <cell r="U913">
            <v>10.10976</v>
          </cell>
        </row>
        <row r="914">
          <cell r="B914" t="str">
            <v>V17551-PIND-0467-03</v>
          </cell>
          <cell r="C914" t="str">
            <v>PROD/25-26/13864</v>
          </cell>
          <cell r="D914" t="str">
            <v/>
          </cell>
          <cell r="E914" t="str">
            <v>TJ/25-26/184-CS</v>
          </cell>
          <cell r="F914" t="str">
            <v>P5</v>
          </cell>
          <cell r="G914">
            <v>0</v>
          </cell>
          <cell r="H914">
            <v>3</v>
          </cell>
          <cell r="I914" t="str">
            <v>Yes</v>
          </cell>
          <cell r="J914" t="str">
            <v/>
          </cell>
          <cell r="K914" t="str">
            <v>No</v>
          </cell>
          <cell r="L914" t="str">
            <v/>
          </cell>
          <cell r="M914" t="str">
            <v/>
          </cell>
          <cell r="N914" t="str">
            <v>Spool</v>
          </cell>
          <cell r="O914">
            <v>0</v>
          </cell>
          <cell r="P914">
            <v>0</v>
          </cell>
          <cell r="Q914" t="str">
            <v>CS</v>
          </cell>
          <cell r="R914">
            <v>1</v>
          </cell>
          <cell r="S914">
            <v>1</v>
          </cell>
          <cell r="T914">
            <v>2.1658599999999999</v>
          </cell>
          <cell r="U914">
            <v>2.1658599999999999</v>
          </cell>
        </row>
        <row r="915">
          <cell r="B915" t="str">
            <v>V17551-PIND-0468-03</v>
          </cell>
          <cell r="C915" t="str">
            <v>PROD/25-26/13865</v>
          </cell>
          <cell r="D915" t="str">
            <v/>
          </cell>
          <cell r="E915" t="str">
            <v>TJ/25-26/184-CS</v>
          </cell>
          <cell r="F915" t="str">
            <v>P5</v>
          </cell>
          <cell r="G915">
            <v>0</v>
          </cell>
          <cell r="H915">
            <v>3</v>
          </cell>
          <cell r="I915" t="str">
            <v>Yes</v>
          </cell>
          <cell r="J915" t="str">
            <v/>
          </cell>
          <cell r="K915" t="str">
            <v>No</v>
          </cell>
          <cell r="L915" t="str">
            <v/>
          </cell>
          <cell r="M915" t="str">
            <v/>
          </cell>
          <cell r="N915" t="str">
            <v>Spool</v>
          </cell>
          <cell r="O915">
            <v>0</v>
          </cell>
          <cell r="P915">
            <v>0</v>
          </cell>
          <cell r="Q915" t="str">
            <v>CS</v>
          </cell>
          <cell r="R915">
            <v>1</v>
          </cell>
          <cell r="S915">
            <v>1</v>
          </cell>
          <cell r="T915">
            <v>4.01424</v>
          </cell>
          <cell r="U915">
            <v>4.01424</v>
          </cell>
        </row>
        <row r="916">
          <cell r="B916" t="str">
            <v>V17551-PIND-0469-03</v>
          </cell>
          <cell r="C916" t="str">
            <v>PROD/25-26/13866</v>
          </cell>
          <cell r="D916" t="str">
            <v/>
          </cell>
          <cell r="E916" t="str">
            <v>TJ/25-26/184-CS</v>
          </cell>
          <cell r="F916" t="str">
            <v>P5</v>
          </cell>
          <cell r="G916">
            <v>0</v>
          </cell>
          <cell r="H916">
            <v>3</v>
          </cell>
          <cell r="I916" t="str">
            <v>Yes</v>
          </cell>
          <cell r="J916" t="str">
            <v/>
          </cell>
          <cell r="K916" t="str">
            <v>No</v>
          </cell>
          <cell r="L916" t="str">
            <v/>
          </cell>
          <cell r="M916" t="str">
            <v/>
          </cell>
          <cell r="N916" t="str">
            <v>Spool</v>
          </cell>
          <cell r="O916">
            <v>0</v>
          </cell>
          <cell r="P916">
            <v>0</v>
          </cell>
          <cell r="Q916" t="str">
            <v>CS</v>
          </cell>
          <cell r="R916">
            <v>1</v>
          </cell>
          <cell r="S916">
            <v>1</v>
          </cell>
          <cell r="T916">
            <v>4.2183599999999997</v>
          </cell>
          <cell r="U916">
            <v>4.2183599999999997</v>
          </cell>
        </row>
        <row r="917">
          <cell r="B917" t="str">
            <v>V17551-PIND-0470-03</v>
          </cell>
          <cell r="C917" t="str">
            <v>PROD/25-26/13867</v>
          </cell>
          <cell r="D917" t="str">
            <v/>
          </cell>
          <cell r="E917" t="str">
            <v>TJ/25-26/184-CS</v>
          </cell>
          <cell r="F917" t="str">
            <v>P5</v>
          </cell>
          <cell r="G917">
            <v>0</v>
          </cell>
          <cell r="H917">
            <v>3</v>
          </cell>
          <cell r="I917" t="str">
            <v>Yes</v>
          </cell>
          <cell r="J917" t="str">
            <v/>
          </cell>
          <cell r="K917" t="str">
            <v>No</v>
          </cell>
          <cell r="L917" t="str">
            <v/>
          </cell>
          <cell r="M917" t="str">
            <v/>
          </cell>
          <cell r="N917" t="str">
            <v>Spool</v>
          </cell>
          <cell r="O917">
            <v>0</v>
          </cell>
          <cell r="P917">
            <v>0</v>
          </cell>
          <cell r="Q917" t="str">
            <v>CS</v>
          </cell>
          <cell r="R917">
            <v>1</v>
          </cell>
          <cell r="S917">
            <v>1</v>
          </cell>
          <cell r="T917">
            <v>3.22688</v>
          </cell>
          <cell r="U917">
            <v>3.22688</v>
          </cell>
        </row>
        <row r="918">
          <cell r="B918" t="str">
            <v>V17551-PIND-0471-03</v>
          </cell>
          <cell r="C918" t="str">
            <v>PROD/25-26/13868</v>
          </cell>
          <cell r="D918" t="str">
            <v/>
          </cell>
          <cell r="E918" t="str">
            <v>TJ/25-26/184-CS</v>
          </cell>
          <cell r="F918" t="str">
            <v>P5</v>
          </cell>
          <cell r="G918">
            <v>0</v>
          </cell>
          <cell r="H918">
            <v>3</v>
          </cell>
          <cell r="I918" t="str">
            <v>Yes</v>
          </cell>
          <cell r="J918" t="str">
            <v/>
          </cell>
          <cell r="K918" t="str">
            <v>No</v>
          </cell>
          <cell r="L918" t="str">
            <v/>
          </cell>
          <cell r="M918" t="str">
            <v/>
          </cell>
          <cell r="N918" t="str">
            <v>Spool</v>
          </cell>
          <cell r="O918">
            <v>0</v>
          </cell>
          <cell r="P918">
            <v>0</v>
          </cell>
          <cell r="Q918" t="str">
            <v>P22</v>
          </cell>
          <cell r="R918">
            <v>1</v>
          </cell>
          <cell r="S918">
            <v>1</v>
          </cell>
          <cell r="T918">
            <v>2.9839600000000002</v>
          </cell>
          <cell r="U918">
            <v>2.9839600000000002</v>
          </cell>
        </row>
        <row r="919">
          <cell r="B919" t="str">
            <v>V17551-PIND-0472-03</v>
          </cell>
          <cell r="C919" t="str">
            <v>PROD/25-26/13869</v>
          </cell>
          <cell r="D919" t="str">
            <v/>
          </cell>
          <cell r="E919" t="str">
            <v>TJ/25-26/184-P22</v>
          </cell>
          <cell r="F919" t="str">
            <v>P5</v>
          </cell>
          <cell r="G919">
            <v>0</v>
          </cell>
          <cell r="H919">
            <v>3</v>
          </cell>
          <cell r="I919" t="str">
            <v>Yes</v>
          </cell>
          <cell r="J919" t="str">
            <v/>
          </cell>
          <cell r="K919" t="str">
            <v>No</v>
          </cell>
          <cell r="L919" t="str">
            <v/>
          </cell>
          <cell r="M919" t="str">
            <v/>
          </cell>
          <cell r="N919" t="str">
            <v>Spool</v>
          </cell>
          <cell r="O919">
            <v>0</v>
          </cell>
          <cell r="P919">
            <v>0</v>
          </cell>
          <cell r="Q919" t="str">
            <v>P22</v>
          </cell>
          <cell r="R919">
            <v>1</v>
          </cell>
          <cell r="S919">
            <v>1</v>
          </cell>
          <cell r="T919">
            <v>2.71828</v>
          </cell>
          <cell r="U919">
            <v>2.71828</v>
          </cell>
        </row>
        <row r="920">
          <cell r="B920" t="str">
            <v>V17551-PIND-0474-03</v>
          </cell>
          <cell r="C920" t="str">
            <v>PROD/25-26/13871</v>
          </cell>
          <cell r="D920" t="str">
            <v/>
          </cell>
          <cell r="E920" t="str">
            <v>TJ/25-26/184-CS</v>
          </cell>
          <cell r="F920" t="str">
            <v>P5</v>
          </cell>
          <cell r="G920">
            <v>0</v>
          </cell>
          <cell r="H920">
            <v>3</v>
          </cell>
          <cell r="I920" t="str">
            <v>Yes</v>
          </cell>
          <cell r="J920" t="str">
            <v/>
          </cell>
          <cell r="K920" t="str">
            <v>No</v>
          </cell>
          <cell r="L920" t="str">
            <v/>
          </cell>
          <cell r="M920" t="str">
            <v/>
          </cell>
          <cell r="N920" t="str">
            <v>Spool</v>
          </cell>
          <cell r="O920">
            <v>0</v>
          </cell>
          <cell r="P920">
            <v>0</v>
          </cell>
          <cell r="Q920" t="str">
            <v>CS</v>
          </cell>
          <cell r="R920">
            <v>1</v>
          </cell>
          <cell r="S920">
            <v>1</v>
          </cell>
          <cell r="T920">
            <v>19.71</v>
          </cell>
          <cell r="U920">
            <v>19.71</v>
          </cell>
        </row>
        <row r="921">
          <cell r="B921" t="str">
            <v>V17551-PIND-0477-03</v>
          </cell>
          <cell r="C921" t="str">
            <v>PROD/25-26/13873</v>
          </cell>
          <cell r="D921" t="str">
            <v/>
          </cell>
          <cell r="E921" t="str">
            <v>TJ/25-26/184-P22</v>
          </cell>
          <cell r="F921" t="str">
            <v>P5</v>
          </cell>
          <cell r="G921">
            <v>0</v>
          </cell>
          <cell r="H921">
            <v>3</v>
          </cell>
          <cell r="I921" t="str">
            <v>Yes</v>
          </cell>
          <cell r="J921" t="str">
            <v/>
          </cell>
          <cell r="K921" t="str">
            <v>No</v>
          </cell>
          <cell r="L921" t="str">
            <v/>
          </cell>
          <cell r="M921" t="str">
            <v/>
          </cell>
          <cell r="N921" t="str">
            <v>Spool</v>
          </cell>
          <cell r="O921">
            <v>0</v>
          </cell>
          <cell r="P921">
            <v>0</v>
          </cell>
          <cell r="Q921" t="str">
            <v>P22</v>
          </cell>
          <cell r="R921">
            <v>1</v>
          </cell>
          <cell r="S921">
            <v>1</v>
          </cell>
          <cell r="T921">
            <v>2.2484799999999998</v>
          </cell>
          <cell r="U921">
            <v>2.2484799999999998</v>
          </cell>
        </row>
        <row r="922">
          <cell r="B922" t="str">
            <v>V17551-PIND-0478-03</v>
          </cell>
          <cell r="C922" t="str">
            <v>PROD/25-26/13874</v>
          </cell>
          <cell r="D922" t="str">
            <v/>
          </cell>
          <cell r="E922" t="str">
            <v>TJ/25-26/184-P11</v>
          </cell>
          <cell r="F922" t="str">
            <v>P5</v>
          </cell>
          <cell r="G922">
            <v>0</v>
          </cell>
          <cell r="H922">
            <v>3</v>
          </cell>
          <cell r="I922" t="str">
            <v>Yes</v>
          </cell>
          <cell r="J922" t="str">
            <v/>
          </cell>
          <cell r="K922" t="str">
            <v>No</v>
          </cell>
          <cell r="L922" t="str">
            <v/>
          </cell>
          <cell r="M922" t="str">
            <v/>
          </cell>
          <cell r="N922" t="str">
            <v>Spool</v>
          </cell>
          <cell r="O922">
            <v>0</v>
          </cell>
          <cell r="P922">
            <v>0</v>
          </cell>
          <cell r="Q922" t="str">
            <v>P11</v>
          </cell>
          <cell r="R922">
            <v>1</v>
          </cell>
          <cell r="S922">
            <v>1</v>
          </cell>
          <cell r="T922">
            <v>22.17116</v>
          </cell>
          <cell r="U922">
            <v>22.17116</v>
          </cell>
        </row>
        <row r="923">
          <cell r="B923" t="str">
            <v>V17551-PIND-0480-03</v>
          </cell>
          <cell r="C923" t="str">
            <v>PROD/25-26/14114</v>
          </cell>
          <cell r="D923" t="str">
            <v/>
          </cell>
          <cell r="E923" t="str">
            <v>TJ/25-26/184-P22</v>
          </cell>
          <cell r="F923" t="str">
            <v>P5</v>
          </cell>
          <cell r="G923">
            <v>0</v>
          </cell>
          <cell r="H923">
            <v>3</v>
          </cell>
          <cell r="I923" t="str">
            <v>Yes</v>
          </cell>
          <cell r="J923" t="str">
            <v/>
          </cell>
          <cell r="K923" t="str">
            <v>No</v>
          </cell>
          <cell r="L923" t="str">
            <v/>
          </cell>
          <cell r="M923" t="str">
            <v/>
          </cell>
          <cell r="N923" t="str">
            <v>Spool</v>
          </cell>
          <cell r="O923">
            <v>0</v>
          </cell>
          <cell r="P923">
            <v>0</v>
          </cell>
          <cell r="Q923" t="str">
            <v>P22</v>
          </cell>
          <cell r="R923">
            <v>1</v>
          </cell>
          <cell r="S923">
            <v>1</v>
          </cell>
          <cell r="T923">
            <v>30.276399999999999</v>
          </cell>
          <cell r="U923">
            <v>30.276399999999999</v>
          </cell>
        </row>
        <row r="924">
          <cell r="B924" t="str">
            <v>V17551-PIND-0482-03</v>
          </cell>
          <cell r="C924" t="str">
            <v>PROD/25-26/13877</v>
          </cell>
          <cell r="D924" t="str">
            <v/>
          </cell>
          <cell r="E924" t="str">
            <v>TJ/25-26/184-CS</v>
          </cell>
          <cell r="F924" t="str">
            <v>P5</v>
          </cell>
          <cell r="G924">
            <v>0</v>
          </cell>
          <cell r="H924">
            <v>3</v>
          </cell>
          <cell r="I924" t="str">
            <v>Yes</v>
          </cell>
          <cell r="J924" t="str">
            <v/>
          </cell>
          <cell r="K924" t="str">
            <v>No</v>
          </cell>
          <cell r="L924" t="str">
            <v/>
          </cell>
          <cell r="M924" t="str">
            <v/>
          </cell>
          <cell r="N924" t="str">
            <v>Spool</v>
          </cell>
          <cell r="O924">
            <v>0</v>
          </cell>
          <cell r="P924">
            <v>0</v>
          </cell>
          <cell r="Q924" t="str">
            <v>CS</v>
          </cell>
          <cell r="R924">
            <v>1</v>
          </cell>
          <cell r="S924">
            <v>1</v>
          </cell>
          <cell r="T924">
            <v>4.7237999999999998</v>
          </cell>
          <cell r="U924">
            <v>4.7237999999999998</v>
          </cell>
        </row>
        <row r="925">
          <cell r="B925" t="str">
            <v>V17551-PIND-0483-03</v>
          </cell>
          <cell r="C925" t="str">
            <v>PROD/25-26/13878</v>
          </cell>
          <cell r="D925" t="str">
            <v/>
          </cell>
          <cell r="E925" t="str">
            <v>TJ/25-26/184-CS</v>
          </cell>
          <cell r="F925" t="str">
            <v>P5</v>
          </cell>
          <cell r="G925">
            <v>0</v>
          </cell>
          <cell r="H925">
            <v>3</v>
          </cell>
          <cell r="I925" t="str">
            <v>Yes</v>
          </cell>
          <cell r="J925" t="str">
            <v/>
          </cell>
          <cell r="K925" t="str">
            <v>No</v>
          </cell>
          <cell r="L925" t="str">
            <v/>
          </cell>
          <cell r="M925" t="str">
            <v/>
          </cell>
          <cell r="N925" t="str">
            <v>Spool</v>
          </cell>
          <cell r="O925">
            <v>0</v>
          </cell>
          <cell r="P925">
            <v>0</v>
          </cell>
          <cell r="Q925" t="str">
            <v>CS</v>
          </cell>
          <cell r="R925">
            <v>1</v>
          </cell>
          <cell r="S925">
            <v>1</v>
          </cell>
          <cell r="T925">
            <v>7.9817</v>
          </cell>
          <cell r="U925">
            <v>7.9817</v>
          </cell>
        </row>
        <row r="926">
          <cell r="B926" t="str">
            <v>V17551-PIND-0484-03</v>
          </cell>
          <cell r="C926" t="str">
            <v>PROD/25-26/13879</v>
          </cell>
          <cell r="D926" t="str">
            <v/>
          </cell>
          <cell r="E926" t="str">
            <v>TJ/25-26/184-91</v>
          </cell>
          <cell r="F926" t="str">
            <v>P5</v>
          </cell>
          <cell r="G926">
            <v>0</v>
          </cell>
          <cell r="H926">
            <v>3</v>
          </cell>
          <cell r="I926" t="str">
            <v>Yes</v>
          </cell>
          <cell r="J926" t="str">
            <v/>
          </cell>
          <cell r="K926" t="str">
            <v>No</v>
          </cell>
          <cell r="L926" t="str">
            <v/>
          </cell>
          <cell r="M926" t="str">
            <v/>
          </cell>
          <cell r="N926" t="str">
            <v>Spool</v>
          </cell>
          <cell r="O926">
            <v>0</v>
          </cell>
          <cell r="P926">
            <v>0</v>
          </cell>
          <cell r="Q926" t="str">
            <v>CS</v>
          </cell>
          <cell r="R926">
            <v>1</v>
          </cell>
          <cell r="S926">
            <v>1</v>
          </cell>
          <cell r="T926">
            <v>2.2776399999999999</v>
          </cell>
          <cell r="U926">
            <v>2.2776399999999999</v>
          </cell>
        </row>
        <row r="927">
          <cell r="B927" t="str">
            <v>V17551-PIND-0485-03</v>
          </cell>
          <cell r="C927" t="str">
            <v>PROD/25-26/13880</v>
          </cell>
          <cell r="D927" t="str">
            <v/>
          </cell>
          <cell r="E927" t="str">
            <v>TJ/25-26/184-CS</v>
          </cell>
          <cell r="F927" t="str">
            <v>P5</v>
          </cell>
          <cell r="G927">
            <v>0</v>
          </cell>
          <cell r="H927">
            <v>3</v>
          </cell>
          <cell r="I927" t="str">
            <v>Yes</v>
          </cell>
          <cell r="J927" t="str">
            <v/>
          </cell>
          <cell r="K927" t="str">
            <v>No</v>
          </cell>
          <cell r="L927" t="str">
            <v/>
          </cell>
          <cell r="M927" t="str">
            <v/>
          </cell>
          <cell r="N927" t="str">
            <v>Spool</v>
          </cell>
          <cell r="O927">
            <v>0</v>
          </cell>
          <cell r="P927">
            <v>0</v>
          </cell>
          <cell r="Q927" t="str">
            <v>CS</v>
          </cell>
          <cell r="R927">
            <v>1</v>
          </cell>
          <cell r="S927">
            <v>1</v>
          </cell>
          <cell r="T927">
            <v>7.8585799999999999</v>
          </cell>
          <cell r="U927">
            <v>7.8585799999999999</v>
          </cell>
        </row>
        <row r="928">
          <cell r="B928" t="str">
            <v>V17551-PIND-0486-03</v>
          </cell>
          <cell r="C928" t="str">
            <v>PROD/25-26/13881</v>
          </cell>
          <cell r="D928" t="str">
            <v/>
          </cell>
          <cell r="E928" t="str">
            <v>TJ/25-26/184-CS</v>
          </cell>
          <cell r="F928" t="str">
            <v>P5</v>
          </cell>
          <cell r="G928">
            <v>0</v>
          </cell>
          <cell r="H928">
            <v>3</v>
          </cell>
          <cell r="I928" t="str">
            <v>Yes</v>
          </cell>
          <cell r="J928" t="str">
            <v/>
          </cell>
          <cell r="K928" t="str">
            <v>No</v>
          </cell>
          <cell r="L928" t="str">
            <v/>
          </cell>
          <cell r="M928" t="str">
            <v/>
          </cell>
          <cell r="N928" t="str">
            <v>Spool</v>
          </cell>
          <cell r="O928">
            <v>0</v>
          </cell>
          <cell r="P928">
            <v>0</v>
          </cell>
          <cell r="Q928" t="str">
            <v>CS</v>
          </cell>
          <cell r="R928">
            <v>1</v>
          </cell>
          <cell r="S928">
            <v>1</v>
          </cell>
          <cell r="T928">
            <v>6.2142400000000002</v>
          </cell>
          <cell r="U928">
            <v>6.2142400000000002</v>
          </cell>
        </row>
        <row r="929">
          <cell r="B929" t="str">
            <v>V17551-PIND-0489-03</v>
          </cell>
          <cell r="C929" t="str">
            <v>PROD/25-26/13884</v>
          </cell>
          <cell r="D929" t="str">
            <v/>
          </cell>
          <cell r="E929" t="str">
            <v>TJ/25-26/184-CS</v>
          </cell>
          <cell r="F929" t="str">
            <v>P5</v>
          </cell>
          <cell r="G929">
            <v>0</v>
          </cell>
          <cell r="H929">
            <v>3</v>
          </cell>
          <cell r="I929" t="str">
            <v>Yes</v>
          </cell>
          <cell r="J929" t="str">
            <v/>
          </cell>
          <cell r="K929" t="str">
            <v>No</v>
          </cell>
          <cell r="L929" t="str">
            <v/>
          </cell>
          <cell r="M929" t="str">
            <v/>
          </cell>
          <cell r="N929" t="str">
            <v>Spool</v>
          </cell>
          <cell r="O929">
            <v>0</v>
          </cell>
          <cell r="P929">
            <v>0</v>
          </cell>
          <cell r="Q929" t="str">
            <v>CS</v>
          </cell>
          <cell r="R929">
            <v>1</v>
          </cell>
          <cell r="S929">
            <v>1</v>
          </cell>
          <cell r="T929">
            <v>3.28694</v>
          </cell>
          <cell r="U929">
            <v>3.28694</v>
          </cell>
        </row>
        <row r="930">
          <cell r="B930" t="str">
            <v>V17551-PIND-0490-03</v>
          </cell>
          <cell r="C930" t="str">
            <v>PROD/25-26/13885</v>
          </cell>
          <cell r="D930" t="str">
            <v/>
          </cell>
          <cell r="E930" t="str">
            <v>TJ/25-26/184-P22</v>
          </cell>
          <cell r="F930" t="str">
            <v>P5</v>
          </cell>
          <cell r="G930">
            <v>0</v>
          </cell>
          <cell r="H930">
            <v>3</v>
          </cell>
          <cell r="I930" t="str">
            <v>Yes</v>
          </cell>
          <cell r="J930" t="str">
            <v/>
          </cell>
          <cell r="K930" t="str">
            <v>No</v>
          </cell>
          <cell r="L930" t="str">
            <v/>
          </cell>
          <cell r="M930" t="str">
            <v/>
          </cell>
          <cell r="N930" t="str">
            <v>Spool</v>
          </cell>
          <cell r="O930">
            <v>0</v>
          </cell>
          <cell r="P930">
            <v>0</v>
          </cell>
          <cell r="Q930" t="str">
            <v>P22</v>
          </cell>
          <cell r="R930">
            <v>1</v>
          </cell>
          <cell r="S930">
            <v>1</v>
          </cell>
          <cell r="T930">
            <v>9.0492799999999995</v>
          </cell>
          <cell r="U930">
            <v>9.0492799999999995</v>
          </cell>
        </row>
        <row r="931">
          <cell r="B931" t="str">
            <v>V17551-PIND-0491-03</v>
          </cell>
          <cell r="C931" t="str">
            <v>PROD/25-26/13886</v>
          </cell>
          <cell r="D931" t="str">
            <v/>
          </cell>
          <cell r="E931" t="str">
            <v>TJ/25-26/184-P22</v>
          </cell>
          <cell r="F931" t="str">
            <v>P5</v>
          </cell>
          <cell r="G931">
            <v>0</v>
          </cell>
          <cell r="H931">
            <v>3</v>
          </cell>
          <cell r="I931" t="str">
            <v>Yes</v>
          </cell>
          <cell r="J931" t="str">
            <v/>
          </cell>
          <cell r="K931" t="str">
            <v>No</v>
          </cell>
          <cell r="L931" t="str">
            <v/>
          </cell>
          <cell r="M931" t="str">
            <v/>
          </cell>
          <cell r="N931" t="str">
            <v>Spool</v>
          </cell>
          <cell r="O931">
            <v>0</v>
          </cell>
          <cell r="P931">
            <v>0</v>
          </cell>
          <cell r="Q931" t="str">
            <v>P22</v>
          </cell>
          <cell r="R931">
            <v>1</v>
          </cell>
          <cell r="S931">
            <v>1</v>
          </cell>
          <cell r="T931">
            <v>9.9433600000000002</v>
          </cell>
          <cell r="U931">
            <v>9.9433600000000002</v>
          </cell>
        </row>
        <row r="932">
          <cell r="B932" t="str">
            <v>V17551-PIND-0492-03</v>
          </cell>
          <cell r="C932" t="str">
            <v>PROD/25-26/13887</v>
          </cell>
          <cell r="D932" t="str">
            <v/>
          </cell>
          <cell r="E932" t="str">
            <v>TJ/25-26/184-91</v>
          </cell>
          <cell r="F932" t="str">
            <v>P5</v>
          </cell>
          <cell r="G932">
            <v>0</v>
          </cell>
          <cell r="H932">
            <v>3</v>
          </cell>
          <cell r="I932" t="str">
            <v>Yes</v>
          </cell>
          <cell r="J932" t="str">
            <v/>
          </cell>
          <cell r="K932" t="str">
            <v>No</v>
          </cell>
          <cell r="L932" t="str">
            <v/>
          </cell>
          <cell r="M932" t="str">
            <v/>
          </cell>
          <cell r="N932" t="str">
            <v>Spool</v>
          </cell>
          <cell r="O932">
            <v>0</v>
          </cell>
          <cell r="P932">
            <v>0</v>
          </cell>
          <cell r="Q932" t="str">
            <v>CS</v>
          </cell>
          <cell r="R932">
            <v>1</v>
          </cell>
          <cell r="S932">
            <v>1</v>
          </cell>
          <cell r="T932">
            <v>6.61442</v>
          </cell>
          <cell r="U932">
            <v>6.61442</v>
          </cell>
        </row>
        <row r="933">
          <cell r="B933" t="str">
            <v>V17551-PIND-0493-03</v>
          </cell>
          <cell r="C933" t="str">
            <v>PROD/25-26/13888</v>
          </cell>
          <cell r="D933" t="str">
            <v/>
          </cell>
          <cell r="E933" t="str">
            <v>TJ/25-26/184-P22</v>
          </cell>
          <cell r="F933" t="str">
            <v>P5</v>
          </cell>
          <cell r="G933">
            <v>0</v>
          </cell>
          <cell r="H933">
            <v>3</v>
          </cell>
          <cell r="I933" t="str">
            <v>Yes</v>
          </cell>
          <cell r="J933" t="str">
            <v/>
          </cell>
          <cell r="K933" t="str">
            <v>No</v>
          </cell>
          <cell r="L933" t="str">
            <v/>
          </cell>
          <cell r="M933" t="str">
            <v/>
          </cell>
          <cell r="N933" t="str">
            <v>Spool</v>
          </cell>
          <cell r="O933">
            <v>0</v>
          </cell>
          <cell r="P933">
            <v>0</v>
          </cell>
          <cell r="Q933" t="str">
            <v>P22</v>
          </cell>
          <cell r="R933">
            <v>1</v>
          </cell>
          <cell r="S933">
            <v>1</v>
          </cell>
          <cell r="T933">
            <v>3.9803000000000002</v>
          </cell>
          <cell r="U933">
            <v>3.9803000000000002</v>
          </cell>
        </row>
        <row r="934">
          <cell r="B934" t="str">
            <v>V17551-PIND-0494-03</v>
          </cell>
          <cell r="C934" t="str">
            <v>PROD/25-26/14187</v>
          </cell>
          <cell r="D934" t="str">
            <v/>
          </cell>
          <cell r="E934" t="str">
            <v>TJ/25-26/184-P22</v>
          </cell>
          <cell r="F934" t="str">
            <v>P5</v>
          </cell>
          <cell r="G934">
            <v>0</v>
          </cell>
          <cell r="H934">
            <v>3</v>
          </cell>
          <cell r="I934" t="str">
            <v>Yes</v>
          </cell>
          <cell r="J934" t="str">
            <v/>
          </cell>
          <cell r="K934" t="str">
            <v>No</v>
          </cell>
          <cell r="L934" t="str">
            <v/>
          </cell>
          <cell r="M934" t="str">
            <v/>
          </cell>
          <cell r="N934" t="str">
            <v>Spool</v>
          </cell>
          <cell r="O934">
            <v>0</v>
          </cell>
          <cell r="P934">
            <v>0</v>
          </cell>
          <cell r="Q934" t="str">
            <v>P22</v>
          </cell>
          <cell r="R934">
            <v>1</v>
          </cell>
          <cell r="S934">
            <v>1</v>
          </cell>
          <cell r="T934">
            <v>4.3723400000000003</v>
          </cell>
          <cell r="U934">
            <v>4.3723400000000003</v>
          </cell>
        </row>
        <row r="935">
          <cell r="B935" t="str">
            <v>V17551-PIND-0495-03</v>
          </cell>
          <cell r="C935" t="str">
            <v>PROD/25-26/13890</v>
          </cell>
          <cell r="D935" t="str">
            <v/>
          </cell>
          <cell r="E935" t="str">
            <v>TJ/25-26/184-CS</v>
          </cell>
          <cell r="F935" t="str">
            <v>P5</v>
          </cell>
          <cell r="G935">
            <v>0</v>
          </cell>
          <cell r="H935">
            <v>3</v>
          </cell>
          <cell r="I935" t="str">
            <v>Yes</v>
          </cell>
          <cell r="J935" t="str">
            <v/>
          </cell>
          <cell r="K935" t="str">
            <v>No</v>
          </cell>
          <cell r="L935" t="str">
            <v/>
          </cell>
          <cell r="M935" t="str">
            <v/>
          </cell>
          <cell r="N935" t="str">
            <v>Spool</v>
          </cell>
          <cell r="O935">
            <v>0</v>
          </cell>
          <cell r="P935">
            <v>0</v>
          </cell>
          <cell r="Q935" t="str">
            <v>CS</v>
          </cell>
          <cell r="R935">
            <v>1</v>
          </cell>
          <cell r="S935">
            <v>1</v>
          </cell>
          <cell r="T935">
            <v>7.3293600000000003</v>
          </cell>
          <cell r="U935">
            <v>7.3293600000000003</v>
          </cell>
        </row>
        <row r="936">
          <cell r="B936" t="str">
            <v>V17551-PIND-0496-03</v>
          </cell>
          <cell r="C936" t="str">
            <v>PROD/25-26/13891</v>
          </cell>
          <cell r="D936" t="str">
            <v/>
          </cell>
          <cell r="E936" t="str">
            <v>TJ/25-26/184-CS</v>
          </cell>
          <cell r="F936" t="str">
            <v>P5</v>
          </cell>
          <cell r="G936">
            <v>0</v>
          </cell>
          <cell r="H936">
            <v>3</v>
          </cell>
          <cell r="I936" t="str">
            <v>Yes</v>
          </cell>
          <cell r="J936" t="str">
            <v/>
          </cell>
          <cell r="K936" t="str">
            <v>No</v>
          </cell>
          <cell r="L936" t="str">
            <v/>
          </cell>
          <cell r="M936" t="str">
            <v/>
          </cell>
          <cell r="N936" t="str">
            <v>Spool</v>
          </cell>
          <cell r="O936">
            <v>0</v>
          </cell>
          <cell r="P936">
            <v>0</v>
          </cell>
          <cell r="Q936" t="str">
            <v>CS</v>
          </cell>
          <cell r="R936">
            <v>1</v>
          </cell>
          <cell r="S936">
            <v>1</v>
          </cell>
          <cell r="T936">
            <v>20.193239999999999</v>
          </cell>
          <cell r="U936">
            <v>20.193239999999999</v>
          </cell>
        </row>
        <row r="937">
          <cell r="B937" t="str">
            <v>V17551-PIND-0499-03</v>
          </cell>
          <cell r="C937" t="str">
            <v>PROD/25-26/13894</v>
          </cell>
          <cell r="D937" t="str">
            <v/>
          </cell>
          <cell r="E937" t="str">
            <v>TJ/25-26/184-CS</v>
          </cell>
          <cell r="F937" t="str">
            <v>P5</v>
          </cell>
          <cell r="G937">
            <v>0</v>
          </cell>
          <cell r="H937">
            <v>3</v>
          </cell>
          <cell r="I937" t="str">
            <v>Yes</v>
          </cell>
          <cell r="J937" t="str">
            <v/>
          </cell>
          <cell r="K937" t="str">
            <v>No</v>
          </cell>
          <cell r="L937" t="str">
            <v/>
          </cell>
          <cell r="M937" t="str">
            <v/>
          </cell>
          <cell r="N937" t="str">
            <v>Spool</v>
          </cell>
          <cell r="O937">
            <v>0</v>
          </cell>
          <cell r="P937">
            <v>0</v>
          </cell>
          <cell r="Q937" t="str">
            <v>CS</v>
          </cell>
          <cell r="R937">
            <v>1</v>
          </cell>
          <cell r="S937">
            <v>1</v>
          </cell>
          <cell r="T937">
            <v>10.75404</v>
          </cell>
          <cell r="U937">
            <v>10.75404</v>
          </cell>
        </row>
        <row r="938">
          <cell r="B938" t="str">
            <v>V17551-PIND-0500-03</v>
          </cell>
          <cell r="C938" t="str">
            <v>PROD/25-26/13895</v>
          </cell>
          <cell r="D938" t="str">
            <v/>
          </cell>
          <cell r="E938" t="str">
            <v>TJ/25-26/184-CS</v>
          </cell>
          <cell r="F938" t="str">
            <v>P5</v>
          </cell>
          <cell r="G938">
            <v>0</v>
          </cell>
          <cell r="H938">
            <v>3</v>
          </cell>
          <cell r="I938" t="str">
            <v>Yes</v>
          </cell>
          <cell r="J938" t="str">
            <v/>
          </cell>
          <cell r="K938" t="str">
            <v>No</v>
          </cell>
          <cell r="L938" t="str">
            <v/>
          </cell>
          <cell r="M938" t="str">
            <v/>
          </cell>
          <cell r="N938" t="str">
            <v>Spool</v>
          </cell>
          <cell r="O938">
            <v>0</v>
          </cell>
          <cell r="P938">
            <v>0</v>
          </cell>
          <cell r="Q938" t="str">
            <v>CS</v>
          </cell>
          <cell r="R938">
            <v>1</v>
          </cell>
          <cell r="S938">
            <v>1</v>
          </cell>
          <cell r="T938">
            <v>16.906559999999999</v>
          </cell>
          <cell r="U938">
            <v>16.906559999999999</v>
          </cell>
        </row>
        <row r="939">
          <cell r="B939" t="str">
            <v>V17551-PIND-0501-03</v>
          </cell>
          <cell r="C939" t="str">
            <v>PROD/25-26/13896</v>
          </cell>
          <cell r="D939" t="str">
            <v/>
          </cell>
          <cell r="E939" t="str">
            <v>TJ/25-26/184-CS</v>
          </cell>
          <cell r="F939" t="str">
            <v>P5</v>
          </cell>
          <cell r="G939">
            <v>0</v>
          </cell>
          <cell r="H939">
            <v>3</v>
          </cell>
          <cell r="I939" t="str">
            <v>Yes</v>
          </cell>
          <cell r="J939" t="str">
            <v/>
          </cell>
          <cell r="K939" t="str">
            <v>No</v>
          </cell>
          <cell r="L939" t="str">
            <v/>
          </cell>
          <cell r="M939" t="str">
            <v/>
          </cell>
          <cell r="N939" t="str">
            <v>Spool</v>
          </cell>
          <cell r="O939">
            <v>0</v>
          </cell>
          <cell r="P939">
            <v>0</v>
          </cell>
          <cell r="Q939" t="str">
            <v>CS</v>
          </cell>
          <cell r="R939">
            <v>1</v>
          </cell>
          <cell r="S939">
            <v>1</v>
          </cell>
          <cell r="T939">
            <v>20.193239999999999</v>
          </cell>
          <cell r="U939">
            <v>20.193239999999999</v>
          </cell>
        </row>
        <row r="940">
          <cell r="B940" t="str">
            <v>V17551-PIND-0502-03</v>
          </cell>
          <cell r="C940" t="str">
            <v>PROD/25-26/14116</v>
          </cell>
          <cell r="D940" t="str">
            <v/>
          </cell>
          <cell r="E940" t="str">
            <v>TJ/25-26/184-CS</v>
          </cell>
          <cell r="F940" t="str">
            <v>P5</v>
          </cell>
          <cell r="G940">
            <v>0</v>
          </cell>
          <cell r="H940">
            <v>3</v>
          </cell>
          <cell r="I940" t="str">
            <v>Yes</v>
          </cell>
          <cell r="J940" t="str">
            <v/>
          </cell>
          <cell r="K940" t="str">
            <v>No</v>
          </cell>
          <cell r="L940" t="str">
            <v/>
          </cell>
          <cell r="M940" t="str">
            <v/>
          </cell>
          <cell r="N940" t="str">
            <v>Spool</v>
          </cell>
          <cell r="O940">
            <v>0</v>
          </cell>
          <cell r="P940">
            <v>0</v>
          </cell>
          <cell r="Q940" t="str">
            <v>CS</v>
          </cell>
          <cell r="R940">
            <v>1</v>
          </cell>
          <cell r="S940">
            <v>1</v>
          </cell>
          <cell r="T940">
            <v>27.118400000000001</v>
          </cell>
          <cell r="U940">
            <v>27.118400000000001</v>
          </cell>
        </row>
        <row r="941">
          <cell r="B941" t="str">
            <v>V17551-PIND-0503-03</v>
          </cell>
          <cell r="C941" t="str">
            <v>PROD/25-26/14117</v>
          </cell>
          <cell r="D941" t="str">
            <v/>
          </cell>
          <cell r="E941" t="str">
            <v>TJ/25-26/184-CS</v>
          </cell>
          <cell r="F941" t="str">
            <v>P5</v>
          </cell>
          <cell r="G941">
            <v>0</v>
          </cell>
          <cell r="H941">
            <v>3</v>
          </cell>
          <cell r="I941" t="str">
            <v>Yes</v>
          </cell>
          <cell r="J941" t="str">
            <v/>
          </cell>
          <cell r="K941" t="str">
            <v>No</v>
          </cell>
          <cell r="L941" t="str">
            <v/>
          </cell>
          <cell r="M941" t="str">
            <v/>
          </cell>
          <cell r="N941" t="str">
            <v>Spool</v>
          </cell>
          <cell r="O941">
            <v>0</v>
          </cell>
          <cell r="P941">
            <v>0</v>
          </cell>
          <cell r="Q941" t="str">
            <v>CS</v>
          </cell>
          <cell r="R941">
            <v>1</v>
          </cell>
          <cell r="S941">
            <v>1</v>
          </cell>
          <cell r="T941">
            <v>27.202639999999999</v>
          </cell>
          <cell r="U941">
            <v>27.202639999999999</v>
          </cell>
        </row>
        <row r="942">
          <cell r="B942" t="str">
            <v>V17551-PIND-0504-03</v>
          </cell>
          <cell r="C942" t="str">
            <v>PROD/25-26/13899</v>
          </cell>
          <cell r="D942" t="str">
            <v/>
          </cell>
          <cell r="E942" t="str">
            <v>TJ/25-26/184-CS</v>
          </cell>
          <cell r="F942" t="str">
            <v>P5</v>
          </cell>
          <cell r="G942">
            <v>0</v>
          </cell>
          <cell r="H942">
            <v>3</v>
          </cell>
          <cell r="I942" t="str">
            <v>Yes</v>
          </cell>
          <cell r="J942" t="str">
            <v/>
          </cell>
          <cell r="K942" t="str">
            <v>No</v>
          </cell>
          <cell r="L942" t="str">
            <v/>
          </cell>
          <cell r="M942" t="str">
            <v/>
          </cell>
          <cell r="N942" t="str">
            <v>Spool</v>
          </cell>
          <cell r="O942">
            <v>0</v>
          </cell>
          <cell r="P942">
            <v>0</v>
          </cell>
          <cell r="Q942" t="str">
            <v>CS</v>
          </cell>
          <cell r="R942">
            <v>1</v>
          </cell>
          <cell r="S942">
            <v>1</v>
          </cell>
          <cell r="T942">
            <v>4.5763199999999999</v>
          </cell>
          <cell r="U942">
            <v>4.5763199999999999</v>
          </cell>
        </row>
        <row r="943">
          <cell r="B943" t="str">
            <v>V17551-PIND-0505-03</v>
          </cell>
          <cell r="C943" t="str">
            <v>PROD/25-26/14119</v>
          </cell>
          <cell r="D943" t="str">
            <v/>
          </cell>
          <cell r="E943" t="str">
            <v>TJ/25-26/184-CS</v>
          </cell>
          <cell r="F943" t="str">
            <v>P5</v>
          </cell>
          <cell r="G943">
            <v>0</v>
          </cell>
          <cell r="H943">
            <v>3</v>
          </cell>
          <cell r="I943" t="str">
            <v>Yes</v>
          </cell>
          <cell r="J943" t="str">
            <v/>
          </cell>
          <cell r="K943" t="str">
            <v>No</v>
          </cell>
          <cell r="L943" t="str">
            <v/>
          </cell>
          <cell r="M943" t="str">
            <v/>
          </cell>
          <cell r="N943" t="str">
            <v>Spool</v>
          </cell>
          <cell r="O943">
            <v>0</v>
          </cell>
          <cell r="P943">
            <v>0</v>
          </cell>
          <cell r="Q943" t="str">
            <v>CS</v>
          </cell>
          <cell r="R943">
            <v>1</v>
          </cell>
          <cell r="S943">
            <v>1</v>
          </cell>
          <cell r="T943">
            <v>27.202639999999999</v>
          </cell>
          <cell r="U943">
            <v>27.202639999999999</v>
          </cell>
        </row>
        <row r="944">
          <cell r="B944" t="str">
            <v>V17551-PIND-0506-03</v>
          </cell>
          <cell r="C944" t="str">
            <v>PROD/25-26/14120</v>
          </cell>
          <cell r="D944" t="str">
            <v/>
          </cell>
          <cell r="E944" t="str">
            <v>TJ/25-26/184-CS</v>
          </cell>
          <cell r="F944" t="str">
            <v>P5</v>
          </cell>
          <cell r="G944">
            <v>0</v>
          </cell>
          <cell r="H944">
            <v>3</v>
          </cell>
          <cell r="I944" t="str">
            <v>Yes</v>
          </cell>
          <cell r="J944" t="str">
            <v/>
          </cell>
          <cell r="K944" t="str">
            <v>No</v>
          </cell>
          <cell r="L944" t="str">
            <v/>
          </cell>
          <cell r="M944" t="str">
            <v/>
          </cell>
          <cell r="N944" t="str">
            <v>Spool</v>
          </cell>
          <cell r="O944">
            <v>0</v>
          </cell>
          <cell r="P944">
            <v>0</v>
          </cell>
          <cell r="Q944" t="str">
            <v>CS</v>
          </cell>
          <cell r="R944">
            <v>1</v>
          </cell>
          <cell r="S944">
            <v>1</v>
          </cell>
          <cell r="T944">
            <v>52.398479999999999</v>
          </cell>
          <cell r="U944">
            <v>52.398479999999999</v>
          </cell>
        </row>
        <row r="945">
          <cell r="B945" t="str">
            <v>V17551-PIND-0509-03</v>
          </cell>
          <cell r="C945" t="str">
            <v>PROD/25-26/13904</v>
          </cell>
          <cell r="D945" t="str">
            <v/>
          </cell>
          <cell r="E945" t="str">
            <v>TJ/25-26/184-P11</v>
          </cell>
          <cell r="F945" t="str">
            <v>P5</v>
          </cell>
          <cell r="G945">
            <v>0</v>
          </cell>
          <cell r="H945">
            <v>3</v>
          </cell>
          <cell r="I945" t="str">
            <v>Yes</v>
          </cell>
          <cell r="J945" t="str">
            <v/>
          </cell>
          <cell r="K945" t="str">
            <v>No</v>
          </cell>
          <cell r="L945" t="str">
            <v/>
          </cell>
          <cell r="M945" t="str">
            <v/>
          </cell>
          <cell r="N945" t="str">
            <v>Spool</v>
          </cell>
          <cell r="O945">
            <v>0</v>
          </cell>
          <cell r="P945">
            <v>0</v>
          </cell>
          <cell r="Q945" t="str">
            <v>P11</v>
          </cell>
          <cell r="R945">
            <v>1</v>
          </cell>
          <cell r="S945">
            <v>1</v>
          </cell>
          <cell r="T945">
            <v>24.315760000000001</v>
          </cell>
          <cell r="U945">
            <v>24.315760000000001</v>
          </cell>
        </row>
        <row r="946">
          <cell r="B946" t="str">
            <v>V17551-PIND-0512-03</v>
          </cell>
          <cell r="C946" t="str">
            <v>PROD/25-26/13907</v>
          </cell>
          <cell r="D946" t="str">
            <v/>
          </cell>
          <cell r="E946" t="str">
            <v>TJ/25-26/184-CS</v>
          </cell>
          <cell r="F946" t="str">
            <v>P5</v>
          </cell>
          <cell r="G946">
            <v>0</v>
          </cell>
          <cell r="H946">
            <v>3</v>
          </cell>
          <cell r="I946" t="str">
            <v>Yes</v>
          </cell>
          <cell r="J946" t="str">
            <v/>
          </cell>
          <cell r="K946" t="str">
            <v>No</v>
          </cell>
          <cell r="L946" t="str">
            <v/>
          </cell>
          <cell r="M946" t="str">
            <v/>
          </cell>
          <cell r="N946" t="str">
            <v>Spool</v>
          </cell>
          <cell r="O946">
            <v>0</v>
          </cell>
          <cell r="P946">
            <v>0</v>
          </cell>
          <cell r="Q946" t="str">
            <v>CS</v>
          </cell>
          <cell r="R946">
            <v>1</v>
          </cell>
          <cell r="S946">
            <v>1</v>
          </cell>
          <cell r="T946">
            <v>15.633800000000001</v>
          </cell>
          <cell r="U946">
            <v>15.633800000000001</v>
          </cell>
        </row>
        <row r="947">
          <cell r="B947" t="str">
            <v>V17551-PIND-0513-03</v>
          </cell>
          <cell r="C947" t="str">
            <v>PROD/25-26/13908</v>
          </cell>
          <cell r="D947" t="str">
            <v/>
          </cell>
          <cell r="E947" t="str">
            <v>TJ/25-26/184-CS</v>
          </cell>
          <cell r="F947" t="str">
            <v>P5</v>
          </cell>
          <cell r="G947">
            <v>0</v>
          </cell>
          <cell r="H947">
            <v>3</v>
          </cell>
          <cell r="I947" t="str">
            <v>Yes</v>
          </cell>
          <cell r="J947" t="str">
            <v/>
          </cell>
          <cell r="K947" t="str">
            <v>No</v>
          </cell>
          <cell r="L947" t="str">
            <v/>
          </cell>
          <cell r="M947" t="str">
            <v/>
          </cell>
          <cell r="N947" t="str">
            <v>Spool</v>
          </cell>
          <cell r="O947">
            <v>0</v>
          </cell>
          <cell r="P947">
            <v>0</v>
          </cell>
          <cell r="Q947" t="str">
            <v>CS</v>
          </cell>
          <cell r="R947">
            <v>1</v>
          </cell>
          <cell r="S947">
            <v>1</v>
          </cell>
          <cell r="T947">
            <v>49.600279999999998</v>
          </cell>
          <cell r="U947">
            <v>49.600279999999998</v>
          </cell>
        </row>
        <row r="948">
          <cell r="B948" t="str">
            <v>V17551-PIND-0515-03</v>
          </cell>
          <cell r="C948" t="str">
            <v>PROD/25-26/13910</v>
          </cell>
          <cell r="D948" t="str">
            <v/>
          </cell>
          <cell r="E948" t="str">
            <v>TJ/25-26/184-CS</v>
          </cell>
          <cell r="F948" t="str">
            <v>P5</v>
          </cell>
          <cell r="G948">
            <v>0</v>
          </cell>
          <cell r="H948">
            <v>3</v>
          </cell>
          <cell r="I948" t="str">
            <v>Yes</v>
          </cell>
          <cell r="J948" t="str">
            <v/>
          </cell>
          <cell r="K948" t="str">
            <v>No</v>
          </cell>
          <cell r="L948" t="str">
            <v/>
          </cell>
          <cell r="M948" t="str">
            <v/>
          </cell>
          <cell r="N948" t="str">
            <v>Spool</v>
          </cell>
          <cell r="O948">
            <v>0</v>
          </cell>
          <cell r="P948">
            <v>0</v>
          </cell>
          <cell r="Q948" t="str">
            <v>CS</v>
          </cell>
          <cell r="R948">
            <v>1</v>
          </cell>
          <cell r="S948">
            <v>1</v>
          </cell>
          <cell r="T948">
            <v>30.056280000000001</v>
          </cell>
          <cell r="U948">
            <v>30.056280000000001</v>
          </cell>
        </row>
        <row r="949">
          <cell r="B949" t="str">
            <v>V17551-PIND-0517-03</v>
          </cell>
          <cell r="C949" t="str">
            <v>PROD/25-26/13912</v>
          </cell>
          <cell r="D949" t="str">
            <v/>
          </cell>
          <cell r="E949" t="str">
            <v>TJ/25-26/184-CS</v>
          </cell>
          <cell r="F949" t="str">
            <v>P5</v>
          </cell>
          <cell r="G949">
            <v>0</v>
          </cell>
          <cell r="H949">
            <v>3</v>
          </cell>
          <cell r="I949" t="str">
            <v>Yes</v>
          </cell>
          <cell r="J949" t="str">
            <v/>
          </cell>
          <cell r="K949" t="str">
            <v>No</v>
          </cell>
          <cell r="L949" t="str">
            <v/>
          </cell>
          <cell r="M949" t="str">
            <v/>
          </cell>
          <cell r="N949" t="str">
            <v>Spool</v>
          </cell>
          <cell r="O949">
            <v>0</v>
          </cell>
          <cell r="P949">
            <v>0</v>
          </cell>
          <cell r="Q949" t="str">
            <v>CS</v>
          </cell>
          <cell r="R949">
            <v>1</v>
          </cell>
          <cell r="S949">
            <v>1</v>
          </cell>
          <cell r="T949">
            <v>15.105840000000001</v>
          </cell>
          <cell r="U949">
            <v>15.105840000000001</v>
          </cell>
        </row>
        <row r="950">
          <cell r="B950" t="str">
            <v>V17551-PIND-0518-03</v>
          </cell>
          <cell r="C950" t="str">
            <v>PROD/25-26/13913</v>
          </cell>
          <cell r="D950" t="str">
            <v/>
          </cell>
          <cell r="E950" t="str">
            <v>TJ/25-26/184-CS</v>
          </cell>
          <cell r="F950" t="str">
            <v>P5</v>
          </cell>
          <cell r="G950">
            <v>0</v>
          </cell>
          <cell r="H950">
            <v>3</v>
          </cell>
          <cell r="I950" t="str">
            <v>Yes</v>
          </cell>
          <cell r="J950" t="str">
            <v/>
          </cell>
          <cell r="K950" t="str">
            <v>No</v>
          </cell>
          <cell r="L950" t="str">
            <v/>
          </cell>
          <cell r="M950" t="str">
            <v/>
          </cell>
          <cell r="N950" t="str">
            <v>Spool</v>
          </cell>
          <cell r="O950">
            <v>0</v>
          </cell>
          <cell r="P950">
            <v>0</v>
          </cell>
          <cell r="Q950" t="str">
            <v>CS</v>
          </cell>
          <cell r="R950">
            <v>1</v>
          </cell>
          <cell r="S950">
            <v>1</v>
          </cell>
          <cell r="T950">
            <v>20.193239999999999</v>
          </cell>
          <cell r="U950">
            <v>20.193239999999999</v>
          </cell>
        </row>
        <row r="951">
          <cell r="B951" t="str">
            <v>V17551-PIND-0520-03</v>
          </cell>
          <cell r="C951" t="str">
            <v>PROD/25-26/13915</v>
          </cell>
          <cell r="D951" t="str">
            <v/>
          </cell>
          <cell r="E951" t="str">
            <v>TJ/25-26/184-CS</v>
          </cell>
          <cell r="F951" t="str">
            <v>P5</v>
          </cell>
          <cell r="G951">
            <v>0</v>
          </cell>
          <cell r="H951">
            <v>3</v>
          </cell>
          <cell r="I951" t="str">
            <v>Yes</v>
          </cell>
          <cell r="J951" t="str">
            <v/>
          </cell>
          <cell r="K951" t="str">
            <v>No</v>
          </cell>
          <cell r="L951" t="str">
            <v/>
          </cell>
          <cell r="M951" t="str">
            <v/>
          </cell>
          <cell r="N951" t="str">
            <v>Spool</v>
          </cell>
          <cell r="O951">
            <v>0</v>
          </cell>
          <cell r="P951">
            <v>0</v>
          </cell>
          <cell r="Q951" t="str">
            <v>CS</v>
          </cell>
          <cell r="R951">
            <v>1</v>
          </cell>
          <cell r="S951">
            <v>1</v>
          </cell>
          <cell r="T951">
            <v>9.9343199999999996</v>
          </cell>
          <cell r="U951">
            <v>9.9343199999999996</v>
          </cell>
        </row>
        <row r="952">
          <cell r="B952" t="str">
            <v>V17551-PIND-0523-03</v>
          </cell>
          <cell r="C952" t="str">
            <v>PROD/25-26/13918</v>
          </cell>
          <cell r="D952" t="str">
            <v/>
          </cell>
          <cell r="E952" t="str">
            <v>TJ/25-26/184-CS</v>
          </cell>
          <cell r="F952" t="str">
            <v>P5</v>
          </cell>
          <cell r="G952">
            <v>0</v>
          </cell>
          <cell r="H952">
            <v>3</v>
          </cell>
          <cell r="I952" t="str">
            <v>Yes</v>
          </cell>
          <cell r="J952" t="str">
            <v/>
          </cell>
          <cell r="K952" t="str">
            <v>No</v>
          </cell>
          <cell r="L952" t="str">
            <v/>
          </cell>
          <cell r="M952" t="str">
            <v/>
          </cell>
          <cell r="N952" t="str">
            <v>Spool</v>
          </cell>
          <cell r="O952">
            <v>0</v>
          </cell>
          <cell r="P952">
            <v>0</v>
          </cell>
          <cell r="Q952" t="str">
            <v>CS</v>
          </cell>
          <cell r="R952">
            <v>1</v>
          </cell>
          <cell r="S952">
            <v>1</v>
          </cell>
          <cell r="T952">
            <v>4.8129799999999996</v>
          </cell>
          <cell r="U952">
            <v>4.8129799999999996</v>
          </cell>
        </row>
        <row r="953">
          <cell r="B953" t="str">
            <v>V17551-PIND-0528-03</v>
          </cell>
          <cell r="C953" t="str">
            <v>PROD/25-26/13923</v>
          </cell>
          <cell r="D953" t="str">
            <v/>
          </cell>
          <cell r="E953" t="str">
            <v>TJ/25-26/184-91</v>
          </cell>
          <cell r="F953" t="str">
            <v>P1</v>
          </cell>
          <cell r="G953">
            <v>0</v>
          </cell>
          <cell r="H953">
            <v>3</v>
          </cell>
          <cell r="I953" t="str">
            <v>Yes</v>
          </cell>
          <cell r="J953" t="str">
            <v/>
          </cell>
          <cell r="K953" t="str">
            <v>No</v>
          </cell>
          <cell r="L953" t="str">
            <v/>
          </cell>
          <cell r="M953" t="str">
            <v/>
          </cell>
          <cell r="N953" t="str">
            <v>Spool</v>
          </cell>
          <cell r="O953">
            <v>0</v>
          </cell>
          <cell r="P953">
            <v>0</v>
          </cell>
          <cell r="Q953" t="str">
            <v>CS</v>
          </cell>
          <cell r="R953">
            <v>1</v>
          </cell>
          <cell r="S953">
            <v>1</v>
          </cell>
          <cell r="T953">
            <v>13.7766</v>
          </cell>
          <cell r="U953">
            <v>13.7766</v>
          </cell>
        </row>
        <row r="954">
          <cell r="B954" t="str">
            <v>V17551-PIND-0529-03</v>
          </cell>
          <cell r="C954" t="str">
            <v>PROD/25-26/13924</v>
          </cell>
          <cell r="D954" t="str">
            <v/>
          </cell>
          <cell r="E954" t="str">
            <v>TJ/25-26/184-CS</v>
          </cell>
          <cell r="F954" t="str">
            <v>P1</v>
          </cell>
          <cell r="G954">
            <v>0</v>
          </cell>
          <cell r="H954">
            <v>3</v>
          </cell>
          <cell r="I954" t="str">
            <v>Yes</v>
          </cell>
          <cell r="J954" t="str">
            <v/>
          </cell>
          <cell r="K954" t="str">
            <v>No</v>
          </cell>
          <cell r="L954" t="str">
            <v/>
          </cell>
          <cell r="M954" t="str">
            <v/>
          </cell>
          <cell r="N954" t="str">
            <v>Spool</v>
          </cell>
          <cell r="O954">
            <v>0</v>
          </cell>
          <cell r="P954">
            <v>0</v>
          </cell>
          <cell r="Q954" t="str">
            <v>CS</v>
          </cell>
          <cell r="R954">
            <v>1</v>
          </cell>
          <cell r="S954">
            <v>1</v>
          </cell>
          <cell r="T954">
            <v>8.7479200000000006</v>
          </cell>
          <cell r="U954">
            <v>8.7479200000000006</v>
          </cell>
        </row>
        <row r="955">
          <cell r="B955" t="str">
            <v>V17551-PIND-0530-03</v>
          </cell>
          <cell r="C955" t="str">
            <v>PROD/25-26/13925</v>
          </cell>
          <cell r="D955" t="str">
            <v/>
          </cell>
          <cell r="E955" t="str">
            <v>TJ/25-26/184-CS</v>
          </cell>
          <cell r="F955" t="str">
            <v>P1</v>
          </cell>
          <cell r="G955">
            <v>0</v>
          </cell>
          <cell r="H955">
            <v>3</v>
          </cell>
          <cell r="I955" t="str">
            <v>Yes</v>
          </cell>
          <cell r="J955" t="str">
            <v/>
          </cell>
          <cell r="K955" t="str">
            <v>No</v>
          </cell>
          <cell r="L955" t="str">
            <v/>
          </cell>
          <cell r="M955" t="str">
            <v/>
          </cell>
          <cell r="N955" t="str">
            <v>Spool</v>
          </cell>
          <cell r="O955">
            <v>0</v>
          </cell>
          <cell r="P955">
            <v>0</v>
          </cell>
          <cell r="Q955" t="str">
            <v>CS</v>
          </cell>
          <cell r="R955">
            <v>1</v>
          </cell>
          <cell r="S955">
            <v>1</v>
          </cell>
          <cell r="T955">
            <v>3.78424</v>
          </cell>
          <cell r="U955">
            <v>3.78424</v>
          </cell>
        </row>
        <row r="956">
          <cell r="B956" t="str">
            <v>V17551-PIND-0536-03</v>
          </cell>
          <cell r="C956" t="str">
            <v>PROD/25-26/13926</v>
          </cell>
          <cell r="D956" t="str">
            <v/>
          </cell>
          <cell r="E956" t="str">
            <v>TJ/25-26/184-CS</v>
          </cell>
          <cell r="F956" t="str">
            <v>P5</v>
          </cell>
          <cell r="G956">
            <v>0</v>
          </cell>
          <cell r="H956">
            <v>3</v>
          </cell>
          <cell r="I956" t="str">
            <v>Yes</v>
          </cell>
          <cell r="J956" t="str">
            <v/>
          </cell>
          <cell r="K956" t="str">
            <v>No</v>
          </cell>
          <cell r="L956" t="str">
            <v/>
          </cell>
          <cell r="M956" t="str">
            <v/>
          </cell>
          <cell r="N956" t="str">
            <v>Spool</v>
          </cell>
          <cell r="O956">
            <v>0</v>
          </cell>
          <cell r="P956">
            <v>0</v>
          </cell>
          <cell r="Q956" t="str">
            <v>CS</v>
          </cell>
          <cell r="R956">
            <v>1</v>
          </cell>
          <cell r="S956">
            <v>1</v>
          </cell>
          <cell r="T956">
            <v>20.025950000000002</v>
          </cell>
          <cell r="U956">
            <v>20.025950000000002</v>
          </cell>
        </row>
        <row r="957">
          <cell r="B957" t="str">
            <v>V17551-PIND-0537-03</v>
          </cell>
          <cell r="C957" t="str">
            <v>PROD/25-26/13927</v>
          </cell>
          <cell r="D957" t="str">
            <v/>
          </cell>
          <cell r="E957" t="str">
            <v>TJ/25-26/184-CS</v>
          </cell>
          <cell r="F957" t="str">
            <v>P5</v>
          </cell>
          <cell r="G957">
            <v>0</v>
          </cell>
          <cell r="H957">
            <v>3</v>
          </cell>
          <cell r="I957" t="str">
            <v>Yes</v>
          </cell>
          <cell r="J957" t="str">
            <v/>
          </cell>
          <cell r="K957" t="str">
            <v>No</v>
          </cell>
          <cell r="L957" t="str">
            <v/>
          </cell>
          <cell r="M957" t="str">
            <v/>
          </cell>
          <cell r="N957" t="str">
            <v>Spool</v>
          </cell>
          <cell r="O957">
            <v>0</v>
          </cell>
          <cell r="P957">
            <v>0</v>
          </cell>
          <cell r="Q957" t="str">
            <v>CS</v>
          </cell>
          <cell r="R957">
            <v>1</v>
          </cell>
          <cell r="S957">
            <v>1</v>
          </cell>
          <cell r="T957">
            <v>21.005790000000001</v>
          </cell>
          <cell r="U957">
            <v>21.005790000000001</v>
          </cell>
        </row>
        <row r="958">
          <cell r="B958" t="str">
            <v>V17551-PIND-0544-03</v>
          </cell>
          <cell r="C958" t="str">
            <v>PROD/25-26/15018</v>
          </cell>
          <cell r="D958" t="str">
            <v/>
          </cell>
          <cell r="E958" t="str">
            <v>TJ/25-26/184-P91</v>
          </cell>
          <cell r="F958" t="str">
            <v>P5</v>
          </cell>
          <cell r="G958">
            <v>0</v>
          </cell>
          <cell r="H958">
            <v>3</v>
          </cell>
          <cell r="I958" t="str">
            <v>No</v>
          </cell>
          <cell r="J958" t="str">
            <v/>
          </cell>
          <cell r="K958" t="str">
            <v>No</v>
          </cell>
          <cell r="L958" t="str">
            <v/>
          </cell>
          <cell r="M958" t="str">
            <v/>
          </cell>
          <cell r="N958" t="str">
            <v>Spool</v>
          </cell>
          <cell r="O958">
            <v>0</v>
          </cell>
          <cell r="P958">
            <v>0</v>
          </cell>
          <cell r="Q958" t="str">
            <v>P22</v>
          </cell>
          <cell r="R958">
            <v>1</v>
          </cell>
          <cell r="S958">
            <v>1</v>
          </cell>
          <cell r="T958">
            <v>7.6819600000000001</v>
          </cell>
          <cell r="U958">
            <v>7.6819600000000001</v>
          </cell>
        </row>
        <row r="959">
          <cell r="B959" t="str">
            <v>V17551-PIND-0557-03</v>
          </cell>
          <cell r="C959" t="str">
            <v>PROD/25-26/13941</v>
          </cell>
          <cell r="D959" t="str">
            <v/>
          </cell>
          <cell r="E959" t="str">
            <v>TJ/25-26/184-CS</v>
          </cell>
          <cell r="F959" t="str">
            <v>P5</v>
          </cell>
          <cell r="G959">
            <v>0</v>
          </cell>
          <cell r="H959">
            <v>3</v>
          </cell>
          <cell r="I959" t="str">
            <v>Yes</v>
          </cell>
          <cell r="J959" t="str">
            <v/>
          </cell>
          <cell r="K959" t="str">
            <v>No</v>
          </cell>
          <cell r="L959" t="str">
            <v/>
          </cell>
          <cell r="M959" t="str">
            <v/>
          </cell>
          <cell r="N959" t="str">
            <v>Spool</v>
          </cell>
          <cell r="O959">
            <v>0</v>
          </cell>
          <cell r="P959">
            <v>0</v>
          </cell>
          <cell r="Q959" t="str">
            <v>CS</v>
          </cell>
          <cell r="R959">
            <v>1</v>
          </cell>
          <cell r="S959">
            <v>1</v>
          </cell>
          <cell r="T959">
            <v>10.96824</v>
          </cell>
          <cell r="U959">
            <v>10.96824</v>
          </cell>
        </row>
        <row r="960">
          <cell r="B960" t="str">
            <v>V17551-PIND-0563-03</v>
          </cell>
          <cell r="C960" t="str">
            <v>PROD/25-26/13947</v>
          </cell>
          <cell r="D960" t="str">
            <v/>
          </cell>
          <cell r="E960" t="str">
            <v>TJ/25-26/184-CS</v>
          </cell>
          <cell r="F960" t="str">
            <v>P5</v>
          </cell>
          <cell r="G960">
            <v>0</v>
          </cell>
          <cell r="H960">
            <v>3</v>
          </cell>
          <cell r="I960" t="str">
            <v>Yes</v>
          </cell>
          <cell r="J960" t="str">
            <v/>
          </cell>
          <cell r="K960" t="str">
            <v>No</v>
          </cell>
          <cell r="L960" t="str">
            <v/>
          </cell>
          <cell r="M960" t="str">
            <v/>
          </cell>
          <cell r="N960" t="str">
            <v>Spool</v>
          </cell>
          <cell r="O960">
            <v>0</v>
          </cell>
          <cell r="P960">
            <v>0</v>
          </cell>
          <cell r="Q960" t="str">
            <v>CS</v>
          </cell>
          <cell r="R960">
            <v>1</v>
          </cell>
          <cell r="S960">
            <v>1</v>
          </cell>
          <cell r="T960">
            <v>23.7118</v>
          </cell>
          <cell r="U960">
            <v>23.7118</v>
          </cell>
        </row>
        <row r="961">
          <cell r="B961" t="str">
            <v>V17551-PIND-0571-03</v>
          </cell>
          <cell r="C961" t="str">
            <v>PROD/25-26/13950</v>
          </cell>
          <cell r="D961" t="str">
            <v/>
          </cell>
          <cell r="E961" t="str">
            <v>TJ/25-26/184-CS</v>
          </cell>
          <cell r="F961" t="str">
            <v>P5</v>
          </cell>
          <cell r="G961">
            <v>0</v>
          </cell>
          <cell r="H961">
            <v>3</v>
          </cell>
          <cell r="I961" t="str">
            <v>Yes</v>
          </cell>
          <cell r="J961" t="str">
            <v/>
          </cell>
          <cell r="K961" t="str">
            <v>No</v>
          </cell>
          <cell r="L961" t="str">
            <v/>
          </cell>
          <cell r="M961" t="str">
            <v/>
          </cell>
          <cell r="N961" t="str">
            <v>Spool</v>
          </cell>
          <cell r="O961">
            <v>0</v>
          </cell>
          <cell r="P961">
            <v>0</v>
          </cell>
          <cell r="Q961" t="str">
            <v>CS</v>
          </cell>
          <cell r="R961">
            <v>1</v>
          </cell>
          <cell r="S961">
            <v>1</v>
          </cell>
          <cell r="T961">
            <v>4.4193600000000002</v>
          </cell>
          <cell r="U961">
            <v>4.4193600000000002</v>
          </cell>
        </row>
        <row r="962">
          <cell r="B962" t="str">
            <v>V17551-PIND-0574-09</v>
          </cell>
          <cell r="C962" t="str">
            <v>PROD/25-26/13952</v>
          </cell>
          <cell r="D962" t="str">
            <v/>
          </cell>
          <cell r="E962" t="str">
            <v>TJ/25-26/184-CS</v>
          </cell>
          <cell r="F962" t="str">
            <v>P5</v>
          </cell>
          <cell r="G962">
            <v>0</v>
          </cell>
          <cell r="H962">
            <v>3</v>
          </cell>
          <cell r="I962" t="str">
            <v>Yes</v>
          </cell>
          <cell r="J962" t="str">
            <v/>
          </cell>
          <cell r="K962" t="str">
            <v>No</v>
          </cell>
          <cell r="L962" t="str">
            <v/>
          </cell>
          <cell r="M962" t="str">
            <v/>
          </cell>
          <cell r="N962" t="str">
            <v>Spool</v>
          </cell>
          <cell r="O962">
            <v>0</v>
          </cell>
          <cell r="P962">
            <v>0</v>
          </cell>
          <cell r="Q962" t="str">
            <v>CS</v>
          </cell>
          <cell r="R962">
            <v>1</v>
          </cell>
          <cell r="S962">
            <v>1</v>
          </cell>
          <cell r="T962">
            <v>77.023679999999999</v>
          </cell>
          <cell r="U962">
            <v>77.023679999999999</v>
          </cell>
        </row>
        <row r="963">
          <cell r="B963" t="str">
            <v>V17551-PIND-0575-08</v>
          </cell>
          <cell r="C963" t="str">
            <v>PROD/25-26/13953</v>
          </cell>
          <cell r="D963" t="str">
            <v/>
          </cell>
          <cell r="E963" t="str">
            <v>TJ/25-26/184-CS</v>
          </cell>
          <cell r="F963" t="str">
            <v>P5</v>
          </cell>
          <cell r="G963">
            <v>0</v>
          </cell>
          <cell r="H963">
            <v>3</v>
          </cell>
          <cell r="I963" t="str">
            <v>Yes</v>
          </cell>
          <cell r="J963" t="str">
            <v/>
          </cell>
          <cell r="K963" t="str">
            <v>No</v>
          </cell>
          <cell r="L963" t="str">
            <v/>
          </cell>
          <cell r="M963" t="str">
            <v/>
          </cell>
          <cell r="N963" t="str">
            <v>Spool</v>
          </cell>
          <cell r="O963">
            <v>0</v>
          </cell>
          <cell r="P963">
            <v>0</v>
          </cell>
          <cell r="Q963" t="str">
            <v>CS</v>
          </cell>
          <cell r="R963">
            <v>1</v>
          </cell>
          <cell r="S963">
            <v>1</v>
          </cell>
          <cell r="T963">
            <v>45.6</v>
          </cell>
          <cell r="U963">
            <v>45.6</v>
          </cell>
        </row>
        <row r="964">
          <cell r="B964" t="str">
            <v>SHA-1071-01</v>
          </cell>
          <cell r="C964" t="str">
            <v>PROD/25-26/13713</v>
          </cell>
          <cell r="D964" t="str">
            <v/>
          </cell>
          <cell r="E964" t="str">
            <v>TJ/25-26/184-CS</v>
          </cell>
          <cell r="F964" t="str">
            <v>P1</v>
          </cell>
          <cell r="G964">
            <v>0</v>
          </cell>
          <cell r="H964">
            <v>4</v>
          </cell>
          <cell r="I964" t="str">
            <v>Yes</v>
          </cell>
          <cell r="J964" t="str">
            <v/>
          </cell>
          <cell r="K964" t="str">
            <v>No</v>
          </cell>
          <cell r="L964" t="str">
            <v/>
          </cell>
          <cell r="M964" t="str">
            <v/>
          </cell>
          <cell r="N964" t="str">
            <v>Spool</v>
          </cell>
          <cell r="O964">
            <v>0</v>
          </cell>
          <cell r="P964">
            <v>0</v>
          </cell>
          <cell r="Q964" t="str">
            <v>P22</v>
          </cell>
          <cell r="R964">
            <v>1</v>
          </cell>
          <cell r="S964">
            <v>1</v>
          </cell>
          <cell r="T964">
            <v>5.38279</v>
          </cell>
          <cell r="U964">
            <v>5.38279</v>
          </cell>
        </row>
        <row r="965">
          <cell r="B965" t="str">
            <v>V17551-PIND-0010-04</v>
          </cell>
          <cell r="C965" t="str">
            <v>PROD/25-26/07340</v>
          </cell>
          <cell r="D965" t="str">
            <v/>
          </cell>
          <cell r="E965" t="str">
            <v>TJ/25-26/184-CS</v>
          </cell>
          <cell r="F965" t="str">
            <v>P5,P1</v>
          </cell>
          <cell r="G965">
            <v>0</v>
          </cell>
          <cell r="H965">
            <v>4</v>
          </cell>
          <cell r="I965" t="str">
            <v>Yes</v>
          </cell>
          <cell r="J965" t="str">
            <v/>
          </cell>
          <cell r="K965" t="str">
            <v>No</v>
          </cell>
          <cell r="L965" t="str">
            <v/>
          </cell>
          <cell r="M965" t="str">
            <v/>
          </cell>
          <cell r="N965" t="str">
            <v>Spool</v>
          </cell>
          <cell r="O965">
            <v>0</v>
          </cell>
          <cell r="P965">
            <v>0</v>
          </cell>
          <cell r="Q965" t="str">
            <v>CS</v>
          </cell>
          <cell r="R965">
            <v>1</v>
          </cell>
          <cell r="S965">
            <v>1</v>
          </cell>
          <cell r="T965">
            <v>631.12070138180002</v>
          </cell>
          <cell r="U965">
            <v>631.12070138180002</v>
          </cell>
        </row>
        <row r="966">
          <cell r="B966" t="str">
            <v>V17551-PIND-0018-04</v>
          </cell>
          <cell r="C966" t="str">
            <v>PROD/25-26/07346</v>
          </cell>
          <cell r="D966" t="str">
            <v/>
          </cell>
          <cell r="E966" t="str">
            <v>TJ/25-26/184-CS</v>
          </cell>
          <cell r="F966" t="str">
            <v>P5,P1</v>
          </cell>
          <cell r="G966">
            <v>0</v>
          </cell>
          <cell r="H966">
            <v>4</v>
          </cell>
          <cell r="I966" t="str">
            <v>Yes</v>
          </cell>
          <cell r="J966" t="str">
            <v/>
          </cell>
          <cell r="K966" t="str">
            <v>No</v>
          </cell>
          <cell r="L966" t="str">
            <v/>
          </cell>
          <cell r="M966" t="str">
            <v/>
          </cell>
          <cell r="N966" t="str">
            <v>Spool</v>
          </cell>
          <cell r="O966">
            <v>0</v>
          </cell>
          <cell r="P966">
            <v>0</v>
          </cell>
          <cell r="Q966" t="str">
            <v>CS</v>
          </cell>
          <cell r="R966">
            <v>1</v>
          </cell>
          <cell r="S966">
            <v>1</v>
          </cell>
          <cell r="T966">
            <v>119.34576</v>
          </cell>
          <cell r="U966">
            <v>119.34576</v>
          </cell>
        </row>
        <row r="967">
          <cell r="B967" t="str">
            <v>V17551-PIND-0020-04</v>
          </cell>
          <cell r="C967" t="str">
            <v>PROD/25-26/07347</v>
          </cell>
          <cell r="D967" t="str">
            <v/>
          </cell>
          <cell r="E967" t="str">
            <v>TJ/25-26/184-CS</v>
          </cell>
          <cell r="F967" t="str">
            <v>P5,P1</v>
          </cell>
          <cell r="G967">
            <v>0</v>
          </cell>
          <cell r="H967">
            <v>4</v>
          </cell>
          <cell r="I967" t="str">
            <v>Yes</v>
          </cell>
          <cell r="J967" t="str">
            <v/>
          </cell>
          <cell r="K967" t="str">
            <v>No</v>
          </cell>
          <cell r="L967" t="str">
            <v/>
          </cell>
          <cell r="M967" t="str">
            <v/>
          </cell>
          <cell r="N967" t="str">
            <v>Spool</v>
          </cell>
          <cell r="O967">
            <v>0</v>
          </cell>
          <cell r="P967">
            <v>0</v>
          </cell>
          <cell r="Q967" t="str">
            <v>CS</v>
          </cell>
          <cell r="R967">
            <v>1</v>
          </cell>
          <cell r="S967">
            <v>1</v>
          </cell>
          <cell r="T967">
            <v>119.34576</v>
          </cell>
          <cell r="U967">
            <v>119.34576</v>
          </cell>
        </row>
        <row r="968">
          <cell r="B968" t="str">
            <v>V17551-PIND-0022-04</v>
          </cell>
          <cell r="C968" t="str">
            <v>PROD/25-26/07348</v>
          </cell>
          <cell r="D968" t="str">
            <v/>
          </cell>
          <cell r="E968" t="str">
            <v>TJ/25-26/184-CS</v>
          </cell>
          <cell r="F968" t="str">
            <v>P5,P1</v>
          </cell>
          <cell r="G968">
            <v>0</v>
          </cell>
          <cell r="H968">
            <v>4</v>
          </cell>
          <cell r="I968" t="str">
            <v>Yes</v>
          </cell>
          <cell r="J968" t="str">
            <v/>
          </cell>
          <cell r="K968" t="str">
            <v>No</v>
          </cell>
          <cell r="L968" t="str">
            <v/>
          </cell>
          <cell r="M968" t="str">
            <v/>
          </cell>
          <cell r="N968" t="str">
            <v>Spool</v>
          </cell>
          <cell r="O968">
            <v>0</v>
          </cell>
          <cell r="P968">
            <v>0</v>
          </cell>
          <cell r="Q968" t="str">
            <v>CS</v>
          </cell>
          <cell r="R968">
            <v>1</v>
          </cell>
          <cell r="S968">
            <v>1</v>
          </cell>
          <cell r="T968">
            <v>46.713679999999997</v>
          </cell>
          <cell r="U968">
            <v>46.713679999999997</v>
          </cell>
        </row>
        <row r="969">
          <cell r="B969" t="str">
            <v>V17551-PIND-0024-04</v>
          </cell>
          <cell r="C969" t="str">
            <v>PROD/25-26/07349</v>
          </cell>
          <cell r="D969" t="str">
            <v/>
          </cell>
          <cell r="E969" t="str">
            <v>TJ/25-26/184-CS</v>
          </cell>
          <cell r="F969" t="str">
            <v>P5,P1</v>
          </cell>
          <cell r="G969">
            <v>0</v>
          </cell>
          <cell r="H969">
            <v>4</v>
          </cell>
          <cell r="I969" t="str">
            <v>Yes</v>
          </cell>
          <cell r="J969" t="str">
            <v/>
          </cell>
          <cell r="K969" t="str">
            <v>No</v>
          </cell>
          <cell r="L969" t="str">
            <v/>
          </cell>
          <cell r="M969" t="str">
            <v/>
          </cell>
          <cell r="N969" t="str">
            <v>Spool</v>
          </cell>
          <cell r="O969">
            <v>0</v>
          </cell>
          <cell r="P969">
            <v>0</v>
          </cell>
          <cell r="Q969" t="str">
            <v>CS</v>
          </cell>
          <cell r="R969">
            <v>1</v>
          </cell>
          <cell r="S969">
            <v>1</v>
          </cell>
          <cell r="T969">
            <v>99.894959999999998</v>
          </cell>
          <cell r="U969">
            <v>99.894959999999998</v>
          </cell>
        </row>
        <row r="970">
          <cell r="B970" t="str">
            <v>V17551-PIND-0026-04</v>
          </cell>
          <cell r="C970" t="str">
            <v>PROD/25-26/07350</v>
          </cell>
          <cell r="D970" t="str">
            <v/>
          </cell>
          <cell r="E970" t="str">
            <v>TJ/25-26/184-CS</v>
          </cell>
          <cell r="F970" t="str">
            <v>P5,P1</v>
          </cell>
          <cell r="G970">
            <v>0</v>
          </cell>
          <cell r="H970">
            <v>4</v>
          </cell>
          <cell r="I970" t="str">
            <v>Yes</v>
          </cell>
          <cell r="J970" t="str">
            <v/>
          </cell>
          <cell r="K970" t="str">
            <v>No</v>
          </cell>
          <cell r="L970" t="str">
            <v/>
          </cell>
          <cell r="M970" t="str">
            <v/>
          </cell>
          <cell r="N970" t="str">
            <v>Spool</v>
          </cell>
          <cell r="O970">
            <v>0</v>
          </cell>
          <cell r="P970">
            <v>0</v>
          </cell>
          <cell r="Q970" t="str">
            <v>CS</v>
          </cell>
          <cell r="R970">
            <v>1</v>
          </cell>
          <cell r="S970">
            <v>1</v>
          </cell>
          <cell r="T970">
            <v>156.04758000000001</v>
          </cell>
          <cell r="U970">
            <v>156.04758000000001</v>
          </cell>
        </row>
        <row r="971">
          <cell r="B971" t="str">
            <v>V17551-PIND-0028-04</v>
          </cell>
          <cell r="C971" t="str">
            <v>PROD/25-26/07351</v>
          </cell>
          <cell r="D971" t="str">
            <v/>
          </cell>
          <cell r="E971" t="str">
            <v>TJ/25-26/184-CS</v>
          </cell>
          <cell r="F971" t="str">
            <v>P5,P1</v>
          </cell>
          <cell r="G971">
            <v>0</v>
          </cell>
          <cell r="H971">
            <v>4</v>
          </cell>
          <cell r="I971" t="str">
            <v>Yes</v>
          </cell>
          <cell r="J971" t="str">
            <v/>
          </cell>
          <cell r="K971" t="str">
            <v>No</v>
          </cell>
          <cell r="L971" t="str">
            <v/>
          </cell>
          <cell r="M971" t="str">
            <v/>
          </cell>
          <cell r="N971" t="str">
            <v>Spool</v>
          </cell>
          <cell r="O971">
            <v>0</v>
          </cell>
          <cell r="P971">
            <v>0</v>
          </cell>
          <cell r="Q971" t="str">
            <v>CS</v>
          </cell>
          <cell r="R971">
            <v>1</v>
          </cell>
          <cell r="S971">
            <v>1</v>
          </cell>
          <cell r="T971">
            <v>148.19756000000001</v>
          </cell>
          <cell r="U971">
            <v>148.19756000000001</v>
          </cell>
        </row>
        <row r="972">
          <cell r="B972" t="str">
            <v>V17551-PIND-0030-04</v>
          </cell>
          <cell r="C972" t="str">
            <v>PROD/25-26/07352</v>
          </cell>
          <cell r="D972" t="str">
            <v/>
          </cell>
          <cell r="E972" t="str">
            <v>TJ/25-26/184-CS</v>
          </cell>
          <cell r="F972" t="str">
            <v>P5,P1</v>
          </cell>
          <cell r="G972">
            <v>0</v>
          </cell>
          <cell r="H972">
            <v>4</v>
          </cell>
          <cell r="I972" t="str">
            <v>Yes</v>
          </cell>
          <cell r="J972" t="str">
            <v/>
          </cell>
          <cell r="K972" t="str">
            <v>No</v>
          </cell>
          <cell r="L972" t="str">
            <v/>
          </cell>
          <cell r="M972" t="str">
            <v/>
          </cell>
          <cell r="N972" t="str">
            <v>Spool</v>
          </cell>
          <cell r="O972">
            <v>0</v>
          </cell>
          <cell r="P972">
            <v>0</v>
          </cell>
          <cell r="Q972" t="str">
            <v>CS</v>
          </cell>
          <cell r="R972">
            <v>1</v>
          </cell>
          <cell r="S972">
            <v>1</v>
          </cell>
          <cell r="T972">
            <v>202.81226000000001</v>
          </cell>
          <cell r="U972">
            <v>202.81226000000001</v>
          </cell>
        </row>
        <row r="973">
          <cell r="B973" t="str">
            <v>V17551-PIND-0032-04</v>
          </cell>
          <cell r="C973" t="str">
            <v>PROD/25-26/07353</v>
          </cell>
          <cell r="D973" t="str">
            <v/>
          </cell>
          <cell r="E973" t="str">
            <v>TJ/25-26/184-CS</v>
          </cell>
          <cell r="F973" t="str">
            <v>P5,P1</v>
          </cell>
          <cell r="G973">
            <v>0</v>
          </cell>
          <cell r="H973">
            <v>4</v>
          </cell>
          <cell r="I973" t="str">
            <v>Yes</v>
          </cell>
          <cell r="J973" t="str">
            <v/>
          </cell>
          <cell r="K973" t="str">
            <v>No</v>
          </cell>
          <cell r="L973" t="str">
            <v/>
          </cell>
          <cell r="M973" t="str">
            <v/>
          </cell>
          <cell r="N973" t="str">
            <v>Spool</v>
          </cell>
          <cell r="O973">
            <v>0</v>
          </cell>
          <cell r="P973">
            <v>0</v>
          </cell>
          <cell r="Q973" t="str">
            <v>CS</v>
          </cell>
          <cell r="R973">
            <v>1</v>
          </cell>
          <cell r="S973">
            <v>1</v>
          </cell>
          <cell r="T973">
            <v>173.53963999999999</v>
          </cell>
          <cell r="U973">
            <v>173.53963999999999</v>
          </cell>
        </row>
        <row r="974">
          <cell r="B974" t="str">
            <v>V17551-PIND-0034-04</v>
          </cell>
          <cell r="C974" t="str">
            <v>PROD/25-26/07354</v>
          </cell>
          <cell r="D974" t="str">
            <v/>
          </cell>
          <cell r="E974" t="str">
            <v>TJ/25-26/184-CS</v>
          </cell>
          <cell r="F974" t="str">
            <v>P5,P1</v>
          </cell>
          <cell r="G974">
            <v>0</v>
          </cell>
          <cell r="H974">
            <v>4</v>
          </cell>
          <cell r="I974" t="str">
            <v>Yes</v>
          </cell>
          <cell r="J974" t="str">
            <v/>
          </cell>
          <cell r="K974" t="str">
            <v>No</v>
          </cell>
          <cell r="L974" t="str">
            <v/>
          </cell>
          <cell r="M974" t="str">
            <v/>
          </cell>
          <cell r="N974" t="str">
            <v>Spool</v>
          </cell>
          <cell r="O974">
            <v>0</v>
          </cell>
          <cell r="P974">
            <v>0</v>
          </cell>
          <cell r="Q974" t="str">
            <v>CS</v>
          </cell>
          <cell r="R974">
            <v>1</v>
          </cell>
          <cell r="S974">
            <v>1</v>
          </cell>
          <cell r="T974">
            <v>173.53963999999999</v>
          </cell>
          <cell r="U974">
            <v>173.53963999999999</v>
          </cell>
        </row>
        <row r="975">
          <cell r="B975" t="str">
            <v>V17551-PIND-0036-04</v>
          </cell>
          <cell r="C975" t="str">
            <v>PROD/25-26/07355</v>
          </cell>
          <cell r="D975" t="str">
            <v/>
          </cell>
          <cell r="E975" t="str">
            <v>TJ/25-26/184-CS</v>
          </cell>
          <cell r="F975" t="str">
            <v>P5,P1</v>
          </cell>
          <cell r="G975">
            <v>0</v>
          </cell>
          <cell r="H975">
            <v>4</v>
          </cell>
          <cell r="I975" t="str">
            <v>Yes</v>
          </cell>
          <cell r="J975" t="str">
            <v/>
          </cell>
          <cell r="K975" t="str">
            <v>No</v>
          </cell>
          <cell r="L975" t="str">
            <v/>
          </cell>
          <cell r="M975" t="str">
            <v/>
          </cell>
          <cell r="N975" t="str">
            <v>Spool</v>
          </cell>
          <cell r="O975">
            <v>0</v>
          </cell>
          <cell r="P975">
            <v>0</v>
          </cell>
          <cell r="Q975" t="str">
            <v>CS</v>
          </cell>
          <cell r="R975">
            <v>1</v>
          </cell>
          <cell r="S975">
            <v>1</v>
          </cell>
          <cell r="T975">
            <v>173.53963999999999</v>
          </cell>
          <cell r="U975">
            <v>173.53963999999999</v>
          </cell>
        </row>
        <row r="976">
          <cell r="B976" t="str">
            <v>V17551-PIND-0038-04</v>
          </cell>
          <cell r="C976" t="str">
            <v>PROD/25-26/07356</v>
          </cell>
          <cell r="D976" t="str">
            <v/>
          </cell>
          <cell r="E976" t="str">
            <v>TJ/25-26/184-CS</v>
          </cell>
          <cell r="F976" t="str">
            <v>P5,P1</v>
          </cell>
          <cell r="G976">
            <v>0</v>
          </cell>
          <cell r="H976">
            <v>4</v>
          </cell>
          <cell r="I976" t="str">
            <v>Yes</v>
          </cell>
          <cell r="J976" t="str">
            <v/>
          </cell>
          <cell r="K976" t="str">
            <v>No</v>
          </cell>
          <cell r="L976" t="str">
            <v/>
          </cell>
          <cell r="M976" t="str">
            <v/>
          </cell>
          <cell r="N976" t="str">
            <v>Spool</v>
          </cell>
          <cell r="O976">
            <v>0</v>
          </cell>
          <cell r="P976">
            <v>0</v>
          </cell>
          <cell r="Q976" t="str">
            <v>CS</v>
          </cell>
          <cell r="R976">
            <v>1</v>
          </cell>
          <cell r="S976">
            <v>1</v>
          </cell>
          <cell r="T976">
            <v>173.53963999999999</v>
          </cell>
          <cell r="U976">
            <v>173.53963999999999</v>
          </cell>
        </row>
        <row r="977">
          <cell r="B977" t="str">
            <v>V17551-PIND-0040-04</v>
          </cell>
          <cell r="C977" t="str">
            <v>PROD/25-26/07357</v>
          </cell>
          <cell r="D977" t="str">
            <v/>
          </cell>
          <cell r="E977" t="str">
            <v>TJ/25-26/184-CS</v>
          </cell>
          <cell r="F977" t="str">
            <v>P5,P1</v>
          </cell>
          <cell r="G977">
            <v>0</v>
          </cell>
          <cell r="H977">
            <v>4</v>
          </cell>
          <cell r="I977" t="str">
            <v>Yes</v>
          </cell>
          <cell r="J977" t="str">
            <v/>
          </cell>
          <cell r="K977" t="str">
            <v>No</v>
          </cell>
          <cell r="L977" t="str">
            <v/>
          </cell>
          <cell r="M977" t="str">
            <v/>
          </cell>
          <cell r="N977" t="str">
            <v>Spool</v>
          </cell>
          <cell r="O977">
            <v>0</v>
          </cell>
          <cell r="P977">
            <v>0</v>
          </cell>
          <cell r="Q977" t="str">
            <v>CS</v>
          </cell>
          <cell r="R977">
            <v>1</v>
          </cell>
          <cell r="S977">
            <v>1</v>
          </cell>
          <cell r="T977">
            <v>173.53963999999999</v>
          </cell>
          <cell r="U977">
            <v>173.53963999999999</v>
          </cell>
        </row>
        <row r="978">
          <cell r="B978" t="str">
            <v>V17551-PIND-0042-04</v>
          </cell>
          <cell r="C978" t="str">
            <v>PROD/25-26/06829</v>
          </cell>
          <cell r="D978" t="str">
            <v/>
          </cell>
          <cell r="E978" t="str">
            <v>TJ/25-26/184-CS</v>
          </cell>
          <cell r="F978" t="str">
            <v>P5,P1</v>
          </cell>
          <cell r="G978">
            <v>0</v>
          </cell>
          <cell r="H978">
            <v>4</v>
          </cell>
          <cell r="I978" t="str">
            <v>Yes</v>
          </cell>
          <cell r="J978" t="str">
            <v/>
          </cell>
          <cell r="K978" t="str">
            <v>No</v>
          </cell>
          <cell r="L978" t="str">
            <v/>
          </cell>
          <cell r="M978" t="str">
            <v/>
          </cell>
          <cell r="N978" t="str">
            <v>Spool</v>
          </cell>
          <cell r="O978">
            <v>0</v>
          </cell>
          <cell r="P978">
            <v>0</v>
          </cell>
          <cell r="Q978" t="str">
            <v>CS</v>
          </cell>
          <cell r="R978">
            <v>1</v>
          </cell>
          <cell r="S978">
            <v>1</v>
          </cell>
          <cell r="T978">
            <v>173.53963999999999</v>
          </cell>
          <cell r="U978">
            <v>173.53963999999999</v>
          </cell>
        </row>
        <row r="979">
          <cell r="B979" t="str">
            <v>V17551-PIND-0044-04</v>
          </cell>
          <cell r="C979" t="str">
            <v>PROD/25-26/07359</v>
          </cell>
          <cell r="D979" t="str">
            <v/>
          </cell>
          <cell r="E979" t="str">
            <v>TJ/25-26/184-CS</v>
          </cell>
          <cell r="F979" t="str">
            <v>P5,P1</v>
          </cell>
          <cell r="G979">
            <v>0</v>
          </cell>
          <cell r="H979">
            <v>4</v>
          </cell>
          <cell r="I979" t="str">
            <v>Yes</v>
          </cell>
          <cell r="J979" t="str">
            <v/>
          </cell>
          <cell r="K979" t="str">
            <v>No</v>
          </cell>
          <cell r="L979" t="str">
            <v/>
          </cell>
          <cell r="M979" t="str">
            <v/>
          </cell>
          <cell r="N979" t="str">
            <v>Spool</v>
          </cell>
          <cell r="O979">
            <v>0</v>
          </cell>
          <cell r="P979">
            <v>0</v>
          </cell>
          <cell r="Q979" t="str">
            <v>CS</v>
          </cell>
          <cell r="R979">
            <v>1</v>
          </cell>
          <cell r="S979">
            <v>1</v>
          </cell>
          <cell r="T979">
            <v>173.53963999999999</v>
          </cell>
          <cell r="U979">
            <v>173.53963999999999</v>
          </cell>
        </row>
        <row r="980">
          <cell r="B980" t="str">
            <v>V17551-PIND-0046-04</v>
          </cell>
          <cell r="C980" t="str">
            <v>PROD/25-26/07360</v>
          </cell>
          <cell r="D980" t="str">
            <v/>
          </cell>
          <cell r="E980" t="str">
            <v>TJ/25-26/184-CS</v>
          </cell>
          <cell r="F980" t="str">
            <v>P5,P1</v>
          </cell>
          <cell r="G980">
            <v>0</v>
          </cell>
          <cell r="H980">
            <v>4</v>
          </cell>
          <cell r="I980" t="str">
            <v>Yes</v>
          </cell>
          <cell r="J980" t="str">
            <v/>
          </cell>
          <cell r="K980" t="str">
            <v>No</v>
          </cell>
          <cell r="L980" t="str">
            <v/>
          </cell>
          <cell r="M980" t="str">
            <v/>
          </cell>
          <cell r="N980" t="str">
            <v>Spool</v>
          </cell>
          <cell r="O980">
            <v>0</v>
          </cell>
          <cell r="P980">
            <v>0</v>
          </cell>
          <cell r="Q980" t="str">
            <v>CS</v>
          </cell>
          <cell r="R980">
            <v>1</v>
          </cell>
          <cell r="S980">
            <v>1</v>
          </cell>
          <cell r="T980">
            <v>173.53963999999999</v>
          </cell>
          <cell r="U980">
            <v>173.53963999999999</v>
          </cell>
        </row>
        <row r="981">
          <cell r="B981" t="str">
            <v>V17551-PIND-0048-04</v>
          </cell>
          <cell r="C981" t="str">
            <v>PROD/25-26/07361</v>
          </cell>
          <cell r="D981" t="str">
            <v/>
          </cell>
          <cell r="E981" t="str">
            <v>TJ/25-26/184-CS</v>
          </cell>
          <cell r="F981" t="str">
            <v>P5,P1</v>
          </cell>
          <cell r="G981">
            <v>0</v>
          </cell>
          <cell r="H981">
            <v>4</v>
          </cell>
          <cell r="I981" t="str">
            <v>Yes</v>
          </cell>
          <cell r="J981" t="str">
            <v/>
          </cell>
          <cell r="K981" t="str">
            <v>No</v>
          </cell>
          <cell r="L981" t="str">
            <v/>
          </cell>
          <cell r="M981" t="str">
            <v/>
          </cell>
          <cell r="N981" t="str">
            <v>Spool</v>
          </cell>
          <cell r="O981">
            <v>0</v>
          </cell>
          <cell r="P981">
            <v>0</v>
          </cell>
          <cell r="Q981" t="str">
            <v>CS</v>
          </cell>
          <cell r="R981">
            <v>1</v>
          </cell>
          <cell r="S981">
            <v>1</v>
          </cell>
          <cell r="T981">
            <v>173.53963999999999</v>
          </cell>
          <cell r="U981">
            <v>173.53963999999999</v>
          </cell>
        </row>
        <row r="982">
          <cell r="B982" t="str">
            <v>V17551-PIND-0050-04</v>
          </cell>
          <cell r="C982" t="str">
            <v>PROD/25-26/07362</v>
          </cell>
          <cell r="D982" t="str">
            <v/>
          </cell>
          <cell r="E982" t="str">
            <v>TJ/25-26/184-CS</v>
          </cell>
          <cell r="F982" t="str">
            <v>P5,P1</v>
          </cell>
          <cell r="G982">
            <v>0</v>
          </cell>
          <cell r="H982">
            <v>4</v>
          </cell>
          <cell r="I982" t="str">
            <v>Yes</v>
          </cell>
          <cell r="J982" t="str">
            <v/>
          </cell>
          <cell r="K982" t="str">
            <v>No</v>
          </cell>
          <cell r="L982" t="str">
            <v/>
          </cell>
          <cell r="M982" t="str">
            <v/>
          </cell>
          <cell r="N982" t="str">
            <v>Spool</v>
          </cell>
          <cell r="O982">
            <v>0</v>
          </cell>
          <cell r="P982">
            <v>0</v>
          </cell>
          <cell r="Q982" t="str">
            <v>CS</v>
          </cell>
          <cell r="R982">
            <v>1</v>
          </cell>
          <cell r="S982">
            <v>1</v>
          </cell>
          <cell r="T982">
            <v>173.5771152728</v>
          </cell>
          <cell r="U982">
            <v>173.5771152728</v>
          </cell>
        </row>
        <row r="983">
          <cell r="B983" t="str">
            <v>V17551-PIND-0052-04</v>
          </cell>
          <cell r="C983" t="str">
            <v>PROD/25-26/07363</v>
          </cell>
          <cell r="D983" t="str">
            <v/>
          </cell>
          <cell r="E983" t="str">
            <v>TJ/25-26/184-CS</v>
          </cell>
          <cell r="F983" t="str">
            <v>P5,P1</v>
          </cell>
          <cell r="G983">
            <v>0</v>
          </cell>
          <cell r="H983">
            <v>4</v>
          </cell>
          <cell r="I983" t="str">
            <v>Yes</v>
          </cell>
          <cell r="J983" t="str">
            <v/>
          </cell>
          <cell r="K983" t="str">
            <v>No</v>
          </cell>
          <cell r="L983" t="str">
            <v/>
          </cell>
          <cell r="M983" t="str">
            <v/>
          </cell>
          <cell r="N983" t="str">
            <v>Spool</v>
          </cell>
          <cell r="O983">
            <v>0</v>
          </cell>
          <cell r="P983">
            <v>0</v>
          </cell>
          <cell r="Q983" t="str">
            <v>CS</v>
          </cell>
          <cell r="R983">
            <v>1</v>
          </cell>
          <cell r="S983">
            <v>1</v>
          </cell>
          <cell r="T983">
            <v>173.53963999999999</v>
          </cell>
          <cell r="U983">
            <v>173.53963999999999</v>
          </cell>
        </row>
        <row r="984">
          <cell r="B984" t="str">
            <v>V17551-PIND-0054-04</v>
          </cell>
          <cell r="C984" t="str">
            <v>PROD/25-26/07364</v>
          </cell>
          <cell r="D984" t="str">
            <v/>
          </cell>
          <cell r="E984" t="str">
            <v>TJ/25-26/184-CS</v>
          </cell>
          <cell r="F984" t="str">
            <v>P5,P1</v>
          </cell>
          <cell r="G984">
            <v>0</v>
          </cell>
          <cell r="H984">
            <v>4</v>
          </cell>
          <cell r="I984" t="str">
            <v>Yes</v>
          </cell>
          <cell r="J984" t="str">
            <v/>
          </cell>
          <cell r="K984" t="str">
            <v>No</v>
          </cell>
          <cell r="L984" t="str">
            <v/>
          </cell>
          <cell r="M984" t="str">
            <v/>
          </cell>
          <cell r="N984" t="str">
            <v>Spool</v>
          </cell>
          <cell r="O984">
            <v>0</v>
          </cell>
          <cell r="P984">
            <v>0</v>
          </cell>
          <cell r="Q984" t="str">
            <v>CS</v>
          </cell>
          <cell r="R984">
            <v>1</v>
          </cell>
          <cell r="S984">
            <v>1</v>
          </cell>
          <cell r="T984">
            <v>173.53963999999999</v>
          </cell>
          <cell r="U984">
            <v>173.53963999999999</v>
          </cell>
        </row>
        <row r="985">
          <cell r="B985" t="str">
            <v>V17551-PIND-0056-04</v>
          </cell>
          <cell r="C985" t="str">
            <v>PROD/25-26/07421</v>
          </cell>
          <cell r="D985" t="str">
            <v/>
          </cell>
          <cell r="E985" t="str">
            <v>TJ/25-26/184-CS</v>
          </cell>
          <cell r="F985" t="str">
            <v>P5,P1</v>
          </cell>
          <cell r="G985">
            <v>0</v>
          </cell>
          <cell r="H985">
            <v>4</v>
          </cell>
          <cell r="I985" t="str">
            <v>Yes</v>
          </cell>
          <cell r="J985" t="str">
            <v/>
          </cell>
          <cell r="K985" t="str">
            <v>No</v>
          </cell>
          <cell r="L985" t="str">
            <v/>
          </cell>
          <cell r="M985" t="str">
            <v/>
          </cell>
          <cell r="N985" t="str">
            <v>Spool</v>
          </cell>
          <cell r="O985">
            <v>0</v>
          </cell>
          <cell r="P985">
            <v>0</v>
          </cell>
          <cell r="Q985" t="str">
            <v>CS</v>
          </cell>
          <cell r="R985">
            <v>1</v>
          </cell>
          <cell r="S985">
            <v>1</v>
          </cell>
          <cell r="T985">
            <v>173.53963999999999</v>
          </cell>
          <cell r="U985">
            <v>173.53963999999999</v>
          </cell>
        </row>
        <row r="986">
          <cell r="B986" t="str">
            <v>V17551-PIND-0058-04</v>
          </cell>
          <cell r="C986" t="str">
            <v>PROD/25-26/07422</v>
          </cell>
          <cell r="D986" t="str">
            <v/>
          </cell>
          <cell r="E986" t="str">
            <v>TJ/25-26/184-CS</v>
          </cell>
          <cell r="F986" t="str">
            <v>P5,P1</v>
          </cell>
          <cell r="G986">
            <v>0</v>
          </cell>
          <cell r="H986">
            <v>4</v>
          </cell>
          <cell r="I986" t="str">
            <v>Yes</v>
          </cell>
          <cell r="J986" t="str">
            <v/>
          </cell>
          <cell r="K986" t="str">
            <v>No</v>
          </cell>
          <cell r="L986" t="str">
            <v/>
          </cell>
          <cell r="M986" t="str">
            <v/>
          </cell>
          <cell r="N986" t="str">
            <v>Spool</v>
          </cell>
          <cell r="O986">
            <v>0</v>
          </cell>
          <cell r="P986">
            <v>0</v>
          </cell>
          <cell r="Q986" t="str">
            <v>CS</v>
          </cell>
          <cell r="R986">
            <v>1</v>
          </cell>
          <cell r="S986">
            <v>1</v>
          </cell>
          <cell r="T986">
            <v>173.53963999999999</v>
          </cell>
          <cell r="U986">
            <v>173.53963999999999</v>
          </cell>
        </row>
        <row r="987">
          <cell r="B987" t="str">
            <v>V17551-PIND-0060-04</v>
          </cell>
          <cell r="C987" t="str">
            <v>PROD/25-26/07423</v>
          </cell>
          <cell r="D987" t="str">
            <v/>
          </cell>
          <cell r="E987" t="str">
            <v>TJ/25-26/184-CS</v>
          </cell>
          <cell r="F987" t="str">
            <v>P5,P1</v>
          </cell>
          <cell r="G987">
            <v>0</v>
          </cell>
          <cell r="H987">
            <v>4</v>
          </cell>
          <cell r="I987" t="str">
            <v>Yes</v>
          </cell>
          <cell r="J987" t="str">
            <v/>
          </cell>
          <cell r="K987" t="str">
            <v>No</v>
          </cell>
          <cell r="L987" t="str">
            <v/>
          </cell>
          <cell r="M987" t="str">
            <v/>
          </cell>
          <cell r="N987" t="str">
            <v>Spool</v>
          </cell>
          <cell r="O987">
            <v>0</v>
          </cell>
          <cell r="P987">
            <v>0</v>
          </cell>
          <cell r="Q987" t="str">
            <v>CS</v>
          </cell>
          <cell r="R987">
            <v>1</v>
          </cell>
          <cell r="S987">
            <v>1</v>
          </cell>
          <cell r="T987">
            <v>202.81226000000001</v>
          </cell>
          <cell r="U987">
            <v>202.81226000000001</v>
          </cell>
        </row>
        <row r="988">
          <cell r="B988" t="str">
            <v>V17551-PIND-0062-04</v>
          </cell>
          <cell r="C988" t="str">
            <v>PROD/25-26/07424</v>
          </cell>
          <cell r="D988" t="str">
            <v/>
          </cell>
          <cell r="E988" t="str">
            <v>TJ/25-26/184-CS</v>
          </cell>
          <cell r="F988" t="str">
            <v>P5,P1</v>
          </cell>
          <cell r="G988">
            <v>0</v>
          </cell>
          <cell r="H988">
            <v>4</v>
          </cell>
          <cell r="I988" t="str">
            <v>Yes</v>
          </cell>
          <cell r="J988" t="str">
            <v/>
          </cell>
          <cell r="K988" t="str">
            <v>No</v>
          </cell>
          <cell r="L988" t="str">
            <v/>
          </cell>
          <cell r="M988" t="str">
            <v/>
          </cell>
          <cell r="N988" t="str">
            <v>Spool</v>
          </cell>
          <cell r="O988">
            <v>0</v>
          </cell>
          <cell r="P988">
            <v>0</v>
          </cell>
          <cell r="Q988" t="str">
            <v>CS</v>
          </cell>
          <cell r="R988">
            <v>1</v>
          </cell>
          <cell r="S988">
            <v>1</v>
          </cell>
          <cell r="T988">
            <v>148.22490060800001</v>
          </cell>
          <cell r="U988">
            <v>148.22490060800001</v>
          </cell>
        </row>
        <row r="989">
          <cell r="B989" t="str">
            <v>V17551-PIND-0064-04</v>
          </cell>
          <cell r="C989" t="str">
            <v>PROD/25-26/06614</v>
          </cell>
          <cell r="D989" t="str">
            <v/>
          </cell>
          <cell r="E989" t="str">
            <v>TJ/25-26/184-CS</v>
          </cell>
          <cell r="F989" t="str">
            <v>P5</v>
          </cell>
          <cell r="G989">
            <v>0</v>
          </cell>
          <cell r="H989">
            <v>4</v>
          </cell>
          <cell r="I989" t="str">
            <v>Yes</v>
          </cell>
          <cell r="J989" t="str">
            <v/>
          </cell>
          <cell r="K989" t="str">
            <v>No</v>
          </cell>
          <cell r="L989" t="str">
            <v/>
          </cell>
          <cell r="M989" t="str">
            <v/>
          </cell>
          <cell r="N989" t="str">
            <v>Spool</v>
          </cell>
          <cell r="O989">
            <v>0</v>
          </cell>
          <cell r="P989">
            <v>0</v>
          </cell>
          <cell r="Q989" t="str">
            <v>CS</v>
          </cell>
          <cell r="R989">
            <v>1</v>
          </cell>
          <cell r="S989">
            <v>1</v>
          </cell>
          <cell r="T989">
            <v>53.17906</v>
          </cell>
          <cell r="U989">
            <v>53.17906</v>
          </cell>
        </row>
        <row r="990">
          <cell r="B990" t="str">
            <v>V17551-PIND-0066-04</v>
          </cell>
          <cell r="C990" t="str">
            <v>PROD/25-26/06616</v>
          </cell>
          <cell r="D990" t="str">
            <v/>
          </cell>
          <cell r="E990" t="str">
            <v>TJ/25-26/184-CS</v>
          </cell>
          <cell r="F990" t="str">
            <v>P5</v>
          </cell>
          <cell r="G990">
            <v>0</v>
          </cell>
          <cell r="H990">
            <v>4</v>
          </cell>
          <cell r="I990" t="str">
            <v>Yes</v>
          </cell>
          <cell r="J990" t="str">
            <v/>
          </cell>
          <cell r="K990" t="str">
            <v>No</v>
          </cell>
          <cell r="L990" t="str">
            <v/>
          </cell>
          <cell r="M990" t="str">
            <v/>
          </cell>
          <cell r="N990" t="str">
            <v>Spool</v>
          </cell>
          <cell r="O990">
            <v>0</v>
          </cell>
          <cell r="P990">
            <v>0</v>
          </cell>
          <cell r="Q990" t="str">
            <v>CS</v>
          </cell>
          <cell r="R990">
            <v>1</v>
          </cell>
          <cell r="S990">
            <v>1</v>
          </cell>
          <cell r="T990">
            <v>40.264240000000001</v>
          </cell>
          <cell r="U990">
            <v>40.264240000000001</v>
          </cell>
        </row>
        <row r="991">
          <cell r="B991" t="str">
            <v>V17551-PIND-0068-04</v>
          </cell>
          <cell r="C991" t="str">
            <v>PROD/25-26/06618</v>
          </cell>
          <cell r="D991" t="str">
            <v/>
          </cell>
          <cell r="E991" t="str">
            <v>TJ/25-26/184-CS</v>
          </cell>
          <cell r="F991" t="str">
            <v>P5</v>
          </cell>
          <cell r="G991">
            <v>0</v>
          </cell>
          <cell r="H991">
            <v>4</v>
          </cell>
          <cell r="I991" t="str">
            <v>Yes</v>
          </cell>
          <cell r="J991" t="str">
            <v/>
          </cell>
          <cell r="K991" t="str">
            <v>No</v>
          </cell>
          <cell r="L991" t="str">
            <v/>
          </cell>
          <cell r="M991" t="str">
            <v/>
          </cell>
          <cell r="N991" t="str">
            <v>Spool</v>
          </cell>
          <cell r="O991">
            <v>0</v>
          </cell>
          <cell r="P991">
            <v>0</v>
          </cell>
          <cell r="Q991" t="str">
            <v>CS</v>
          </cell>
          <cell r="R991">
            <v>1</v>
          </cell>
          <cell r="S991">
            <v>1</v>
          </cell>
          <cell r="T991">
            <v>27.349419999999999</v>
          </cell>
          <cell r="U991">
            <v>27.349419999999999</v>
          </cell>
        </row>
        <row r="992">
          <cell r="B992" t="str">
            <v>V17551-PIND-0070-04</v>
          </cell>
          <cell r="C992" t="str">
            <v>PROD/25-26/06620</v>
          </cell>
          <cell r="D992" t="str">
            <v/>
          </cell>
          <cell r="E992" t="str">
            <v>TJ/25-26/184-CS</v>
          </cell>
          <cell r="F992" t="str">
            <v>P5</v>
          </cell>
          <cell r="G992">
            <v>0</v>
          </cell>
          <cell r="H992">
            <v>4</v>
          </cell>
          <cell r="I992" t="str">
            <v>Yes</v>
          </cell>
          <cell r="J992" t="str">
            <v/>
          </cell>
          <cell r="K992" t="str">
            <v>No</v>
          </cell>
          <cell r="L992" t="str">
            <v/>
          </cell>
          <cell r="M992" t="str">
            <v/>
          </cell>
          <cell r="N992" t="str">
            <v>Spool</v>
          </cell>
          <cell r="O992">
            <v>0</v>
          </cell>
          <cell r="P992">
            <v>0</v>
          </cell>
          <cell r="Q992" t="str">
            <v>CS</v>
          </cell>
          <cell r="R992">
            <v>1</v>
          </cell>
          <cell r="S992">
            <v>1</v>
          </cell>
          <cell r="T992">
            <v>71.180679999999995</v>
          </cell>
          <cell r="U992">
            <v>71.180679999999995</v>
          </cell>
        </row>
        <row r="993">
          <cell r="B993" t="str">
            <v>V17551-PIND-0072-04</v>
          </cell>
          <cell r="C993" t="str">
            <v>PROD/25-26/06622</v>
          </cell>
          <cell r="D993" t="str">
            <v/>
          </cell>
          <cell r="E993" t="str">
            <v>TJ/25-26/184-CS</v>
          </cell>
          <cell r="F993" t="str">
            <v>P5</v>
          </cell>
          <cell r="G993">
            <v>0</v>
          </cell>
          <cell r="H993">
            <v>4</v>
          </cell>
          <cell r="I993" t="str">
            <v>Yes</v>
          </cell>
          <cell r="J993" t="str">
            <v/>
          </cell>
          <cell r="K993" t="str">
            <v>No</v>
          </cell>
          <cell r="L993" t="str">
            <v/>
          </cell>
          <cell r="M993" t="str">
            <v/>
          </cell>
          <cell r="N993" t="str">
            <v>Spool</v>
          </cell>
          <cell r="O993">
            <v>0</v>
          </cell>
          <cell r="P993">
            <v>0</v>
          </cell>
          <cell r="Q993" t="str">
            <v>CS</v>
          </cell>
          <cell r="R993">
            <v>1</v>
          </cell>
          <cell r="S993">
            <v>1</v>
          </cell>
          <cell r="T993">
            <v>71.180679999999995</v>
          </cell>
          <cell r="U993">
            <v>71.180679999999995</v>
          </cell>
        </row>
        <row r="994">
          <cell r="B994" t="str">
            <v>V17551-PIND-0074-04</v>
          </cell>
          <cell r="C994" t="str">
            <v>PROD/25-26/06624</v>
          </cell>
          <cell r="D994" t="str">
            <v/>
          </cell>
          <cell r="E994" t="str">
            <v>TJ/25-26/184-CS</v>
          </cell>
          <cell r="F994" t="str">
            <v>P5</v>
          </cell>
          <cell r="G994">
            <v>0</v>
          </cell>
          <cell r="H994">
            <v>4</v>
          </cell>
          <cell r="I994" t="str">
            <v>Yes</v>
          </cell>
          <cell r="J994" t="str">
            <v/>
          </cell>
          <cell r="K994" t="str">
            <v>No</v>
          </cell>
          <cell r="L994" t="str">
            <v/>
          </cell>
          <cell r="M994" t="str">
            <v/>
          </cell>
          <cell r="N994" t="str">
            <v>Spool</v>
          </cell>
          <cell r="O994">
            <v>0</v>
          </cell>
          <cell r="P994">
            <v>0</v>
          </cell>
          <cell r="Q994" t="str">
            <v>CS</v>
          </cell>
          <cell r="R994">
            <v>1</v>
          </cell>
          <cell r="S994">
            <v>1</v>
          </cell>
          <cell r="T994">
            <v>44.668759999999999</v>
          </cell>
          <cell r="U994">
            <v>44.668759999999999</v>
          </cell>
        </row>
        <row r="995">
          <cell r="B995" t="str">
            <v>V17551-PIND-0076-04</v>
          </cell>
          <cell r="C995" t="str">
            <v>PROD/25-26/06626</v>
          </cell>
          <cell r="D995" t="str">
            <v/>
          </cell>
          <cell r="E995" t="str">
            <v>TJ/25-26/184-CS</v>
          </cell>
          <cell r="F995" t="str">
            <v>P5</v>
          </cell>
          <cell r="G995">
            <v>0</v>
          </cell>
          <cell r="H995">
            <v>4</v>
          </cell>
          <cell r="I995" t="str">
            <v>Yes</v>
          </cell>
          <cell r="J995" t="str">
            <v/>
          </cell>
          <cell r="K995" t="str">
            <v>No</v>
          </cell>
          <cell r="L995" t="str">
            <v/>
          </cell>
          <cell r="M995" t="str">
            <v/>
          </cell>
          <cell r="N995" t="str">
            <v>Spool</v>
          </cell>
          <cell r="O995">
            <v>0</v>
          </cell>
          <cell r="P995">
            <v>0</v>
          </cell>
          <cell r="Q995" t="str">
            <v>CS</v>
          </cell>
          <cell r="R995">
            <v>1</v>
          </cell>
          <cell r="S995">
            <v>1</v>
          </cell>
          <cell r="T995">
            <v>88.096299999999999</v>
          </cell>
          <cell r="U995">
            <v>88.096299999999999</v>
          </cell>
        </row>
        <row r="996">
          <cell r="B996" t="str">
            <v>V17551-PIND-0080-04</v>
          </cell>
          <cell r="C996" t="str">
            <v>PROD/25-26/08511</v>
          </cell>
          <cell r="D996" t="str">
            <v/>
          </cell>
          <cell r="E996" t="str">
            <v>TJ/25-26/184-CS</v>
          </cell>
          <cell r="F996" t="str">
            <v>P5,P1</v>
          </cell>
          <cell r="G996">
            <v>0</v>
          </cell>
          <cell r="H996">
            <v>4</v>
          </cell>
          <cell r="I996" t="str">
            <v>No</v>
          </cell>
          <cell r="J996" t="str">
            <v/>
          </cell>
          <cell r="K996" t="str">
            <v>No</v>
          </cell>
          <cell r="L996" t="str">
            <v/>
          </cell>
          <cell r="M996" t="str">
            <v/>
          </cell>
          <cell r="N996" t="str">
            <v>Spool</v>
          </cell>
          <cell r="O996">
            <v>0</v>
          </cell>
          <cell r="P996">
            <v>0</v>
          </cell>
          <cell r="Q996" t="str">
            <v>CS</v>
          </cell>
          <cell r="R996">
            <v>1</v>
          </cell>
          <cell r="S996">
            <v>1</v>
          </cell>
          <cell r="T996">
            <v>853.35387060799997</v>
          </cell>
          <cell r="U996">
            <v>853.35387060799997</v>
          </cell>
        </row>
        <row r="997">
          <cell r="B997" t="str">
            <v>V17551-PIND-0082-04</v>
          </cell>
          <cell r="C997" t="str">
            <v>PROD/25-26/07435</v>
          </cell>
          <cell r="D997" t="str">
            <v>S-5081</v>
          </cell>
          <cell r="E997" t="str">
            <v>TJ/25-26/184-CS</v>
          </cell>
          <cell r="F997" t="str">
            <v>P5,P1</v>
          </cell>
          <cell r="G997">
            <v>0</v>
          </cell>
          <cell r="H997">
            <v>4</v>
          </cell>
          <cell r="I997" t="str">
            <v>Yes</v>
          </cell>
          <cell r="J997" t="str">
            <v/>
          </cell>
          <cell r="K997" t="str">
            <v>No</v>
          </cell>
          <cell r="L997" t="str">
            <v/>
          </cell>
          <cell r="M997" t="str">
            <v/>
          </cell>
          <cell r="N997" t="str">
            <v>Spool</v>
          </cell>
          <cell r="O997">
            <v>0</v>
          </cell>
          <cell r="P997">
            <v>0</v>
          </cell>
          <cell r="Q997" t="str">
            <v>CS</v>
          </cell>
          <cell r="R997">
            <v>1</v>
          </cell>
          <cell r="S997">
            <v>1</v>
          </cell>
          <cell r="T997">
            <v>2219.599740608</v>
          </cell>
          <cell r="U997">
            <v>2219.599740608</v>
          </cell>
        </row>
        <row r="998">
          <cell r="B998" t="str">
            <v>V17551-PIND-0083-04</v>
          </cell>
          <cell r="C998" t="str">
            <v>PROD/25-26/12795</v>
          </cell>
          <cell r="D998" t="str">
            <v>S-5086</v>
          </cell>
          <cell r="E998" t="str">
            <v>TJ/25-26/184-CS</v>
          </cell>
          <cell r="F998" t="str">
            <v>P5</v>
          </cell>
          <cell r="G998">
            <v>0</v>
          </cell>
          <cell r="H998">
            <v>4</v>
          </cell>
          <cell r="I998" t="str">
            <v>Yes</v>
          </cell>
          <cell r="J998" t="str">
            <v/>
          </cell>
          <cell r="K998" t="str">
            <v>No</v>
          </cell>
          <cell r="L998" t="str">
            <v/>
          </cell>
          <cell r="M998" t="str">
            <v/>
          </cell>
          <cell r="N998" t="str">
            <v>Spool</v>
          </cell>
          <cell r="O998">
            <v>0</v>
          </cell>
          <cell r="P998">
            <v>0</v>
          </cell>
          <cell r="Q998" t="str">
            <v>CS</v>
          </cell>
          <cell r="R998">
            <v>1</v>
          </cell>
          <cell r="S998">
            <v>1</v>
          </cell>
          <cell r="T998">
            <v>62.685119999999998</v>
          </cell>
          <cell r="U998">
            <v>62.685119999999998</v>
          </cell>
        </row>
        <row r="999">
          <cell r="B999" t="str">
            <v>V17551-PIND-0085-04</v>
          </cell>
          <cell r="C999" t="str">
            <v>PROD/25-26/13620</v>
          </cell>
          <cell r="D999" t="str">
            <v>S-5094</v>
          </cell>
          <cell r="E999" t="str">
            <v>TJ/25-26/184-CS</v>
          </cell>
          <cell r="F999" t="str">
            <v>P5,P1</v>
          </cell>
          <cell r="G999">
            <v>0</v>
          </cell>
          <cell r="H999">
            <v>4</v>
          </cell>
          <cell r="I999" t="str">
            <v>Yes</v>
          </cell>
          <cell r="J999" t="str">
            <v/>
          </cell>
          <cell r="K999" t="str">
            <v>No</v>
          </cell>
          <cell r="L999" t="str">
            <v/>
          </cell>
          <cell r="M999" t="str">
            <v/>
          </cell>
          <cell r="N999" t="str">
            <v>Spool</v>
          </cell>
          <cell r="O999">
            <v>0</v>
          </cell>
          <cell r="P999">
            <v>0</v>
          </cell>
          <cell r="Q999" t="str">
            <v>CS</v>
          </cell>
          <cell r="R999">
            <v>1</v>
          </cell>
          <cell r="S999">
            <v>1</v>
          </cell>
          <cell r="T999">
            <v>380.289505152</v>
          </cell>
          <cell r="U999">
            <v>380.289505152</v>
          </cell>
        </row>
        <row r="1000">
          <cell r="B1000" t="str">
            <v>V17551-PIND-0087-04</v>
          </cell>
          <cell r="C1000" t="str">
            <v>PROD/25-26/06827</v>
          </cell>
          <cell r="D1000" t="str">
            <v>S-5101</v>
          </cell>
          <cell r="E1000" t="str">
            <v>TJ/25-26/184-CS</v>
          </cell>
          <cell r="F1000" t="str">
            <v>P5</v>
          </cell>
          <cell r="G1000">
            <v>0</v>
          </cell>
          <cell r="H1000">
            <v>4</v>
          </cell>
          <cell r="I1000" t="str">
            <v>Yes</v>
          </cell>
          <cell r="J1000" t="str">
            <v/>
          </cell>
          <cell r="K1000" t="str">
            <v>No</v>
          </cell>
          <cell r="L1000" t="str">
            <v/>
          </cell>
          <cell r="M1000" t="str">
            <v/>
          </cell>
          <cell r="N1000" t="str">
            <v>Spool</v>
          </cell>
          <cell r="O1000">
            <v>0</v>
          </cell>
          <cell r="P1000">
            <v>0</v>
          </cell>
          <cell r="Q1000" t="str">
            <v>CS</v>
          </cell>
          <cell r="R1000">
            <v>1</v>
          </cell>
          <cell r="S1000">
            <v>1</v>
          </cell>
          <cell r="T1000">
            <v>370.62619000000001</v>
          </cell>
          <cell r="U1000">
            <v>370.62619000000001</v>
          </cell>
        </row>
        <row r="1001">
          <cell r="B1001" t="str">
            <v>V17551-PIND-0089-04</v>
          </cell>
          <cell r="C1001" t="str">
            <v>PROD/25-26/12798</v>
          </cell>
          <cell r="D1001" t="str">
            <v>S-5116</v>
          </cell>
          <cell r="E1001" t="str">
            <v>TJ/25-26/184-P91</v>
          </cell>
          <cell r="F1001" t="str">
            <v>P5,P1</v>
          </cell>
          <cell r="G1001">
            <v>0</v>
          </cell>
          <cell r="H1001">
            <v>4</v>
          </cell>
          <cell r="I1001" t="str">
            <v>Yes</v>
          </cell>
          <cell r="J1001" t="str">
            <v/>
          </cell>
          <cell r="K1001" t="str">
            <v>No</v>
          </cell>
          <cell r="L1001" t="str">
            <v/>
          </cell>
          <cell r="M1001" t="str">
            <v/>
          </cell>
          <cell r="N1001" t="str">
            <v>Spool</v>
          </cell>
          <cell r="O1001">
            <v>0</v>
          </cell>
          <cell r="P1001">
            <v>0</v>
          </cell>
          <cell r="Q1001" t="str">
            <v>P91</v>
          </cell>
          <cell r="R1001">
            <v>1</v>
          </cell>
          <cell r="S1001">
            <v>1</v>
          </cell>
          <cell r="T1001">
            <v>4540.2898580600004</v>
          </cell>
          <cell r="U1001">
            <v>4540.2898580600004</v>
          </cell>
        </row>
        <row r="1002">
          <cell r="B1002" t="str">
            <v>V17551-PIND-0090-04</v>
          </cell>
          <cell r="C1002" t="str">
            <v>PROD/25-26/14181</v>
          </cell>
          <cell r="D1002" t="str">
            <v/>
          </cell>
          <cell r="E1002" t="str">
            <v>TJ/25-26/184-P91</v>
          </cell>
          <cell r="F1002" t="str">
            <v>P5</v>
          </cell>
          <cell r="G1002">
            <v>0</v>
          </cell>
          <cell r="H1002">
            <v>4</v>
          </cell>
          <cell r="I1002" t="str">
            <v>No</v>
          </cell>
          <cell r="J1002" t="str">
            <v/>
          </cell>
          <cell r="K1002" t="str">
            <v>No</v>
          </cell>
          <cell r="L1002" t="str">
            <v/>
          </cell>
          <cell r="M1002" t="str">
            <v/>
          </cell>
          <cell r="N1002" t="str">
            <v>Spool</v>
          </cell>
          <cell r="O1002">
            <v>0</v>
          </cell>
          <cell r="P1002">
            <v>0</v>
          </cell>
          <cell r="Q1002" t="str">
            <v>P91</v>
          </cell>
          <cell r="R1002">
            <v>1</v>
          </cell>
          <cell r="S1002">
            <v>1</v>
          </cell>
          <cell r="T1002">
            <v>698.17552000000001</v>
          </cell>
          <cell r="U1002">
            <v>698.17552000000001</v>
          </cell>
        </row>
        <row r="1003">
          <cell r="B1003" t="str">
            <v>V17551-PIND-0094-04</v>
          </cell>
          <cell r="C1003" t="str">
            <v>PROD/25-26/14207</v>
          </cell>
          <cell r="D1003" t="str">
            <v>S-5123</v>
          </cell>
          <cell r="E1003" t="str">
            <v>TJ/25-26/184-CS</v>
          </cell>
          <cell r="F1003" t="str">
            <v>P5,P1</v>
          </cell>
          <cell r="G1003">
            <v>0</v>
          </cell>
          <cell r="H1003">
            <v>4</v>
          </cell>
          <cell r="I1003" t="str">
            <v>Yes</v>
          </cell>
          <cell r="J1003" t="str">
            <v/>
          </cell>
          <cell r="K1003" t="str">
            <v>No</v>
          </cell>
          <cell r="L1003" t="str">
            <v/>
          </cell>
          <cell r="M1003" t="str">
            <v/>
          </cell>
          <cell r="N1003" t="str">
            <v>Spool</v>
          </cell>
          <cell r="O1003">
            <v>0</v>
          </cell>
          <cell r="P1003">
            <v>0</v>
          </cell>
          <cell r="Q1003" t="str">
            <v>CS</v>
          </cell>
          <cell r="R1003">
            <v>1</v>
          </cell>
          <cell r="S1003">
            <v>1</v>
          </cell>
          <cell r="T1003">
            <v>884.99515659199994</v>
          </cell>
          <cell r="U1003">
            <v>884.99515659199994</v>
          </cell>
        </row>
        <row r="1004">
          <cell r="B1004" t="str">
            <v>V17551-PIND-0098-04</v>
          </cell>
          <cell r="C1004" t="str">
            <v>PROD/25-26/12803</v>
          </cell>
          <cell r="D1004" t="str">
            <v>S-5239</v>
          </cell>
          <cell r="E1004" t="str">
            <v>TJ/25-26/184-P11</v>
          </cell>
          <cell r="F1004" t="str">
            <v/>
          </cell>
          <cell r="G1004">
            <v>0</v>
          </cell>
          <cell r="H1004">
            <v>4</v>
          </cell>
          <cell r="I1004" t="str">
            <v>No</v>
          </cell>
          <cell r="J1004" t="str">
            <v/>
          </cell>
          <cell r="K1004" t="str">
            <v>No</v>
          </cell>
          <cell r="L1004" t="str">
            <v/>
          </cell>
          <cell r="M1004" t="str">
            <v/>
          </cell>
          <cell r="N1004" t="str">
            <v>Spool</v>
          </cell>
          <cell r="O1004">
            <v>0</v>
          </cell>
          <cell r="P1004">
            <v>0</v>
          </cell>
          <cell r="Q1004" t="str">
            <v>P11</v>
          </cell>
          <cell r="R1004">
            <v>1</v>
          </cell>
          <cell r="S1004">
            <v>1</v>
          </cell>
          <cell r="T1004">
            <v>104.68940551999999</v>
          </cell>
          <cell r="U1004">
            <v>104.68940551999999</v>
          </cell>
        </row>
        <row r="1005">
          <cell r="B1005" t="str">
            <v>V17551-PIND-0103-04</v>
          </cell>
          <cell r="C1005" t="str">
            <v>PROD/25-26/06632</v>
          </cell>
          <cell r="D1005" t="str">
            <v>S-5145</v>
          </cell>
          <cell r="E1005" t="str">
            <v>TJ/25-26/184-CS</v>
          </cell>
          <cell r="F1005" t="str">
            <v>P5</v>
          </cell>
          <cell r="G1005">
            <v>0</v>
          </cell>
          <cell r="H1005">
            <v>4</v>
          </cell>
          <cell r="I1005" t="str">
            <v>Yes</v>
          </cell>
          <cell r="J1005" t="str">
            <v/>
          </cell>
          <cell r="K1005" t="str">
            <v>No</v>
          </cell>
          <cell r="L1005" t="str">
            <v/>
          </cell>
          <cell r="M1005" t="str">
            <v/>
          </cell>
          <cell r="N1005" t="str">
            <v>Spool</v>
          </cell>
          <cell r="O1005">
            <v>0</v>
          </cell>
          <cell r="P1005">
            <v>0</v>
          </cell>
          <cell r="Q1005" t="str">
            <v>CS</v>
          </cell>
          <cell r="R1005">
            <v>1</v>
          </cell>
          <cell r="S1005">
            <v>1</v>
          </cell>
          <cell r="T1005">
            <v>196.97215</v>
          </cell>
          <cell r="U1005">
            <v>196.97215</v>
          </cell>
        </row>
        <row r="1006">
          <cell r="B1006" t="str">
            <v>V17551-PIND-0105-04</v>
          </cell>
          <cell r="C1006" t="str">
            <v>PROD/25-26/08422</v>
          </cell>
          <cell r="D1006" t="str">
            <v/>
          </cell>
          <cell r="E1006" t="str">
            <v>TJ/25-26/184-CS</v>
          </cell>
          <cell r="F1006" t="str">
            <v>P5</v>
          </cell>
          <cell r="G1006">
            <v>0</v>
          </cell>
          <cell r="H1006">
            <v>4</v>
          </cell>
          <cell r="I1006" t="str">
            <v>Yes</v>
          </cell>
          <cell r="J1006" t="str">
            <v/>
          </cell>
          <cell r="K1006" t="str">
            <v>No</v>
          </cell>
          <cell r="L1006" t="str">
            <v/>
          </cell>
          <cell r="M1006" t="str">
            <v/>
          </cell>
          <cell r="N1006" t="str">
            <v>Spool</v>
          </cell>
          <cell r="O1006">
            <v>0</v>
          </cell>
          <cell r="P1006">
            <v>0</v>
          </cell>
          <cell r="Q1006" t="str">
            <v>CS</v>
          </cell>
          <cell r="R1006">
            <v>1</v>
          </cell>
          <cell r="S1006">
            <v>1</v>
          </cell>
          <cell r="T1006">
            <v>478.89580999999998</v>
          </cell>
          <cell r="U1006">
            <v>478.89580999999998</v>
          </cell>
        </row>
        <row r="1007">
          <cell r="B1007" t="str">
            <v>V17551-PIND-0106-04</v>
          </cell>
          <cell r="C1007" t="str">
            <v>PROD/25-26/12807</v>
          </cell>
          <cell r="D1007" t="str">
            <v/>
          </cell>
          <cell r="E1007" t="str">
            <v>TJ/25-26/184-CS</v>
          </cell>
          <cell r="F1007" t="str">
            <v>P5,P1</v>
          </cell>
          <cell r="G1007">
            <v>0</v>
          </cell>
          <cell r="H1007">
            <v>4</v>
          </cell>
          <cell r="I1007" t="str">
            <v>Yes</v>
          </cell>
          <cell r="J1007" t="str">
            <v/>
          </cell>
          <cell r="K1007" t="str">
            <v>No</v>
          </cell>
          <cell r="L1007" t="str">
            <v/>
          </cell>
          <cell r="M1007" t="str">
            <v/>
          </cell>
          <cell r="N1007" t="str">
            <v>Spool</v>
          </cell>
          <cell r="O1007">
            <v>0</v>
          </cell>
          <cell r="P1007">
            <v>0</v>
          </cell>
          <cell r="Q1007" t="str">
            <v>CS</v>
          </cell>
          <cell r="R1007">
            <v>1</v>
          </cell>
          <cell r="S1007">
            <v>1</v>
          </cell>
          <cell r="T1007">
            <v>78.234949528000001</v>
          </cell>
          <cell r="U1007">
            <v>78.234949528000001</v>
          </cell>
        </row>
        <row r="1008">
          <cell r="B1008" t="str">
            <v>V17551-PIND-0107-04</v>
          </cell>
          <cell r="C1008" t="str">
            <v>PROD/25-26/07441</v>
          </cell>
          <cell r="D1008" t="str">
            <v/>
          </cell>
          <cell r="E1008" t="str">
            <v>TJ/25-26/184-CS</v>
          </cell>
          <cell r="F1008" t="str">
            <v>P5,P1</v>
          </cell>
          <cell r="G1008">
            <v>0</v>
          </cell>
          <cell r="H1008">
            <v>4</v>
          </cell>
          <cell r="I1008" t="str">
            <v>Yes</v>
          </cell>
          <cell r="J1008" t="str">
            <v/>
          </cell>
          <cell r="K1008" t="str">
            <v>No</v>
          </cell>
          <cell r="L1008" t="str">
            <v/>
          </cell>
          <cell r="M1008" t="str">
            <v/>
          </cell>
          <cell r="N1008" t="str">
            <v>Spool</v>
          </cell>
          <cell r="O1008">
            <v>0</v>
          </cell>
          <cell r="P1008">
            <v>0</v>
          </cell>
          <cell r="Q1008" t="str">
            <v>CS</v>
          </cell>
          <cell r="R1008">
            <v>1</v>
          </cell>
          <cell r="S1008">
            <v>1</v>
          </cell>
          <cell r="T1008">
            <v>65.236240304000006</v>
          </cell>
          <cell r="U1008">
            <v>65.236240304000006</v>
          </cell>
        </row>
        <row r="1009">
          <cell r="B1009" t="str">
            <v>V17551-PIND-0108-04</v>
          </cell>
          <cell r="C1009" t="str">
            <v>PROD/25-26/13029</v>
          </cell>
          <cell r="D1009" t="str">
            <v>S-5150</v>
          </cell>
          <cell r="E1009" t="str">
            <v>TJ/25-26/184-P11</v>
          </cell>
          <cell r="F1009" t="str">
            <v>P5,P1</v>
          </cell>
          <cell r="G1009">
            <v>0</v>
          </cell>
          <cell r="H1009">
            <v>4</v>
          </cell>
          <cell r="I1009" t="str">
            <v>Yes</v>
          </cell>
          <cell r="J1009" t="str">
            <v/>
          </cell>
          <cell r="K1009" t="str">
            <v>No</v>
          </cell>
          <cell r="L1009" t="str">
            <v/>
          </cell>
          <cell r="M1009" t="str">
            <v/>
          </cell>
          <cell r="N1009" t="str">
            <v>Spool</v>
          </cell>
          <cell r="O1009">
            <v>0</v>
          </cell>
          <cell r="P1009">
            <v>0</v>
          </cell>
          <cell r="Q1009" t="str">
            <v>P11</v>
          </cell>
          <cell r="R1009">
            <v>1</v>
          </cell>
          <cell r="S1009">
            <v>1</v>
          </cell>
          <cell r="T1009">
            <v>783.54848765439999</v>
          </cell>
          <cell r="U1009">
            <v>783.54848765439999</v>
          </cell>
        </row>
        <row r="1010">
          <cell r="B1010" t="str">
            <v>V17551-PIND-0110-04</v>
          </cell>
          <cell r="C1010" t="str">
            <v>PROD/25-26/07442</v>
          </cell>
          <cell r="D1010" t="str">
            <v/>
          </cell>
          <cell r="E1010" t="str">
            <v>TJ/25-26/184-CS</v>
          </cell>
          <cell r="F1010" t="str">
            <v>P5,P1</v>
          </cell>
          <cell r="G1010">
            <v>0</v>
          </cell>
          <cell r="H1010">
            <v>4</v>
          </cell>
          <cell r="I1010" t="str">
            <v>Yes</v>
          </cell>
          <cell r="J1010" t="str">
            <v/>
          </cell>
          <cell r="K1010" t="str">
            <v>No</v>
          </cell>
          <cell r="L1010" t="str">
            <v/>
          </cell>
          <cell r="M1010" t="str">
            <v/>
          </cell>
          <cell r="N1010" t="str">
            <v>Spool</v>
          </cell>
          <cell r="O1010">
            <v>0</v>
          </cell>
          <cell r="P1010">
            <v>0</v>
          </cell>
          <cell r="Q1010" t="str">
            <v>CS</v>
          </cell>
          <cell r="R1010">
            <v>1</v>
          </cell>
          <cell r="S1010">
            <v>1</v>
          </cell>
          <cell r="T1010">
            <v>236.01562999999999</v>
          </cell>
          <cell r="U1010">
            <v>236.01562999999999</v>
          </cell>
        </row>
        <row r="1011">
          <cell r="B1011" t="str">
            <v>V17551-PIND-0111-04</v>
          </cell>
          <cell r="C1011" t="str">
            <v>PROD/25-26/08113</v>
          </cell>
          <cell r="D1011" t="str">
            <v/>
          </cell>
          <cell r="E1011" t="str">
            <v>TJ/25-26/184-CS</v>
          </cell>
          <cell r="F1011" t="str">
            <v>P5,P1</v>
          </cell>
          <cell r="G1011">
            <v>0</v>
          </cell>
          <cell r="H1011">
            <v>4</v>
          </cell>
          <cell r="I1011" t="str">
            <v>Yes</v>
          </cell>
          <cell r="J1011" t="str">
            <v/>
          </cell>
          <cell r="K1011" t="str">
            <v>No</v>
          </cell>
          <cell r="L1011" t="str">
            <v/>
          </cell>
          <cell r="M1011" t="str">
            <v/>
          </cell>
          <cell r="N1011" t="str">
            <v>Spool</v>
          </cell>
          <cell r="O1011">
            <v>0</v>
          </cell>
          <cell r="P1011">
            <v>0</v>
          </cell>
          <cell r="Q1011" t="str">
            <v>CS</v>
          </cell>
          <cell r="R1011">
            <v>1</v>
          </cell>
          <cell r="S1011">
            <v>1</v>
          </cell>
          <cell r="T1011">
            <v>253.52223273600001</v>
          </cell>
          <cell r="U1011">
            <v>253.52223273600001</v>
          </cell>
        </row>
        <row r="1012">
          <cell r="B1012" t="str">
            <v>V17551-PIND-0112-04</v>
          </cell>
          <cell r="C1012" t="str">
            <v>PROD/25-26/07444</v>
          </cell>
          <cell r="D1012" t="str">
            <v>S-5157</v>
          </cell>
          <cell r="E1012" t="str">
            <v>TJ/25-26/184-CS</v>
          </cell>
          <cell r="F1012" t="str">
            <v>P5</v>
          </cell>
          <cell r="G1012">
            <v>0</v>
          </cell>
          <cell r="H1012">
            <v>4</v>
          </cell>
          <cell r="I1012" t="str">
            <v>Yes</v>
          </cell>
          <cell r="J1012" t="str">
            <v/>
          </cell>
          <cell r="K1012" t="str">
            <v>No</v>
          </cell>
          <cell r="L1012" t="str">
            <v/>
          </cell>
          <cell r="M1012" t="str">
            <v/>
          </cell>
          <cell r="N1012" t="str">
            <v>Spool</v>
          </cell>
          <cell r="O1012">
            <v>0</v>
          </cell>
          <cell r="P1012">
            <v>0</v>
          </cell>
          <cell r="Q1012" t="str">
            <v>CS</v>
          </cell>
          <cell r="R1012">
            <v>1</v>
          </cell>
          <cell r="S1012">
            <v>1</v>
          </cell>
          <cell r="T1012">
            <v>92.688760000000002</v>
          </cell>
          <cell r="U1012">
            <v>92.688760000000002</v>
          </cell>
        </row>
        <row r="1013">
          <cell r="B1013" t="str">
            <v>V17551-PIND-0113-08</v>
          </cell>
          <cell r="C1013" t="str">
            <v>PROD/25-26/07445</v>
          </cell>
          <cell r="D1013" t="str">
            <v>S-5161</v>
          </cell>
          <cell r="E1013" t="str">
            <v>TJ/25-26/184-CS</v>
          </cell>
          <cell r="F1013" t="str">
            <v>P5,P1</v>
          </cell>
          <cell r="G1013">
            <v>0</v>
          </cell>
          <cell r="H1013">
            <v>4</v>
          </cell>
          <cell r="I1013" t="str">
            <v>Yes</v>
          </cell>
          <cell r="J1013" t="str">
            <v/>
          </cell>
          <cell r="K1013" t="str">
            <v>No</v>
          </cell>
          <cell r="L1013" t="str">
            <v/>
          </cell>
          <cell r="M1013" t="str">
            <v/>
          </cell>
          <cell r="N1013" t="str">
            <v>Spool</v>
          </cell>
          <cell r="O1013">
            <v>0</v>
          </cell>
          <cell r="P1013">
            <v>0</v>
          </cell>
          <cell r="Q1013" t="str">
            <v>CS</v>
          </cell>
          <cell r="R1013">
            <v>1</v>
          </cell>
          <cell r="S1013">
            <v>1</v>
          </cell>
          <cell r="T1013">
            <v>147.296300608</v>
          </cell>
          <cell r="U1013">
            <v>147.296300608</v>
          </cell>
        </row>
        <row r="1014">
          <cell r="B1014" t="str">
            <v>V17551-PIND-0114-12</v>
          </cell>
          <cell r="C1014" t="str">
            <v>PROD/25-26/07446</v>
          </cell>
          <cell r="D1014" t="str">
            <v>S-5165</v>
          </cell>
          <cell r="E1014" t="str">
            <v>TJ/25-26/184-CS</v>
          </cell>
          <cell r="F1014" t="str">
            <v>P5,P1</v>
          </cell>
          <cell r="G1014">
            <v>0</v>
          </cell>
          <cell r="H1014">
            <v>4</v>
          </cell>
          <cell r="I1014" t="str">
            <v>Yes</v>
          </cell>
          <cell r="J1014" t="str">
            <v/>
          </cell>
          <cell r="K1014" t="str">
            <v>No</v>
          </cell>
          <cell r="L1014" t="str">
            <v/>
          </cell>
          <cell r="M1014" t="str">
            <v/>
          </cell>
          <cell r="N1014" t="str">
            <v>Spool</v>
          </cell>
          <cell r="O1014">
            <v>0</v>
          </cell>
          <cell r="P1014">
            <v>0</v>
          </cell>
          <cell r="Q1014" t="str">
            <v>CS</v>
          </cell>
          <cell r="R1014">
            <v>1</v>
          </cell>
          <cell r="S1014">
            <v>1</v>
          </cell>
          <cell r="T1014">
            <v>144.413780608</v>
          </cell>
          <cell r="U1014">
            <v>144.413780608</v>
          </cell>
        </row>
        <row r="1015">
          <cell r="B1015" t="str">
            <v>V17551-PIND-0115-16</v>
          </cell>
          <cell r="C1015" t="str">
            <v>PROD/25-26/07447</v>
          </cell>
          <cell r="D1015" t="str">
            <v>S-5169</v>
          </cell>
          <cell r="E1015" t="str">
            <v>TJ/25-26/184-CS</v>
          </cell>
          <cell r="F1015" t="str">
            <v>P5,P1</v>
          </cell>
          <cell r="G1015">
            <v>0</v>
          </cell>
          <cell r="H1015">
            <v>4</v>
          </cell>
          <cell r="I1015" t="str">
            <v>Yes</v>
          </cell>
          <cell r="J1015" t="str">
            <v/>
          </cell>
          <cell r="K1015" t="str">
            <v>No</v>
          </cell>
          <cell r="L1015" t="str">
            <v/>
          </cell>
          <cell r="M1015" t="str">
            <v/>
          </cell>
          <cell r="N1015" t="str">
            <v>Spool</v>
          </cell>
          <cell r="O1015">
            <v>0</v>
          </cell>
          <cell r="P1015">
            <v>0</v>
          </cell>
          <cell r="Q1015" t="str">
            <v>CS</v>
          </cell>
          <cell r="R1015">
            <v>1</v>
          </cell>
          <cell r="S1015">
            <v>1</v>
          </cell>
          <cell r="T1015">
            <v>141.531260608</v>
          </cell>
          <cell r="U1015">
            <v>141.531260608</v>
          </cell>
        </row>
        <row r="1016">
          <cell r="B1016" t="str">
            <v>V17551-PIND-0116-20</v>
          </cell>
          <cell r="C1016" t="str">
            <v>PROD/25-26/07448</v>
          </cell>
          <cell r="D1016" t="str">
            <v>S-5173</v>
          </cell>
          <cell r="E1016" t="str">
            <v>TJ/25-26/184-CS</v>
          </cell>
          <cell r="F1016" t="str">
            <v>P5,P1</v>
          </cell>
          <cell r="G1016">
            <v>0</v>
          </cell>
          <cell r="H1016">
            <v>4</v>
          </cell>
          <cell r="I1016" t="str">
            <v>Yes</v>
          </cell>
          <cell r="J1016" t="str">
            <v/>
          </cell>
          <cell r="K1016" t="str">
            <v>No</v>
          </cell>
          <cell r="L1016" t="str">
            <v/>
          </cell>
          <cell r="M1016" t="str">
            <v/>
          </cell>
          <cell r="N1016" t="str">
            <v>Spool</v>
          </cell>
          <cell r="O1016">
            <v>0</v>
          </cell>
          <cell r="P1016">
            <v>0</v>
          </cell>
          <cell r="Q1016" t="str">
            <v>CS</v>
          </cell>
          <cell r="R1016">
            <v>1</v>
          </cell>
          <cell r="S1016">
            <v>1</v>
          </cell>
          <cell r="T1016">
            <v>138.67700060799999</v>
          </cell>
          <cell r="U1016">
            <v>138.67700060799999</v>
          </cell>
        </row>
        <row r="1017">
          <cell r="B1017" t="str">
            <v>V17551-PIND-0117-24</v>
          </cell>
          <cell r="C1017" t="str">
            <v>PROD/25-26/07449</v>
          </cell>
          <cell r="D1017" t="str">
            <v>S-5177</v>
          </cell>
          <cell r="E1017" t="str">
            <v>TJ/25-26/184-CS</v>
          </cell>
          <cell r="F1017" t="str">
            <v>P5,P1</v>
          </cell>
          <cell r="G1017">
            <v>0</v>
          </cell>
          <cell r="H1017">
            <v>4</v>
          </cell>
          <cell r="I1017" t="str">
            <v>Yes</v>
          </cell>
          <cell r="J1017" t="str">
            <v/>
          </cell>
          <cell r="K1017" t="str">
            <v>No</v>
          </cell>
          <cell r="L1017" t="str">
            <v/>
          </cell>
          <cell r="M1017" t="str">
            <v/>
          </cell>
          <cell r="N1017" t="str">
            <v>Spool</v>
          </cell>
          <cell r="O1017">
            <v>0</v>
          </cell>
          <cell r="P1017">
            <v>0</v>
          </cell>
          <cell r="Q1017" t="str">
            <v>CS</v>
          </cell>
          <cell r="R1017">
            <v>1</v>
          </cell>
          <cell r="S1017">
            <v>1</v>
          </cell>
          <cell r="T1017">
            <v>124.349180608</v>
          </cell>
          <cell r="U1017">
            <v>124.349180608</v>
          </cell>
        </row>
        <row r="1018">
          <cell r="B1018" t="str">
            <v>V17551-PIND-0119-04</v>
          </cell>
          <cell r="C1018" t="str">
            <v>PROD/25-26/08424</v>
          </cell>
          <cell r="D1018" t="str">
            <v/>
          </cell>
          <cell r="E1018" t="str">
            <v>TJ/25-26/184-CS</v>
          </cell>
          <cell r="F1018" t="str">
            <v>P5,P1</v>
          </cell>
          <cell r="G1018">
            <v>0</v>
          </cell>
          <cell r="H1018">
            <v>4</v>
          </cell>
          <cell r="I1018" t="str">
            <v>Yes</v>
          </cell>
          <cell r="J1018" t="str">
            <v/>
          </cell>
          <cell r="K1018" t="str">
            <v>No</v>
          </cell>
          <cell r="L1018" t="str">
            <v/>
          </cell>
          <cell r="M1018" t="str">
            <v/>
          </cell>
          <cell r="N1018" t="str">
            <v>Spool</v>
          </cell>
          <cell r="O1018">
            <v>0</v>
          </cell>
          <cell r="P1018">
            <v>0</v>
          </cell>
          <cell r="Q1018" t="str">
            <v>CS</v>
          </cell>
          <cell r="R1018">
            <v>1</v>
          </cell>
          <cell r="S1018">
            <v>1</v>
          </cell>
          <cell r="T1018">
            <v>1105.1112000000001</v>
          </cell>
          <cell r="U1018">
            <v>1105.1112000000001</v>
          </cell>
        </row>
        <row r="1019">
          <cell r="B1019" t="str">
            <v>V17551-PIND-0121-04</v>
          </cell>
          <cell r="C1019" t="str">
            <v>PROD/25-26/08092</v>
          </cell>
          <cell r="D1019" t="str">
            <v/>
          </cell>
          <cell r="E1019" t="str">
            <v>TJ/25-26/184-CS</v>
          </cell>
          <cell r="F1019" t="str">
            <v>P5</v>
          </cell>
          <cell r="G1019">
            <v>0</v>
          </cell>
          <cell r="H1019">
            <v>4</v>
          </cell>
          <cell r="I1019" t="str">
            <v>Yes</v>
          </cell>
          <cell r="J1019" t="str">
            <v/>
          </cell>
          <cell r="K1019" t="str">
            <v>No</v>
          </cell>
          <cell r="L1019" t="str">
            <v/>
          </cell>
          <cell r="M1019" t="str">
            <v/>
          </cell>
          <cell r="N1019" t="str">
            <v>Spool</v>
          </cell>
          <cell r="O1019">
            <v>0</v>
          </cell>
          <cell r="P1019">
            <v>0</v>
          </cell>
          <cell r="Q1019" t="str">
            <v>CS</v>
          </cell>
          <cell r="R1019">
            <v>1</v>
          </cell>
          <cell r="S1019">
            <v>1</v>
          </cell>
          <cell r="T1019">
            <v>431.47595999999999</v>
          </cell>
          <cell r="U1019">
            <v>431.47595999999999</v>
          </cell>
        </row>
        <row r="1020">
          <cell r="B1020" t="str">
            <v>V17551-PIND-0123-04</v>
          </cell>
          <cell r="C1020" t="str">
            <v>PROD/25-26/12809</v>
          </cell>
          <cell r="D1020" t="str">
            <v/>
          </cell>
          <cell r="E1020" t="str">
            <v>TJ/25-26/184-CS</v>
          </cell>
          <cell r="F1020" t="str">
            <v>P5,P1</v>
          </cell>
          <cell r="G1020">
            <v>0</v>
          </cell>
          <cell r="H1020">
            <v>4</v>
          </cell>
          <cell r="I1020" t="str">
            <v>Yes</v>
          </cell>
          <cell r="J1020" t="str">
            <v/>
          </cell>
          <cell r="K1020" t="str">
            <v>No</v>
          </cell>
          <cell r="L1020" t="str">
            <v/>
          </cell>
          <cell r="M1020" t="str">
            <v/>
          </cell>
          <cell r="N1020" t="str">
            <v>Spool</v>
          </cell>
          <cell r="O1020">
            <v>0</v>
          </cell>
          <cell r="P1020">
            <v>0</v>
          </cell>
          <cell r="Q1020" t="str">
            <v>CS</v>
          </cell>
          <cell r="R1020">
            <v>1</v>
          </cell>
          <cell r="S1020">
            <v>1</v>
          </cell>
          <cell r="T1020">
            <v>1206.9209027679999</v>
          </cell>
          <cell r="U1020">
            <v>1206.9209027679999</v>
          </cell>
        </row>
        <row r="1021">
          <cell r="B1021" t="str">
            <v>V17551-PIND-0125-L15</v>
          </cell>
          <cell r="C1021" t="str">
            <v>PROD/25-26/08662</v>
          </cell>
          <cell r="D1021" t="str">
            <v/>
          </cell>
          <cell r="E1021" t="str">
            <v>TJ/25-26/184-CS</v>
          </cell>
          <cell r="F1021" t="str">
            <v>P5</v>
          </cell>
          <cell r="G1021">
            <v>0</v>
          </cell>
          <cell r="H1021">
            <v>4</v>
          </cell>
          <cell r="I1021" t="str">
            <v>No</v>
          </cell>
          <cell r="J1021" t="str">
            <v/>
          </cell>
          <cell r="K1021" t="str">
            <v>No</v>
          </cell>
          <cell r="L1021" t="str">
            <v/>
          </cell>
          <cell r="M1021" t="str">
            <v/>
          </cell>
          <cell r="N1021" t="str">
            <v>Spool</v>
          </cell>
          <cell r="O1021">
            <v>0</v>
          </cell>
          <cell r="P1021">
            <v>0</v>
          </cell>
          <cell r="Q1021" t="str">
            <v>CS</v>
          </cell>
          <cell r="R1021">
            <v>1</v>
          </cell>
          <cell r="S1021">
            <v>1</v>
          </cell>
          <cell r="T1021">
            <v>18.61</v>
          </cell>
          <cell r="U1021">
            <v>18.61</v>
          </cell>
        </row>
        <row r="1022">
          <cell r="B1022" t="str">
            <v>V17551-PIND-0126-04</v>
          </cell>
          <cell r="C1022" t="str">
            <v>PROD/25-26/08663</v>
          </cell>
          <cell r="D1022" t="str">
            <v>S-5187</v>
          </cell>
          <cell r="E1022" t="str">
            <v>TJ/25-26/184-CS</v>
          </cell>
          <cell r="F1022" t="str">
            <v>P1,P1</v>
          </cell>
          <cell r="G1022">
            <v>0</v>
          </cell>
          <cell r="H1022">
            <v>4</v>
          </cell>
          <cell r="I1022" t="str">
            <v>Yes</v>
          </cell>
          <cell r="J1022" t="str">
            <v/>
          </cell>
          <cell r="K1022" t="str">
            <v>No</v>
          </cell>
          <cell r="L1022" t="str">
            <v/>
          </cell>
          <cell r="M1022" t="str">
            <v/>
          </cell>
          <cell r="N1022" t="str">
            <v>Spool</v>
          </cell>
          <cell r="O1022">
            <v>0</v>
          </cell>
          <cell r="P1022">
            <v>0</v>
          </cell>
          <cell r="Q1022" t="str">
            <v>CS</v>
          </cell>
          <cell r="R1022">
            <v>1</v>
          </cell>
          <cell r="S1022">
            <v>1</v>
          </cell>
          <cell r="T1022">
            <v>1202.8944806080001</v>
          </cell>
          <cell r="U1022">
            <v>1202.8944806080001</v>
          </cell>
        </row>
        <row r="1023">
          <cell r="B1023" t="str">
            <v>V17551-PIND-0128-04</v>
          </cell>
          <cell r="C1023" t="str">
            <v>PROD/25-26/08427</v>
          </cell>
          <cell r="D1023" t="str">
            <v>S-5191</v>
          </cell>
          <cell r="E1023" t="str">
            <v>TJ/25-26/184-CS</v>
          </cell>
          <cell r="F1023" t="str">
            <v>P1</v>
          </cell>
          <cell r="G1023">
            <v>0</v>
          </cell>
          <cell r="H1023">
            <v>4</v>
          </cell>
          <cell r="I1023" t="str">
            <v>Yes</v>
          </cell>
          <cell r="J1023" t="str">
            <v/>
          </cell>
          <cell r="K1023" t="str">
            <v>No</v>
          </cell>
          <cell r="L1023" t="str">
            <v/>
          </cell>
          <cell r="M1023" t="str">
            <v/>
          </cell>
          <cell r="N1023" t="str">
            <v>Spool</v>
          </cell>
          <cell r="O1023">
            <v>0</v>
          </cell>
          <cell r="P1023">
            <v>0</v>
          </cell>
          <cell r="Q1023" t="str">
            <v>CS</v>
          </cell>
          <cell r="R1023">
            <v>1</v>
          </cell>
          <cell r="S1023">
            <v>1</v>
          </cell>
          <cell r="T1023">
            <v>251.26642215999999</v>
          </cell>
          <cell r="U1023">
            <v>251.26642215999999</v>
          </cell>
        </row>
        <row r="1024">
          <cell r="B1024" t="str">
            <v>V17551-PIND-0129-04</v>
          </cell>
          <cell r="C1024" t="str">
            <v>PROD/25-26/08428</v>
          </cell>
          <cell r="D1024" t="str">
            <v>S-5198</v>
          </cell>
          <cell r="E1024" t="str">
            <v>TJ/25-26/184-CS</v>
          </cell>
          <cell r="F1024" t="str">
            <v>P5,P1</v>
          </cell>
          <cell r="G1024">
            <v>0</v>
          </cell>
          <cell r="H1024">
            <v>4</v>
          </cell>
          <cell r="I1024" t="str">
            <v>Yes</v>
          </cell>
          <cell r="J1024" t="str">
            <v/>
          </cell>
          <cell r="K1024" t="str">
            <v>No</v>
          </cell>
          <cell r="L1024" t="str">
            <v/>
          </cell>
          <cell r="M1024" t="str">
            <v/>
          </cell>
          <cell r="N1024" t="str">
            <v>Spool</v>
          </cell>
          <cell r="O1024">
            <v>0</v>
          </cell>
          <cell r="P1024">
            <v>0</v>
          </cell>
          <cell r="Q1024" t="str">
            <v>CS</v>
          </cell>
          <cell r="R1024">
            <v>1</v>
          </cell>
          <cell r="S1024">
            <v>1</v>
          </cell>
          <cell r="T1024">
            <v>352.87389936</v>
          </cell>
          <cell r="U1024">
            <v>352.87389936</v>
          </cell>
        </row>
        <row r="1025">
          <cell r="B1025" t="str">
            <v>V17551-PIND-0130-04</v>
          </cell>
          <cell r="C1025" t="str">
            <v>PROD/25-26/08429</v>
          </cell>
          <cell r="D1025" t="str">
            <v/>
          </cell>
          <cell r="E1025" t="str">
            <v>TJ/25-26/184-CS</v>
          </cell>
          <cell r="F1025" t="str">
            <v>P5</v>
          </cell>
          <cell r="G1025">
            <v>0</v>
          </cell>
          <cell r="H1025">
            <v>4</v>
          </cell>
          <cell r="I1025" t="str">
            <v>Yes</v>
          </cell>
          <cell r="J1025" t="str">
            <v/>
          </cell>
          <cell r="K1025" t="str">
            <v>No</v>
          </cell>
          <cell r="L1025" t="str">
            <v/>
          </cell>
          <cell r="M1025" t="str">
            <v/>
          </cell>
          <cell r="N1025" t="str">
            <v>Spool</v>
          </cell>
          <cell r="O1025">
            <v>0</v>
          </cell>
          <cell r="P1025">
            <v>0</v>
          </cell>
          <cell r="Q1025" t="str">
            <v>CS</v>
          </cell>
          <cell r="R1025">
            <v>1</v>
          </cell>
          <cell r="S1025">
            <v>1</v>
          </cell>
          <cell r="T1025">
            <v>132.21709999999999</v>
          </cell>
          <cell r="U1025">
            <v>132.21709999999999</v>
          </cell>
        </row>
        <row r="1026">
          <cell r="B1026" t="str">
            <v>V17551-PIND-0134-04</v>
          </cell>
          <cell r="C1026" t="str">
            <v>PROD/25-26/12810</v>
          </cell>
          <cell r="D1026" t="str">
            <v/>
          </cell>
          <cell r="E1026" t="str">
            <v>TJ/25-26/184-CS</v>
          </cell>
          <cell r="F1026" t="str">
            <v/>
          </cell>
          <cell r="G1026">
            <v>0</v>
          </cell>
          <cell r="H1026">
            <v>4</v>
          </cell>
          <cell r="I1026" t="str">
            <v>No</v>
          </cell>
          <cell r="J1026" t="str">
            <v/>
          </cell>
          <cell r="K1026" t="str">
            <v>No</v>
          </cell>
          <cell r="L1026" t="str">
            <v/>
          </cell>
          <cell r="M1026" t="str">
            <v/>
          </cell>
          <cell r="N1026" t="str">
            <v>Spool</v>
          </cell>
          <cell r="O1026">
            <v>0</v>
          </cell>
          <cell r="P1026">
            <v>0</v>
          </cell>
          <cell r="Q1026" t="str">
            <v>CS</v>
          </cell>
          <cell r="R1026">
            <v>1</v>
          </cell>
          <cell r="S1026">
            <v>1</v>
          </cell>
          <cell r="T1026">
            <v>11.02608</v>
          </cell>
          <cell r="U1026">
            <v>11.02608</v>
          </cell>
        </row>
        <row r="1027">
          <cell r="B1027" t="str">
            <v>V17551-PIND-0136-04</v>
          </cell>
          <cell r="C1027" t="str">
            <v>PROD/25-26/13028</v>
          </cell>
          <cell r="D1027" t="str">
            <v/>
          </cell>
          <cell r="E1027" t="str">
            <v>TJ/25-26/184-P22</v>
          </cell>
          <cell r="F1027" t="str">
            <v>P5</v>
          </cell>
          <cell r="G1027">
            <v>0</v>
          </cell>
          <cell r="H1027">
            <v>4</v>
          </cell>
          <cell r="I1027" t="str">
            <v>No</v>
          </cell>
          <cell r="J1027" t="str">
            <v/>
          </cell>
          <cell r="K1027" t="str">
            <v>No</v>
          </cell>
          <cell r="L1027" t="str">
            <v/>
          </cell>
          <cell r="M1027" t="str">
            <v/>
          </cell>
          <cell r="N1027" t="str">
            <v>Spool</v>
          </cell>
          <cell r="O1027">
            <v>0</v>
          </cell>
          <cell r="P1027">
            <v>0</v>
          </cell>
          <cell r="Q1027" t="str">
            <v>P22</v>
          </cell>
          <cell r="R1027">
            <v>1</v>
          </cell>
          <cell r="S1027">
            <v>1</v>
          </cell>
          <cell r="T1027">
            <v>82.990250000000003</v>
          </cell>
          <cell r="U1027">
            <v>82.990250000000003</v>
          </cell>
        </row>
        <row r="1028">
          <cell r="B1028" t="str">
            <v>V17551-PIND-0139-04</v>
          </cell>
          <cell r="C1028" t="str">
            <v>PROD/25-26/12814</v>
          </cell>
          <cell r="D1028" t="str">
            <v>S - 5242</v>
          </cell>
          <cell r="E1028" t="str">
            <v>TJ/25-26/184-P22</v>
          </cell>
          <cell r="F1028" t="str">
            <v>P5,P1</v>
          </cell>
          <cell r="G1028">
            <v>0</v>
          </cell>
          <cell r="H1028">
            <v>4</v>
          </cell>
          <cell r="I1028" t="str">
            <v>No</v>
          </cell>
          <cell r="J1028" t="str">
            <v/>
          </cell>
          <cell r="K1028" t="str">
            <v>No</v>
          </cell>
          <cell r="L1028" t="str">
            <v/>
          </cell>
          <cell r="M1028" t="str">
            <v/>
          </cell>
          <cell r="N1028" t="str">
            <v>Spool</v>
          </cell>
          <cell r="O1028">
            <v>0</v>
          </cell>
          <cell r="P1028">
            <v>0</v>
          </cell>
          <cell r="Q1028" t="str">
            <v>P22</v>
          </cell>
          <cell r="R1028">
            <v>1</v>
          </cell>
          <cell r="S1028">
            <v>1</v>
          </cell>
          <cell r="T1028">
            <v>3282.0009580599999</v>
          </cell>
          <cell r="U1028">
            <v>3282.0009580599999</v>
          </cell>
        </row>
        <row r="1029">
          <cell r="B1029" t="str">
            <v>V17551-PIND-0140-04</v>
          </cell>
          <cell r="C1029" t="str">
            <v>PROD/25-26/06823</v>
          </cell>
          <cell r="D1029" t="str">
            <v/>
          </cell>
          <cell r="E1029" t="str">
            <v>TJ/25-26/184-P22</v>
          </cell>
          <cell r="F1029" t="str">
            <v>P5</v>
          </cell>
          <cell r="G1029">
            <v>0</v>
          </cell>
          <cell r="H1029">
            <v>4</v>
          </cell>
          <cell r="I1029" t="str">
            <v>Yes</v>
          </cell>
          <cell r="J1029" t="str">
            <v/>
          </cell>
          <cell r="K1029" t="str">
            <v>No</v>
          </cell>
          <cell r="L1029" t="str">
            <v/>
          </cell>
          <cell r="M1029" t="str">
            <v/>
          </cell>
          <cell r="N1029" t="str">
            <v>Spool</v>
          </cell>
          <cell r="O1029">
            <v>0</v>
          </cell>
          <cell r="P1029">
            <v>0</v>
          </cell>
          <cell r="Q1029" t="str">
            <v>P22</v>
          </cell>
          <cell r="R1029">
            <v>1</v>
          </cell>
          <cell r="S1029">
            <v>1</v>
          </cell>
          <cell r="T1029">
            <v>236.36474999999999</v>
          </cell>
          <cell r="U1029">
            <v>236.36474999999999</v>
          </cell>
        </row>
        <row r="1030">
          <cell r="B1030" t="str">
            <v>V17551-PIND-0141-04</v>
          </cell>
          <cell r="C1030" t="str">
            <v>PROD/25-26/13027</v>
          </cell>
          <cell r="D1030" t="str">
            <v/>
          </cell>
          <cell r="E1030" t="str">
            <v>TJ/25-26/184-P22</v>
          </cell>
          <cell r="F1030" t="str">
            <v>P5</v>
          </cell>
          <cell r="G1030">
            <v>0</v>
          </cell>
          <cell r="H1030">
            <v>4</v>
          </cell>
          <cell r="I1030" t="str">
            <v>No</v>
          </cell>
          <cell r="J1030" t="str">
            <v/>
          </cell>
          <cell r="K1030" t="str">
            <v>No</v>
          </cell>
          <cell r="L1030" t="str">
            <v/>
          </cell>
          <cell r="M1030" t="str">
            <v/>
          </cell>
          <cell r="N1030" t="str">
            <v>Spool</v>
          </cell>
          <cell r="O1030">
            <v>0</v>
          </cell>
          <cell r="P1030">
            <v>0</v>
          </cell>
          <cell r="Q1030" t="str">
            <v>P91</v>
          </cell>
          <cell r="R1030">
            <v>1</v>
          </cell>
          <cell r="S1030">
            <v>1</v>
          </cell>
          <cell r="T1030">
            <v>153.87413000000001</v>
          </cell>
          <cell r="U1030">
            <v>153.87413000000001</v>
          </cell>
        </row>
        <row r="1031">
          <cell r="B1031" t="str">
            <v>V17551-PIND-0143-04</v>
          </cell>
          <cell r="C1031" t="str">
            <v>PROD/25-26/06646</v>
          </cell>
          <cell r="D1031" t="str">
            <v/>
          </cell>
          <cell r="E1031" t="str">
            <v>TJ/25-26/184-CS</v>
          </cell>
          <cell r="F1031" t="str">
            <v>P1</v>
          </cell>
          <cell r="G1031">
            <v>0</v>
          </cell>
          <cell r="H1031">
            <v>4</v>
          </cell>
          <cell r="I1031" t="str">
            <v>Yes</v>
          </cell>
          <cell r="J1031" t="str">
            <v/>
          </cell>
          <cell r="K1031" t="str">
            <v>No</v>
          </cell>
          <cell r="L1031" t="str">
            <v/>
          </cell>
          <cell r="M1031" t="str">
            <v/>
          </cell>
          <cell r="N1031" t="str">
            <v>Spool</v>
          </cell>
          <cell r="O1031">
            <v>0</v>
          </cell>
          <cell r="P1031">
            <v>0</v>
          </cell>
          <cell r="Q1031" t="str">
            <v>CS</v>
          </cell>
          <cell r="R1031">
            <v>1</v>
          </cell>
          <cell r="S1031">
            <v>1</v>
          </cell>
          <cell r="T1031">
            <v>344.03658000000001</v>
          </cell>
          <cell r="U1031">
            <v>344.03658000000001</v>
          </cell>
        </row>
        <row r="1032">
          <cell r="B1032" t="str">
            <v>V17551-PIND-0144-04</v>
          </cell>
          <cell r="C1032" t="str">
            <v>PROD/25-26/08114</v>
          </cell>
          <cell r="D1032" t="str">
            <v/>
          </cell>
          <cell r="E1032" t="str">
            <v>TJ/25-26/184-CS</v>
          </cell>
          <cell r="F1032" t="str">
            <v>P1,P1</v>
          </cell>
          <cell r="G1032">
            <v>0</v>
          </cell>
          <cell r="H1032">
            <v>4</v>
          </cell>
          <cell r="I1032" t="str">
            <v>Yes</v>
          </cell>
          <cell r="J1032" t="str">
            <v/>
          </cell>
          <cell r="K1032" t="str">
            <v>No</v>
          </cell>
          <cell r="L1032" t="str">
            <v/>
          </cell>
          <cell r="M1032" t="str">
            <v/>
          </cell>
          <cell r="N1032" t="str">
            <v>Spool</v>
          </cell>
          <cell r="O1032">
            <v>0</v>
          </cell>
          <cell r="P1032">
            <v>0</v>
          </cell>
          <cell r="Q1032" t="str">
            <v>CS</v>
          </cell>
          <cell r="R1032">
            <v>1</v>
          </cell>
          <cell r="S1032">
            <v>1</v>
          </cell>
          <cell r="T1032">
            <v>194.61141659200001</v>
          </cell>
          <cell r="U1032">
            <v>194.61141659200001</v>
          </cell>
        </row>
        <row r="1033">
          <cell r="B1033" t="str">
            <v>V17551-PIND-0145-04</v>
          </cell>
          <cell r="C1033" t="str">
            <v>PROD/25-26/08432</v>
          </cell>
          <cell r="D1033" t="str">
            <v/>
          </cell>
          <cell r="E1033" t="str">
            <v>TJ/25-26/184-CS</v>
          </cell>
          <cell r="F1033" t="str">
            <v>P1</v>
          </cell>
          <cell r="G1033">
            <v>0</v>
          </cell>
          <cell r="H1033">
            <v>4</v>
          </cell>
          <cell r="I1033" t="str">
            <v>Yes</v>
          </cell>
          <cell r="J1033" t="str">
            <v/>
          </cell>
          <cell r="K1033" t="str">
            <v>No</v>
          </cell>
          <cell r="L1033" t="str">
            <v/>
          </cell>
          <cell r="M1033" t="str">
            <v/>
          </cell>
          <cell r="N1033" t="str">
            <v>Spool</v>
          </cell>
          <cell r="O1033">
            <v>0</v>
          </cell>
          <cell r="P1033">
            <v>0</v>
          </cell>
          <cell r="Q1033" t="str">
            <v>CS</v>
          </cell>
          <cell r="R1033">
            <v>1</v>
          </cell>
          <cell r="S1033">
            <v>1</v>
          </cell>
          <cell r="T1033">
            <v>330.80998</v>
          </cell>
          <cell r="U1033">
            <v>330.80998</v>
          </cell>
        </row>
        <row r="1034">
          <cell r="B1034" t="str">
            <v>V17551-PIND-0147-05</v>
          </cell>
          <cell r="C1034" t="str">
            <v>PROD/25-26/08434</v>
          </cell>
          <cell r="D1034" t="str">
            <v>S-5224</v>
          </cell>
          <cell r="E1034" t="str">
            <v>TJ/25-26/184-CS</v>
          </cell>
          <cell r="F1034" t="str">
            <v>P5,P1</v>
          </cell>
          <cell r="G1034">
            <v>0</v>
          </cell>
          <cell r="H1034">
            <v>4</v>
          </cell>
          <cell r="I1034" t="str">
            <v>Yes</v>
          </cell>
          <cell r="J1034" t="str">
            <v/>
          </cell>
          <cell r="K1034" t="str">
            <v>No</v>
          </cell>
          <cell r="L1034" t="str">
            <v/>
          </cell>
          <cell r="M1034" t="str">
            <v/>
          </cell>
          <cell r="N1034" t="str">
            <v>Spool</v>
          </cell>
          <cell r="O1034">
            <v>0</v>
          </cell>
          <cell r="P1034">
            <v>0</v>
          </cell>
          <cell r="Q1034" t="str">
            <v>CS</v>
          </cell>
          <cell r="R1034">
            <v>1</v>
          </cell>
          <cell r="S1034">
            <v>1</v>
          </cell>
          <cell r="T1034">
            <v>268.74160983199999</v>
          </cell>
          <cell r="U1034">
            <v>268.74160983199999</v>
          </cell>
        </row>
        <row r="1035">
          <cell r="B1035" t="str">
            <v>V17551-PIND-0148-04</v>
          </cell>
          <cell r="C1035" t="str">
            <v>PROD/25-26/08435</v>
          </cell>
          <cell r="D1035" t="str">
            <v/>
          </cell>
          <cell r="E1035" t="str">
            <v>TJ/25-26/184-CS</v>
          </cell>
          <cell r="F1035" t="str">
            <v>P5,P1</v>
          </cell>
          <cell r="G1035">
            <v>0</v>
          </cell>
          <cell r="H1035">
            <v>4</v>
          </cell>
          <cell r="I1035" t="str">
            <v>Yes</v>
          </cell>
          <cell r="J1035" t="str">
            <v/>
          </cell>
          <cell r="K1035" t="str">
            <v>No</v>
          </cell>
          <cell r="L1035" t="str">
            <v/>
          </cell>
          <cell r="M1035" t="str">
            <v/>
          </cell>
          <cell r="N1035" t="str">
            <v>Spool</v>
          </cell>
          <cell r="O1035">
            <v>0</v>
          </cell>
          <cell r="P1035">
            <v>0</v>
          </cell>
          <cell r="Q1035" t="str">
            <v>CS</v>
          </cell>
          <cell r="R1035">
            <v>1</v>
          </cell>
          <cell r="S1035">
            <v>1</v>
          </cell>
          <cell r="T1035">
            <v>73.557316592000006</v>
          </cell>
          <cell r="U1035">
            <v>73.557316592000006</v>
          </cell>
        </row>
        <row r="1036">
          <cell r="B1036" t="str">
            <v>V17551-PIND-0149-04</v>
          </cell>
          <cell r="C1036" t="str">
            <v>PROD/25-26/08436</v>
          </cell>
          <cell r="D1036" t="str">
            <v/>
          </cell>
          <cell r="E1036" t="str">
            <v>TJ/25-26/184-CS</v>
          </cell>
          <cell r="F1036" t="str">
            <v>P5,P1</v>
          </cell>
          <cell r="G1036">
            <v>0</v>
          </cell>
          <cell r="H1036">
            <v>4</v>
          </cell>
          <cell r="I1036" t="str">
            <v>Yes</v>
          </cell>
          <cell r="J1036" t="str">
            <v/>
          </cell>
          <cell r="K1036" t="str">
            <v>No</v>
          </cell>
          <cell r="L1036" t="str">
            <v/>
          </cell>
          <cell r="M1036" t="str">
            <v/>
          </cell>
          <cell r="N1036" t="str">
            <v>Spool</v>
          </cell>
          <cell r="O1036">
            <v>0</v>
          </cell>
          <cell r="P1036">
            <v>0</v>
          </cell>
          <cell r="Q1036" t="str">
            <v>CS</v>
          </cell>
          <cell r="R1036">
            <v>1</v>
          </cell>
          <cell r="S1036">
            <v>1</v>
          </cell>
          <cell r="T1036">
            <v>70.412586591999997</v>
          </cell>
          <cell r="U1036">
            <v>70.412586591999997</v>
          </cell>
        </row>
        <row r="1037">
          <cell r="B1037" t="str">
            <v>V17551-PIND-0304-04</v>
          </cell>
          <cell r="C1037" t="str">
            <v>PROD/25-26/13719</v>
          </cell>
          <cell r="D1037" t="str">
            <v/>
          </cell>
          <cell r="E1037" t="str">
            <v>TJ/25-26/184-CS</v>
          </cell>
          <cell r="F1037" t="str">
            <v>P1</v>
          </cell>
          <cell r="G1037">
            <v>0</v>
          </cell>
          <cell r="H1037">
            <v>4</v>
          </cell>
          <cell r="I1037" t="str">
            <v>Yes</v>
          </cell>
          <cell r="J1037" t="str">
            <v/>
          </cell>
          <cell r="K1037" t="str">
            <v>No</v>
          </cell>
          <cell r="L1037" t="str">
            <v/>
          </cell>
          <cell r="M1037" t="str">
            <v/>
          </cell>
          <cell r="N1037" t="str">
            <v>Spool</v>
          </cell>
          <cell r="O1037">
            <v>0</v>
          </cell>
          <cell r="P1037">
            <v>0</v>
          </cell>
          <cell r="Q1037" t="str">
            <v>CS</v>
          </cell>
          <cell r="R1037">
            <v>1</v>
          </cell>
          <cell r="S1037">
            <v>1</v>
          </cell>
          <cell r="T1037">
            <v>26.753799999999998</v>
          </cell>
          <cell r="U1037">
            <v>26.753799999999998</v>
          </cell>
        </row>
        <row r="1038">
          <cell r="B1038" t="str">
            <v>V17551-PIND-0305-04</v>
          </cell>
          <cell r="C1038" t="str">
            <v>PROD/25-26/13720</v>
          </cell>
          <cell r="D1038" t="str">
            <v/>
          </cell>
          <cell r="E1038" t="str">
            <v>TJ/25-26/184-CS</v>
          </cell>
          <cell r="F1038" t="str">
            <v>P1</v>
          </cell>
          <cell r="G1038">
            <v>0</v>
          </cell>
          <cell r="H1038">
            <v>4</v>
          </cell>
          <cell r="I1038" t="str">
            <v>Yes</v>
          </cell>
          <cell r="J1038" t="str">
            <v/>
          </cell>
          <cell r="K1038" t="str">
            <v>No</v>
          </cell>
          <cell r="L1038" t="str">
            <v/>
          </cell>
          <cell r="M1038" t="str">
            <v/>
          </cell>
          <cell r="N1038" t="str">
            <v>Spool</v>
          </cell>
          <cell r="O1038">
            <v>0</v>
          </cell>
          <cell r="P1038">
            <v>0</v>
          </cell>
          <cell r="Q1038" t="str">
            <v>CS</v>
          </cell>
          <cell r="R1038">
            <v>1</v>
          </cell>
          <cell r="S1038">
            <v>1</v>
          </cell>
          <cell r="T1038">
            <v>57.059559999999998</v>
          </cell>
          <cell r="U1038">
            <v>57.059559999999998</v>
          </cell>
        </row>
        <row r="1039">
          <cell r="B1039" t="str">
            <v>V17551-PIND-0306-04</v>
          </cell>
          <cell r="C1039" t="str">
            <v>PROD/25-26/13721</v>
          </cell>
          <cell r="D1039" t="str">
            <v/>
          </cell>
          <cell r="E1039" t="str">
            <v>TJ/25-26/184-CS</v>
          </cell>
          <cell r="F1039" t="str">
            <v>P1</v>
          </cell>
          <cell r="G1039">
            <v>0</v>
          </cell>
          <cell r="H1039">
            <v>4</v>
          </cell>
          <cell r="I1039" t="str">
            <v>Yes</v>
          </cell>
          <cell r="J1039" t="str">
            <v/>
          </cell>
          <cell r="K1039" t="str">
            <v>No</v>
          </cell>
          <cell r="L1039" t="str">
            <v/>
          </cell>
          <cell r="M1039" t="str">
            <v/>
          </cell>
          <cell r="N1039" t="str">
            <v>Spool</v>
          </cell>
          <cell r="O1039">
            <v>0</v>
          </cell>
          <cell r="P1039">
            <v>0</v>
          </cell>
          <cell r="Q1039" t="str">
            <v>CS</v>
          </cell>
          <cell r="R1039">
            <v>1</v>
          </cell>
          <cell r="S1039">
            <v>1</v>
          </cell>
          <cell r="T1039">
            <v>12.374980000000001</v>
          </cell>
          <cell r="U1039">
            <v>12.374980000000001</v>
          </cell>
        </row>
        <row r="1040">
          <cell r="B1040" t="str">
            <v>V17551-PIND-0307-04</v>
          </cell>
          <cell r="C1040" t="str">
            <v>PROD/25-26/13722</v>
          </cell>
          <cell r="D1040" t="str">
            <v/>
          </cell>
          <cell r="E1040" t="str">
            <v>TJ/25-26/184-SS</v>
          </cell>
          <cell r="F1040" t="str">
            <v>P1</v>
          </cell>
          <cell r="G1040">
            <v>0</v>
          </cell>
          <cell r="H1040">
            <v>4</v>
          </cell>
          <cell r="I1040" t="str">
            <v>Yes</v>
          </cell>
          <cell r="J1040" t="str">
            <v/>
          </cell>
          <cell r="K1040" t="str">
            <v>No</v>
          </cell>
          <cell r="L1040" t="str">
            <v/>
          </cell>
          <cell r="M1040" t="str">
            <v/>
          </cell>
          <cell r="N1040" t="str">
            <v>Spool</v>
          </cell>
          <cell r="O1040">
            <v>0</v>
          </cell>
          <cell r="P1040">
            <v>0</v>
          </cell>
          <cell r="Q1040" t="str">
            <v>SS</v>
          </cell>
          <cell r="R1040">
            <v>1</v>
          </cell>
          <cell r="S1040">
            <v>1</v>
          </cell>
          <cell r="T1040">
            <v>17.19294</v>
          </cell>
          <cell r="U1040">
            <v>17.19294</v>
          </cell>
        </row>
        <row r="1041">
          <cell r="B1041" t="str">
            <v>V17551-PIND-0314-04</v>
          </cell>
          <cell r="C1041" t="str">
            <v>PROD/25-26/13729</v>
          </cell>
          <cell r="D1041" t="str">
            <v/>
          </cell>
          <cell r="E1041" t="str">
            <v>TJ/25-26/184-CS</v>
          </cell>
          <cell r="F1041" t="str">
            <v>P1</v>
          </cell>
          <cell r="G1041">
            <v>0</v>
          </cell>
          <cell r="H1041">
            <v>4</v>
          </cell>
          <cell r="I1041" t="str">
            <v>Yes</v>
          </cell>
          <cell r="J1041" t="str">
            <v/>
          </cell>
          <cell r="K1041" t="str">
            <v>No</v>
          </cell>
          <cell r="L1041" t="str">
            <v/>
          </cell>
          <cell r="M1041" t="str">
            <v/>
          </cell>
          <cell r="N1041" t="str">
            <v>Spool</v>
          </cell>
          <cell r="O1041">
            <v>0</v>
          </cell>
          <cell r="P1041">
            <v>0</v>
          </cell>
          <cell r="Q1041" t="str">
            <v>CS</v>
          </cell>
          <cell r="R1041">
            <v>1</v>
          </cell>
          <cell r="S1041">
            <v>1</v>
          </cell>
          <cell r="T1041">
            <v>36.741079999999997</v>
          </cell>
          <cell r="U1041">
            <v>36.741079999999997</v>
          </cell>
        </row>
        <row r="1042">
          <cell r="B1042" t="str">
            <v>V17551-PIND-0315-04</v>
          </cell>
          <cell r="C1042" t="str">
            <v>PROD/25-26/13730</v>
          </cell>
          <cell r="D1042" t="str">
            <v/>
          </cell>
          <cell r="E1042" t="str">
            <v>TJ/25-26/184-CS</v>
          </cell>
          <cell r="F1042" t="str">
            <v>P5</v>
          </cell>
          <cell r="G1042">
            <v>0</v>
          </cell>
          <cell r="H1042">
            <v>4</v>
          </cell>
          <cell r="I1042" t="str">
            <v>Yes</v>
          </cell>
          <cell r="J1042" t="str">
            <v/>
          </cell>
          <cell r="K1042" t="str">
            <v>No</v>
          </cell>
          <cell r="L1042" t="str">
            <v/>
          </cell>
          <cell r="M1042" t="str">
            <v/>
          </cell>
          <cell r="N1042" t="str">
            <v>Spool</v>
          </cell>
          <cell r="O1042">
            <v>0</v>
          </cell>
          <cell r="P1042">
            <v>0</v>
          </cell>
          <cell r="Q1042" t="str">
            <v>CS</v>
          </cell>
          <cell r="R1042">
            <v>1</v>
          </cell>
          <cell r="S1042">
            <v>1</v>
          </cell>
          <cell r="T1042">
            <v>59.727760000000004</v>
          </cell>
          <cell r="U1042">
            <v>59.727760000000004</v>
          </cell>
        </row>
        <row r="1043">
          <cell r="B1043" t="str">
            <v>V17551-PIND-0316-04</v>
          </cell>
          <cell r="C1043" t="str">
            <v>PROD/25-26/13731</v>
          </cell>
          <cell r="D1043" t="str">
            <v/>
          </cell>
          <cell r="E1043" t="str">
            <v>TJ/25-26/184-CS</v>
          </cell>
          <cell r="F1043" t="str">
            <v>P5</v>
          </cell>
          <cell r="G1043">
            <v>0</v>
          </cell>
          <cell r="H1043">
            <v>4</v>
          </cell>
          <cell r="I1043" t="str">
            <v>Yes</v>
          </cell>
          <cell r="J1043" t="str">
            <v/>
          </cell>
          <cell r="K1043" t="str">
            <v>No</v>
          </cell>
          <cell r="L1043" t="str">
            <v/>
          </cell>
          <cell r="M1043" t="str">
            <v/>
          </cell>
          <cell r="N1043" t="str">
            <v>Spool</v>
          </cell>
          <cell r="O1043">
            <v>0</v>
          </cell>
          <cell r="P1043">
            <v>0</v>
          </cell>
          <cell r="Q1043" t="str">
            <v>CS</v>
          </cell>
          <cell r="R1043">
            <v>1</v>
          </cell>
          <cell r="S1043">
            <v>1</v>
          </cell>
          <cell r="T1043">
            <v>40.519799999999996</v>
          </cell>
          <cell r="U1043">
            <v>40.519799999999996</v>
          </cell>
        </row>
        <row r="1044">
          <cell r="B1044" t="str">
            <v>V17551-PIND-0319-04</v>
          </cell>
          <cell r="C1044" t="str">
            <v>PROD/25-26/14066</v>
          </cell>
          <cell r="D1044" t="str">
            <v/>
          </cell>
          <cell r="E1044" t="str">
            <v>TJ/25-26/184-CS</v>
          </cell>
          <cell r="F1044" t="str">
            <v>P5</v>
          </cell>
          <cell r="G1044">
            <v>0</v>
          </cell>
          <cell r="H1044">
            <v>4</v>
          </cell>
          <cell r="I1044" t="str">
            <v>Yes</v>
          </cell>
          <cell r="J1044" t="str">
            <v/>
          </cell>
          <cell r="K1044" t="str">
            <v>No</v>
          </cell>
          <cell r="L1044" t="str">
            <v/>
          </cell>
          <cell r="M1044" t="str">
            <v/>
          </cell>
          <cell r="N1044" t="str">
            <v>Spool</v>
          </cell>
          <cell r="O1044">
            <v>0</v>
          </cell>
          <cell r="P1044">
            <v>0</v>
          </cell>
          <cell r="Q1044" t="str">
            <v>CS</v>
          </cell>
          <cell r="R1044">
            <v>1</v>
          </cell>
          <cell r="S1044">
            <v>1</v>
          </cell>
          <cell r="T1044">
            <v>53.134039999999999</v>
          </cell>
          <cell r="U1044">
            <v>53.134039999999999</v>
          </cell>
        </row>
        <row r="1045">
          <cell r="B1045" t="str">
            <v>V17551-PIND-0320-04</v>
          </cell>
          <cell r="C1045" t="str">
            <v>PROD/25-26/13734</v>
          </cell>
          <cell r="D1045" t="str">
            <v/>
          </cell>
          <cell r="E1045" t="str">
            <v>TJ/25-26/184-CS</v>
          </cell>
          <cell r="F1045" t="str">
            <v>P5</v>
          </cell>
          <cell r="G1045">
            <v>0</v>
          </cell>
          <cell r="H1045">
            <v>4</v>
          </cell>
          <cell r="I1045" t="str">
            <v>Yes</v>
          </cell>
          <cell r="J1045" t="str">
            <v/>
          </cell>
          <cell r="K1045" t="str">
            <v>No</v>
          </cell>
          <cell r="L1045" t="str">
            <v/>
          </cell>
          <cell r="M1045" t="str">
            <v/>
          </cell>
          <cell r="N1045" t="str">
            <v>Spool</v>
          </cell>
          <cell r="O1045">
            <v>0</v>
          </cell>
          <cell r="P1045">
            <v>0</v>
          </cell>
          <cell r="Q1045" t="str">
            <v>CS</v>
          </cell>
          <cell r="R1045">
            <v>1</v>
          </cell>
          <cell r="S1045">
            <v>1</v>
          </cell>
          <cell r="T1045">
            <v>8.2689599999999999</v>
          </cell>
          <cell r="U1045">
            <v>8.2689599999999999</v>
          </cell>
        </row>
        <row r="1046">
          <cell r="B1046" t="str">
            <v>V17551-PIND-0321-04</v>
          </cell>
          <cell r="C1046" t="str">
            <v>PROD/25-26/13735</v>
          </cell>
          <cell r="D1046" t="str">
            <v/>
          </cell>
          <cell r="E1046" t="str">
            <v>TJ/25-26/184-CS</v>
          </cell>
          <cell r="F1046" t="str">
            <v>P5</v>
          </cell>
          <cell r="G1046">
            <v>0</v>
          </cell>
          <cell r="H1046">
            <v>4</v>
          </cell>
          <cell r="I1046" t="str">
            <v>Yes</v>
          </cell>
          <cell r="J1046" t="str">
            <v/>
          </cell>
          <cell r="K1046" t="str">
            <v>No</v>
          </cell>
          <cell r="L1046" t="str">
            <v/>
          </cell>
          <cell r="M1046" t="str">
            <v/>
          </cell>
          <cell r="N1046" t="str">
            <v>Spool</v>
          </cell>
          <cell r="O1046">
            <v>0</v>
          </cell>
          <cell r="P1046">
            <v>0</v>
          </cell>
          <cell r="Q1046" t="str">
            <v>CS</v>
          </cell>
          <cell r="R1046">
            <v>1</v>
          </cell>
          <cell r="S1046">
            <v>1</v>
          </cell>
          <cell r="T1046">
            <v>9.8500800000000002</v>
          </cell>
          <cell r="U1046">
            <v>9.8500800000000002</v>
          </cell>
        </row>
        <row r="1047">
          <cell r="B1047" t="str">
            <v>V17551-PIND-0322-04</v>
          </cell>
          <cell r="C1047" t="str">
            <v>PROD/25-26/14069</v>
          </cell>
          <cell r="D1047" t="str">
            <v/>
          </cell>
          <cell r="E1047" t="str">
            <v>TJ/25-26/184-CS</v>
          </cell>
          <cell r="F1047" t="str">
            <v>P5</v>
          </cell>
          <cell r="G1047">
            <v>0</v>
          </cell>
          <cell r="H1047">
            <v>4</v>
          </cell>
          <cell r="I1047" t="str">
            <v>Yes</v>
          </cell>
          <cell r="J1047" t="str">
            <v/>
          </cell>
          <cell r="K1047" t="str">
            <v>No</v>
          </cell>
          <cell r="L1047" t="str">
            <v/>
          </cell>
          <cell r="M1047" t="str">
            <v/>
          </cell>
          <cell r="N1047" t="str">
            <v>Spool</v>
          </cell>
          <cell r="O1047">
            <v>0</v>
          </cell>
          <cell r="P1047">
            <v>0</v>
          </cell>
          <cell r="Q1047" t="str">
            <v>CS</v>
          </cell>
          <cell r="R1047">
            <v>1</v>
          </cell>
          <cell r="S1047">
            <v>1</v>
          </cell>
          <cell r="T1047">
            <v>53.134039999999999</v>
          </cell>
          <cell r="U1047">
            <v>53.134039999999999</v>
          </cell>
        </row>
        <row r="1048">
          <cell r="B1048" t="str">
            <v>V17551-PIND-0324-04</v>
          </cell>
          <cell r="C1048" t="str">
            <v>PROD/25-26/14071</v>
          </cell>
          <cell r="D1048" t="str">
            <v/>
          </cell>
          <cell r="E1048" t="str">
            <v>TJ/25-26/184-CS</v>
          </cell>
          <cell r="F1048" t="str">
            <v>P5</v>
          </cell>
          <cell r="G1048">
            <v>0</v>
          </cell>
          <cell r="H1048">
            <v>4</v>
          </cell>
          <cell r="I1048" t="str">
            <v>No</v>
          </cell>
          <cell r="J1048" t="str">
            <v/>
          </cell>
          <cell r="K1048" t="str">
            <v>No</v>
          </cell>
          <cell r="L1048" t="str">
            <v/>
          </cell>
          <cell r="M1048" t="str">
            <v/>
          </cell>
          <cell r="N1048" t="str">
            <v>Spool</v>
          </cell>
          <cell r="O1048">
            <v>0</v>
          </cell>
          <cell r="P1048">
            <v>0</v>
          </cell>
          <cell r="Q1048" t="str">
            <v>CS</v>
          </cell>
          <cell r="R1048">
            <v>1</v>
          </cell>
          <cell r="S1048">
            <v>1</v>
          </cell>
          <cell r="T1048">
            <v>11.675560000000001</v>
          </cell>
          <cell r="U1048">
            <v>11.675560000000001</v>
          </cell>
        </row>
        <row r="1049">
          <cell r="B1049" t="str">
            <v>V17551-PIND-0325-04</v>
          </cell>
          <cell r="C1049" t="str">
            <v>PROD/25-26/14072</v>
          </cell>
          <cell r="D1049" t="str">
            <v/>
          </cell>
          <cell r="E1049" t="str">
            <v>TJ/25-26/184-CS</v>
          </cell>
          <cell r="F1049" t="str">
            <v>P5</v>
          </cell>
          <cell r="G1049">
            <v>0</v>
          </cell>
          <cell r="H1049">
            <v>4</v>
          </cell>
          <cell r="I1049" t="str">
            <v>Yes</v>
          </cell>
          <cell r="J1049" t="str">
            <v/>
          </cell>
          <cell r="K1049" t="str">
            <v>No</v>
          </cell>
          <cell r="L1049" t="str">
            <v/>
          </cell>
          <cell r="M1049" t="str">
            <v/>
          </cell>
          <cell r="N1049" t="str">
            <v>Spool</v>
          </cell>
          <cell r="O1049">
            <v>0</v>
          </cell>
          <cell r="P1049">
            <v>0</v>
          </cell>
          <cell r="Q1049" t="str">
            <v>CS</v>
          </cell>
          <cell r="R1049">
            <v>1</v>
          </cell>
          <cell r="S1049">
            <v>1</v>
          </cell>
          <cell r="T1049">
            <v>45.675559999999997</v>
          </cell>
          <cell r="U1049">
            <v>45.675559999999997</v>
          </cell>
        </row>
        <row r="1050">
          <cell r="B1050" t="str">
            <v>V17551-PIND-0327-04</v>
          </cell>
          <cell r="C1050" t="str">
            <v>PROD/25-26/13741</v>
          </cell>
          <cell r="D1050" t="str">
            <v/>
          </cell>
          <cell r="E1050" t="str">
            <v>TJ/25-26/184-CS</v>
          </cell>
          <cell r="F1050" t="str">
            <v>P5</v>
          </cell>
          <cell r="G1050">
            <v>0</v>
          </cell>
          <cell r="H1050">
            <v>4</v>
          </cell>
          <cell r="I1050" t="str">
            <v>Yes</v>
          </cell>
          <cell r="J1050" t="str">
            <v/>
          </cell>
          <cell r="K1050" t="str">
            <v>No</v>
          </cell>
          <cell r="L1050" t="str">
            <v/>
          </cell>
          <cell r="M1050" t="str">
            <v/>
          </cell>
          <cell r="N1050" t="str">
            <v>Spool</v>
          </cell>
          <cell r="O1050">
            <v>0</v>
          </cell>
          <cell r="P1050">
            <v>0</v>
          </cell>
          <cell r="Q1050" t="str">
            <v>CS</v>
          </cell>
          <cell r="R1050">
            <v>1</v>
          </cell>
          <cell r="S1050">
            <v>1</v>
          </cell>
          <cell r="T1050">
            <v>40.673499999999997</v>
          </cell>
          <cell r="U1050">
            <v>40.673499999999997</v>
          </cell>
        </row>
        <row r="1051">
          <cell r="B1051" t="str">
            <v>V17551-PIND-0329-04</v>
          </cell>
          <cell r="C1051" t="str">
            <v>PROD/25-26/13743</v>
          </cell>
          <cell r="D1051" t="str">
            <v/>
          </cell>
          <cell r="E1051" t="str">
            <v>TJ/25-26/184-CS</v>
          </cell>
          <cell r="F1051" t="str">
            <v>P5</v>
          </cell>
          <cell r="G1051">
            <v>0</v>
          </cell>
          <cell r="H1051">
            <v>4</v>
          </cell>
          <cell r="I1051" t="str">
            <v>No</v>
          </cell>
          <cell r="J1051" t="str">
            <v/>
          </cell>
          <cell r="K1051" t="str">
            <v>No</v>
          </cell>
          <cell r="L1051" t="str">
            <v/>
          </cell>
          <cell r="M1051" t="str">
            <v/>
          </cell>
          <cell r="N1051" t="str">
            <v>Spool</v>
          </cell>
          <cell r="O1051">
            <v>0</v>
          </cell>
          <cell r="P1051">
            <v>0</v>
          </cell>
          <cell r="Q1051" t="str">
            <v>CS</v>
          </cell>
          <cell r="R1051">
            <v>1</v>
          </cell>
          <cell r="S1051">
            <v>1</v>
          </cell>
          <cell r="T1051">
            <v>14.175240000000001</v>
          </cell>
          <cell r="U1051">
            <v>14.175240000000001</v>
          </cell>
        </row>
        <row r="1052">
          <cell r="B1052" t="str">
            <v>V17551-PIND-0333-04</v>
          </cell>
          <cell r="C1052" t="str">
            <v>PROD/25-26/13747</v>
          </cell>
          <cell r="D1052" t="str">
            <v/>
          </cell>
          <cell r="E1052" t="str">
            <v>TJ/25-26/184-CS</v>
          </cell>
          <cell r="F1052" t="str">
            <v>P5</v>
          </cell>
          <cell r="G1052">
            <v>0</v>
          </cell>
          <cell r="H1052">
            <v>4</v>
          </cell>
          <cell r="I1052" t="str">
            <v>Yes</v>
          </cell>
          <cell r="J1052" t="str">
            <v/>
          </cell>
          <cell r="K1052" t="str">
            <v>No</v>
          </cell>
          <cell r="L1052" t="str">
            <v/>
          </cell>
          <cell r="M1052" t="str">
            <v/>
          </cell>
          <cell r="N1052" t="str">
            <v>Spool</v>
          </cell>
          <cell r="O1052">
            <v>0</v>
          </cell>
          <cell r="P1052">
            <v>0</v>
          </cell>
          <cell r="Q1052" t="str">
            <v>CS</v>
          </cell>
          <cell r="R1052">
            <v>1</v>
          </cell>
          <cell r="S1052">
            <v>1</v>
          </cell>
          <cell r="T1052">
            <v>19.749960000000002</v>
          </cell>
          <cell r="U1052">
            <v>19.749960000000002</v>
          </cell>
        </row>
        <row r="1053">
          <cell r="B1053" t="str">
            <v>V17551-PIND-0339-04</v>
          </cell>
          <cell r="C1053" t="str">
            <v>PROD/25-26/14079</v>
          </cell>
          <cell r="D1053" t="str">
            <v/>
          </cell>
          <cell r="E1053" t="str">
            <v>TJ/25-26/184-CS</v>
          </cell>
          <cell r="F1053" t="str">
            <v>P5</v>
          </cell>
          <cell r="G1053">
            <v>0</v>
          </cell>
          <cell r="H1053">
            <v>4</v>
          </cell>
          <cell r="I1053" t="str">
            <v>Yes</v>
          </cell>
          <cell r="J1053" t="str">
            <v/>
          </cell>
          <cell r="K1053" t="str">
            <v>No</v>
          </cell>
          <cell r="L1053" t="str">
            <v/>
          </cell>
          <cell r="M1053" t="str">
            <v/>
          </cell>
          <cell r="N1053" t="str">
            <v>Spool</v>
          </cell>
          <cell r="O1053">
            <v>0</v>
          </cell>
          <cell r="P1053">
            <v>0</v>
          </cell>
          <cell r="Q1053" t="str">
            <v>CS</v>
          </cell>
          <cell r="R1053">
            <v>1</v>
          </cell>
          <cell r="S1053">
            <v>1</v>
          </cell>
          <cell r="T1053">
            <v>47.023400000000002</v>
          </cell>
          <cell r="U1053">
            <v>47.023400000000002</v>
          </cell>
        </row>
        <row r="1054">
          <cell r="B1054" t="str">
            <v>V17551-PIND-0340-04</v>
          </cell>
          <cell r="C1054" t="str">
            <v>PROD/25-26/14080</v>
          </cell>
          <cell r="D1054" t="str">
            <v/>
          </cell>
          <cell r="E1054" t="str">
            <v>TJ/25-26/184-CS</v>
          </cell>
          <cell r="F1054" t="str">
            <v>P5</v>
          </cell>
          <cell r="G1054">
            <v>0</v>
          </cell>
          <cell r="H1054">
            <v>4</v>
          </cell>
          <cell r="I1054" t="str">
            <v>Yes</v>
          </cell>
          <cell r="J1054" t="str">
            <v/>
          </cell>
          <cell r="K1054" t="str">
            <v>No</v>
          </cell>
          <cell r="L1054" t="str">
            <v/>
          </cell>
          <cell r="M1054" t="str">
            <v/>
          </cell>
          <cell r="N1054" t="str">
            <v>Spool</v>
          </cell>
          <cell r="O1054">
            <v>0</v>
          </cell>
          <cell r="P1054">
            <v>0</v>
          </cell>
          <cell r="Q1054" t="str">
            <v>CS</v>
          </cell>
          <cell r="R1054">
            <v>1</v>
          </cell>
          <cell r="S1054">
            <v>1</v>
          </cell>
          <cell r="T1054">
            <v>47.029879999999999</v>
          </cell>
          <cell r="U1054">
            <v>47.029879999999999</v>
          </cell>
        </row>
        <row r="1055">
          <cell r="B1055" t="str">
            <v>V17551-PIND-0346-04</v>
          </cell>
          <cell r="C1055" t="str">
            <v>PROD/25-26/13759</v>
          </cell>
          <cell r="D1055" t="str">
            <v/>
          </cell>
          <cell r="E1055" t="str">
            <v>TJ/25-26/184-CS</v>
          </cell>
          <cell r="F1055" t="str">
            <v>P5</v>
          </cell>
          <cell r="G1055">
            <v>0</v>
          </cell>
          <cell r="H1055">
            <v>4</v>
          </cell>
          <cell r="I1055" t="str">
            <v>Yes</v>
          </cell>
          <cell r="J1055" t="str">
            <v/>
          </cell>
          <cell r="K1055" t="str">
            <v>No</v>
          </cell>
          <cell r="L1055" t="str">
            <v/>
          </cell>
          <cell r="M1055" t="str">
            <v/>
          </cell>
          <cell r="N1055" t="str">
            <v>Spool</v>
          </cell>
          <cell r="O1055">
            <v>0</v>
          </cell>
          <cell r="P1055">
            <v>0</v>
          </cell>
          <cell r="Q1055" t="str">
            <v>CS</v>
          </cell>
          <cell r="R1055">
            <v>1</v>
          </cell>
          <cell r="S1055">
            <v>1</v>
          </cell>
          <cell r="T1055">
            <v>8.2799999999999994</v>
          </cell>
          <cell r="U1055">
            <v>8.2799999999999994</v>
          </cell>
        </row>
        <row r="1056">
          <cell r="B1056" t="str">
            <v>V17551-PIND-0349-07</v>
          </cell>
          <cell r="C1056" t="str">
            <v>PROD/25-26/13762</v>
          </cell>
          <cell r="D1056" t="str">
            <v/>
          </cell>
          <cell r="E1056" t="str">
            <v>TJ/25-26/184-CS</v>
          </cell>
          <cell r="F1056" t="str">
            <v>P5</v>
          </cell>
          <cell r="G1056">
            <v>0</v>
          </cell>
          <cell r="H1056">
            <v>4</v>
          </cell>
          <cell r="I1056" t="str">
            <v>Yes</v>
          </cell>
          <cell r="J1056" t="str">
            <v/>
          </cell>
          <cell r="K1056" t="str">
            <v>No</v>
          </cell>
          <cell r="L1056" t="str">
            <v/>
          </cell>
          <cell r="M1056" t="str">
            <v/>
          </cell>
          <cell r="N1056" t="str">
            <v>Spool</v>
          </cell>
          <cell r="O1056">
            <v>0</v>
          </cell>
          <cell r="P1056">
            <v>0</v>
          </cell>
          <cell r="Q1056" t="str">
            <v>CS</v>
          </cell>
          <cell r="R1056">
            <v>1</v>
          </cell>
          <cell r="S1056">
            <v>1</v>
          </cell>
          <cell r="T1056">
            <v>12.11256</v>
          </cell>
          <cell r="U1056">
            <v>12.11256</v>
          </cell>
        </row>
        <row r="1057">
          <cell r="B1057" t="str">
            <v>V17551-PIND-0363-04</v>
          </cell>
          <cell r="C1057" t="str">
            <v>PROD/25-26/13774</v>
          </cell>
          <cell r="D1057" t="str">
            <v/>
          </cell>
          <cell r="E1057" t="str">
            <v>TJ/25-26/184-CS</v>
          </cell>
          <cell r="F1057" t="str">
            <v>P5</v>
          </cell>
          <cell r="G1057">
            <v>0</v>
          </cell>
          <cell r="H1057">
            <v>4</v>
          </cell>
          <cell r="I1057" t="str">
            <v>Yes</v>
          </cell>
          <cell r="J1057" t="str">
            <v/>
          </cell>
          <cell r="K1057" t="str">
            <v>No</v>
          </cell>
          <cell r="L1057" t="str">
            <v/>
          </cell>
          <cell r="M1057" t="str">
            <v/>
          </cell>
          <cell r="N1057" t="str">
            <v>Spool</v>
          </cell>
          <cell r="O1057">
            <v>0</v>
          </cell>
          <cell r="P1057">
            <v>0</v>
          </cell>
          <cell r="Q1057" t="str">
            <v>CS</v>
          </cell>
          <cell r="R1057">
            <v>1</v>
          </cell>
          <cell r="S1057">
            <v>1</v>
          </cell>
          <cell r="T1057">
            <v>18.511559999999999</v>
          </cell>
          <cell r="U1057">
            <v>18.511559999999999</v>
          </cell>
        </row>
        <row r="1058">
          <cell r="B1058" t="str">
            <v>V17551-PIND-0371-04</v>
          </cell>
          <cell r="C1058" t="str">
            <v>PROD/25-26/13781</v>
          </cell>
          <cell r="D1058" t="str">
            <v/>
          </cell>
          <cell r="E1058" t="str">
            <v>TJ/25-26/184-P22</v>
          </cell>
          <cell r="F1058" t="str">
            <v>P5</v>
          </cell>
          <cell r="G1058">
            <v>0</v>
          </cell>
          <cell r="H1058">
            <v>4</v>
          </cell>
          <cell r="I1058" t="str">
            <v>Yes</v>
          </cell>
          <cell r="J1058" t="str">
            <v/>
          </cell>
          <cell r="K1058" t="str">
            <v>No</v>
          </cell>
          <cell r="L1058" t="str">
            <v/>
          </cell>
          <cell r="M1058" t="str">
            <v/>
          </cell>
          <cell r="N1058" t="str">
            <v>Spool</v>
          </cell>
          <cell r="O1058">
            <v>0</v>
          </cell>
          <cell r="P1058">
            <v>0</v>
          </cell>
          <cell r="Q1058" t="str">
            <v>P22</v>
          </cell>
          <cell r="R1058">
            <v>1</v>
          </cell>
          <cell r="S1058">
            <v>1</v>
          </cell>
          <cell r="T1058">
            <v>5.9489200000000002</v>
          </cell>
          <cell r="U1058">
            <v>5.9489200000000002</v>
          </cell>
        </row>
        <row r="1059">
          <cell r="B1059" t="str">
            <v>V17551-PIND-0372-04</v>
          </cell>
          <cell r="C1059" t="str">
            <v>PROD/25-26/13782</v>
          </cell>
          <cell r="D1059" t="str">
            <v/>
          </cell>
          <cell r="E1059" t="str">
            <v>TJ/25-26/184-P91</v>
          </cell>
          <cell r="F1059" t="str">
            <v>P5</v>
          </cell>
          <cell r="G1059">
            <v>0</v>
          </cell>
          <cell r="H1059">
            <v>4</v>
          </cell>
          <cell r="I1059" t="str">
            <v>Yes</v>
          </cell>
          <cell r="J1059" t="str">
            <v/>
          </cell>
          <cell r="K1059" t="str">
            <v>No</v>
          </cell>
          <cell r="L1059" t="str">
            <v/>
          </cell>
          <cell r="M1059" t="str">
            <v/>
          </cell>
          <cell r="N1059" t="str">
            <v>Spool</v>
          </cell>
          <cell r="O1059">
            <v>0</v>
          </cell>
          <cell r="P1059">
            <v>0</v>
          </cell>
          <cell r="Q1059" t="str">
            <v>P22</v>
          </cell>
          <cell r="R1059">
            <v>1</v>
          </cell>
          <cell r="S1059">
            <v>1</v>
          </cell>
          <cell r="T1059">
            <v>1.77904</v>
          </cell>
          <cell r="U1059">
            <v>1.77904</v>
          </cell>
        </row>
        <row r="1060">
          <cell r="B1060" t="str">
            <v>V17551-PIND-0373-04</v>
          </cell>
          <cell r="C1060" t="str">
            <v>PROD/25-26/13783</v>
          </cell>
          <cell r="D1060" t="str">
            <v/>
          </cell>
          <cell r="E1060" t="str">
            <v>TJ/25-26/184-P22</v>
          </cell>
          <cell r="F1060" t="str">
            <v>P5</v>
          </cell>
          <cell r="G1060">
            <v>0</v>
          </cell>
          <cell r="H1060">
            <v>4</v>
          </cell>
          <cell r="I1060" t="str">
            <v>Yes</v>
          </cell>
          <cell r="J1060" t="str">
            <v/>
          </cell>
          <cell r="K1060" t="str">
            <v>No</v>
          </cell>
          <cell r="L1060" t="str">
            <v/>
          </cell>
          <cell r="M1060" t="str">
            <v/>
          </cell>
          <cell r="N1060" t="str">
            <v>Spool</v>
          </cell>
          <cell r="O1060">
            <v>0</v>
          </cell>
          <cell r="P1060">
            <v>0</v>
          </cell>
          <cell r="Q1060" t="str">
            <v>P22</v>
          </cell>
          <cell r="R1060">
            <v>1</v>
          </cell>
          <cell r="S1060">
            <v>1</v>
          </cell>
          <cell r="T1060">
            <v>1.7532000000000001</v>
          </cell>
          <cell r="U1060">
            <v>1.7532000000000001</v>
          </cell>
        </row>
        <row r="1061">
          <cell r="B1061" t="str">
            <v>V17551-PIND-0375-04</v>
          </cell>
          <cell r="C1061" t="str">
            <v>PROD/25-26/14086</v>
          </cell>
          <cell r="D1061" t="str">
            <v/>
          </cell>
          <cell r="E1061" t="str">
            <v>TJ/25-26/184-CS</v>
          </cell>
          <cell r="F1061" t="str">
            <v>P5</v>
          </cell>
          <cell r="G1061">
            <v>0</v>
          </cell>
          <cell r="H1061">
            <v>4</v>
          </cell>
          <cell r="I1061" t="str">
            <v>Yes</v>
          </cell>
          <cell r="J1061" t="str">
            <v/>
          </cell>
          <cell r="K1061" t="str">
            <v>No</v>
          </cell>
          <cell r="L1061" t="str">
            <v/>
          </cell>
          <cell r="M1061" t="str">
            <v/>
          </cell>
          <cell r="N1061" t="str">
            <v>Spool</v>
          </cell>
          <cell r="O1061">
            <v>0</v>
          </cell>
          <cell r="P1061">
            <v>0</v>
          </cell>
          <cell r="Q1061" t="str">
            <v>CS</v>
          </cell>
          <cell r="R1061">
            <v>1</v>
          </cell>
          <cell r="S1061">
            <v>1</v>
          </cell>
          <cell r="T1061">
            <v>12.113440000000001</v>
          </cell>
          <cell r="U1061">
            <v>12.113440000000001</v>
          </cell>
        </row>
        <row r="1062">
          <cell r="B1062" t="str">
            <v>V17551-PIND-0377-04</v>
          </cell>
          <cell r="C1062" t="str">
            <v>PROD/25-26/13787</v>
          </cell>
          <cell r="D1062" t="str">
            <v/>
          </cell>
          <cell r="E1062" t="str">
            <v>TJ/25-26/184-P22</v>
          </cell>
          <cell r="F1062" t="str">
            <v>P5</v>
          </cell>
          <cell r="G1062">
            <v>0</v>
          </cell>
          <cell r="H1062">
            <v>4</v>
          </cell>
          <cell r="I1062" t="str">
            <v>No</v>
          </cell>
          <cell r="J1062" t="str">
            <v/>
          </cell>
          <cell r="K1062" t="str">
            <v>No</v>
          </cell>
          <cell r="L1062" t="str">
            <v/>
          </cell>
          <cell r="M1062" t="str">
            <v/>
          </cell>
          <cell r="N1062" t="str">
            <v>Spool</v>
          </cell>
          <cell r="O1062">
            <v>0</v>
          </cell>
          <cell r="P1062">
            <v>0</v>
          </cell>
          <cell r="Q1062" t="str">
            <v>P22</v>
          </cell>
          <cell r="R1062">
            <v>1</v>
          </cell>
          <cell r="S1062">
            <v>1</v>
          </cell>
          <cell r="T1062">
            <v>4.3253199999999996</v>
          </cell>
          <cell r="U1062">
            <v>4.3253199999999996</v>
          </cell>
        </row>
        <row r="1063">
          <cell r="B1063" t="str">
            <v>V17551-PIND-0384-04</v>
          </cell>
          <cell r="C1063" t="str">
            <v>PROD/25-26/13793</v>
          </cell>
          <cell r="D1063" t="str">
            <v/>
          </cell>
          <cell r="E1063" t="str">
            <v>TJ/25-26/184-CS</v>
          </cell>
          <cell r="F1063" t="str">
            <v>P5</v>
          </cell>
          <cell r="G1063">
            <v>0</v>
          </cell>
          <cell r="H1063">
            <v>4</v>
          </cell>
          <cell r="I1063" t="str">
            <v>Yes</v>
          </cell>
          <cell r="J1063" t="str">
            <v/>
          </cell>
          <cell r="K1063" t="str">
            <v>No</v>
          </cell>
          <cell r="L1063" t="str">
            <v/>
          </cell>
          <cell r="M1063" t="str">
            <v/>
          </cell>
          <cell r="N1063" t="str">
            <v>Spool</v>
          </cell>
          <cell r="O1063">
            <v>0</v>
          </cell>
          <cell r="P1063">
            <v>0</v>
          </cell>
          <cell r="Q1063" t="str">
            <v>CS</v>
          </cell>
          <cell r="R1063">
            <v>1</v>
          </cell>
          <cell r="S1063">
            <v>1</v>
          </cell>
          <cell r="T1063">
            <v>20.725680000000001</v>
          </cell>
          <cell r="U1063">
            <v>20.725680000000001</v>
          </cell>
        </row>
        <row r="1064">
          <cell r="B1064" t="str">
            <v>V17551-PIND-0385-09</v>
          </cell>
          <cell r="C1064" t="str">
            <v>PROD/25-26/14088</v>
          </cell>
          <cell r="D1064" t="str">
            <v/>
          </cell>
          <cell r="E1064" t="str">
            <v>TJ/25-26/184-CS</v>
          </cell>
          <cell r="F1064" t="str">
            <v>P5</v>
          </cell>
          <cell r="G1064">
            <v>0</v>
          </cell>
          <cell r="H1064">
            <v>4</v>
          </cell>
          <cell r="I1064" t="str">
            <v>Yes</v>
          </cell>
          <cell r="J1064" t="str">
            <v/>
          </cell>
          <cell r="K1064" t="str">
            <v>No</v>
          </cell>
          <cell r="L1064" t="str">
            <v/>
          </cell>
          <cell r="M1064" t="str">
            <v/>
          </cell>
          <cell r="N1064" t="str">
            <v>Spool</v>
          </cell>
          <cell r="O1064">
            <v>0</v>
          </cell>
          <cell r="P1064">
            <v>0</v>
          </cell>
          <cell r="Q1064" t="str">
            <v>CS</v>
          </cell>
          <cell r="R1064">
            <v>1</v>
          </cell>
          <cell r="S1064">
            <v>1</v>
          </cell>
          <cell r="T1064">
            <v>13.11412</v>
          </cell>
          <cell r="U1064">
            <v>13.11412</v>
          </cell>
        </row>
        <row r="1065">
          <cell r="B1065" t="str">
            <v>V17551-PIND-0398-04</v>
          </cell>
          <cell r="C1065" t="str">
            <v>PROD/25-26/13805</v>
          </cell>
          <cell r="D1065" t="str">
            <v/>
          </cell>
          <cell r="E1065" t="str">
            <v>TJ/25-26/184-CS</v>
          </cell>
          <cell r="F1065" t="str">
            <v>P5</v>
          </cell>
          <cell r="G1065">
            <v>0</v>
          </cell>
          <cell r="H1065">
            <v>4</v>
          </cell>
          <cell r="I1065" t="str">
            <v>Yes</v>
          </cell>
          <cell r="J1065" t="str">
            <v/>
          </cell>
          <cell r="K1065" t="str">
            <v>No</v>
          </cell>
          <cell r="L1065" t="str">
            <v/>
          </cell>
          <cell r="M1065" t="str">
            <v/>
          </cell>
          <cell r="N1065" t="str">
            <v>Spool</v>
          </cell>
          <cell r="O1065">
            <v>0</v>
          </cell>
          <cell r="P1065">
            <v>0</v>
          </cell>
          <cell r="Q1065" t="str">
            <v>CS</v>
          </cell>
          <cell r="R1065">
            <v>1</v>
          </cell>
          <cell r="S1065">
            <v>1</v>
          </cell>
          <cell r="T1065">
            <v>3.6154799999999998</v>
          </cell>
          <cell r="U1065">
            <v>3.6154799999999998</v>
          </cell>
        </row>
        <row r="1066">
          <cell r="B1066" t="str">
            <v>V17551-PIND-0399-04</v>
          </cell>
          <cell r="C1066" t="str">
            <v>PROD/25-26/13806</v>
          </cell>
          <cell r="D1066" t="str">
            <v/>
          </cell>
          <cell r="E1066" t="str">
            <v>TJ/25-26/184-CS</v>
          </cell>
          <cell r="F1066" t="str">
            <v>P5</v>
          </cell>
          <cell r="G1066">
            <v>0</v>
          </cell>
          <cell r="H1066">
            <v>4</v>
          </cell>
          <cell r="I1066" t="str">
            <v>Yes</v>
          </cell>
          <cell r="J1066" t="str">
            <v/>
          </cell>
          <cell r="K1066" t="str">
            <v>No</v>
          </cell>
          <cell r="L1066" t="str">
            <v/>
          </cell>
          <cell r="M1066" t="str">
            <v/>
          </cell>
          <cell r="N1066" t="str">
            <v>Spool</v>
          </cell>
          <cell r="O1066">
            <v>0</v>
          </cell>
          <cell r="P1066">
            <v>0</v>
          </cell>
          <cell r="Q1066" t="str">
            <v>CS</v>
          </cell>
          <cell r="R1066">
            <v>1</v>
          </cell>
          <cell r="S1066">
            <v>1</v>
          </cell>
          <cell r="T1066">
            <v>34.025680000000001</v>
          </cell>
          <cell r="U1066">
            <v>34.025680000000001</v>
          </cell>
        </row>
        <row r="1067">
          <cell r="B1067" t="str">
            <v>V17551-PIND-0400-04</v>
          </cell>
          <cell r="C1067" t="str">
            <v>PROD/25-26/13807</v>
          </cell>
          <cell r="D1067" t="str">
            <v/>
          </cell>
          <cell r="E1067" t="str">
            <v>TJ/25-26/184-CS</v>
          </cell>
          <cell r="F1067" t="str">
            <v>P5</v>
          </cell>
          <cell r="G1067">
            <v>0</v>
          </cell>
          <cell r="H1067">
            <v>4</v>
          </cell>
          <cell r="I1067" t="str">
            <v>Yes</v>
          </cell>
          <cell r="J1067" t="str">
            <v/>
          </cell>
          <cell r="K1067" t="str">
            <v>No</v>
          </cell>
          <cell r="L1067" t="str">
            <v/>
          </cell>
          <cell r="M1067" t="str">
            <v/>
          </cell>
          <cell r="N1067" t="str">
            <v>Spool</v>
          </cell>
          <cell r="O1067">
            <v>0</v>
          </cell>
          <cell r="P1067">
            <v>0</v>
          </cell>
          <cell r="Q1067" t="str">
            <v>CS</v>
          </cell>
          <cell r="R1067">
            <v>1</v>
          </cell>
          <cell r="S1067">
            <v>1</v>
          </cell>
          <cell r="T1067">
            <v>6.1569599999999998</v>
          </cell>
          <cell r="U1067">
            <v>6.1569599999999998</v>
          </cell>
        </row>
        <row r="1068">
          <cell r="B1068" t="str">
            <v>V17551-PIND-0401-04</v>
          </cell>
          <cell r="C1068" t="str">
            <v>PROD/25-26/13808</v>
          </cell>
          <cell r="D1068" t="str">
            <v/>
          </cell>
          <cell r="E1068" t="str">
            <v>TJ/25-26/184-CS</v>
          </cell>
          <cell r="F1068" t="str">
            <v>P5</v>
          </cell>
          <cell r="G1068">
            <v>0</v>
          </cell>
          <cell r="H1068">
            <v>4</v>
          </cell>
          <cell r="I1068" t="str">
            <v>Yes</v>
          </cell>
          <cell r="J1068" t="str">
            <v/>
          </cell>
          <cell r="K1068" t="str">
            <v>No</v>
          </cell>
          <cell r="L1068" t="str">
            <v/>
          </cell>
          <cell r="M1068" t="str">
            <v/>
          </cell>
          <cell r="N1068" t="str">
            <v>Spool</v>
          </cell>
          <cell r="O1068">
            <v>0</v>
          </cell>
          <cell r="P1068">
            <v>0</v>
          </cell>
          <cell r="Q1068" t="str">
            <v>CS</v>
          </cell>
          <cell r="R1068">
            <v>1</v>
          </cell>
          <cell r="S1068">
            <v>1</v>
          </cell>
          <cell r="T1068">
            <v>6.8665200000000004</v>
          </cell>
          <cell r="U1068">
            <v>6.8665200000000004</v>
          </cell>
        </row>
        <row r="1069">
          <cell r="B1069" t="str">
            <v>V17551-PIND-0403-04</v>
          </cell>
          <cell r="C1069" t="str">
            <v>PROD/25-26/13810</v>
          </cell>
          <cell r="D1069" t="str">
            <v/>
          </cell>
          <cell r="E1069" t="str">
            <v>TJ/25-26/184-P11</v>
          </cell>
          <cell r="F1069" t="str">
            <v>P5</v>
          </cell>
          <cell r="G1069">
            <v>0</v>
          </cell>
          <cell r="H1069">
            <v>4</v>
          </cell>
          <cell r="I1069" t="str">
            <v>Yes</v>
          </cell>
          <cell r="J1069" t="str">
            <v/>
          </cell>
          <cell r="K1069" t="str">
            <v>No</v>
          </cell>
          <cell r="L1069" t="str">
            <v/>
          </cell>
          <cell r="M1069" t="str">
            <v/>
          </cell>
          <cell r="N1069" t="str">
            <v>Spool</v>
          </cell>
          <cell r="O1069">
            <v>0</v>
          </cell>
          <cell r="P1069">
            <v>0</v>
          </cell>
          <cell r="Q1069" t="str">
            <v>P11</v>
          </cell>
          <cell r="R1069">
            <v>1</v>
          </cell>
          <cell r="S1069">
            <v>1</v>
          </cell>
          <cell r="T1069">
            <v>20.324280000000002</v>
          </cell>
          <cell r="U1069">
            <v>20.324280000000002</v>
          </cell>
        </row>
        <row r="1070">
          <cell r="B1070" t="str">
            <v>V17551-PIND-0404-04</v>
          </cell>
          <cell r="C1070" t="str">
            <v>PROD/25-26/13811</v>
          </cell>
          <cell r="D1070" t="str">
            <v/>
          </cell>
          <cell r="E1070" t="str">
            <v>TJ/25-26/184-CS</v>
          </cell>
          <cell r="F1070" t="str">
            <v>P5</v>
          </cell>
          <cell r="G1070">
            <v>0</v>
          </cell>
          <cell r="H1070">
            <v>4</v>
          </cell>
          <cell r="I1070" t="str">
            <v>Yes</v>
          </cell>
          <cell r="J1070" t="str">
            <v/>
          </cell>
          <cell r="K1070" t="str">
            <v>No</v>
          </cell>
          <cell r="L1070" t="str">
            <v/>
          </cell>
          <cell r="M1070" t="str">
            <v/>
          </cell>
          <cell r="N1070" t="str">
            <v>Spool</v>
          </cell>
          <cell r="O1070">
            <v>0</v>
          </cell>
          <cell r="P1070">
            <v>0</v>
          </cell>
          <cell r="Q1070" t="str">
            <v>CS</v>
          </cell>
          <cell r="R1070">
            <v>1</v>
          </cell>
          <cell r="S1070">
            <v>1</v>
          </cell>
          <cell r="T1070">
            <v>2.7805</v>
          </cell>
          <cell r="U1070">
            <v>2.7805</v>
          </cell>
        </row>
        <row r="1071">
          <cell r="B1071" t="str">
            <v>V17551-PIND-0405-04</v>
          </cell>
          <cell r="C1071" t="str">
            <v>PROD/25-26/14195</v>
          </cell>
          <cell r="D1071" t="str">
            <v/>
          </cell>
          <cell r="E1071" t="str">
            <v>TJ/25-26/184-CS</v>
          </cell>
          <cell r="F1071" t="str">
            <v>P5</v>
          </cell>
          <cell r="G1071">
            <v>0</v>
          </cell>
          <cell r="H1071">
            <v>4</v>
          </cell>
          <cell r="I1071" t="str">
            <v>Yes</v>
          </cell>
          <cell r="J1071" t="str">
            <v/>
          </cell>
          <cell r="K1071" t="str">
            <v>No</v>
          </cell>
          <cell r="L1071" t="str">
            <v/>
          </cell>
          <cell r="M1071" t="str">
            <v/>
          </cell>
          <cell r="N1071" t="str">
            <v>Spool</v>
          </cell>
          <cell r="O1071">
            <v>0</v>
          </cell>
          <cell r="P1071">
            <v>0</v>
          </cell>
          <cell r="Q1071" t="str">
            <v>CS</v>
          </cell>
          <cell r="R1071">
            <v>1</v>
          </cell>
          <cell r="S1071">
            <v>1</v>
          </cell>
          <cell r="T1071">
            <v>10.731</v>
          </cell>
          <cell r="U1071">
            <v>10.731</v>
          </cell>
        </row>
        <row r="1072">
          <cell r="B1072" t="str">
            <v>V17551-PIND-0406-04</v>
          </cell>
          <cell r="C1072" t="str">
            <v>PROD/25-26/13813</v>
          </cell>
          <cell r="D1072" t="str">
            <v/>
          </cell>
          <cell r="E1072" t="str">
            <v>TJ/25-26/184-CS</v>
          </cell>
          <cell r="F1072" t="str">
            <v>P5</v>
          </cell>
          <cell r="G1072">
            <v>0</v>
          </cell>
          <cell r="H1072">
            <v>4</v>
          </cell>
          <cell r="I1072" t="str">
            <v>Yes</v>
          </cell>
          <cell r="J1072" t="str">
            <v/>
          </cell>
          <cell r="K1072" t="str">
            <v>No</v>
          </cell>
          <cell r="L1072" t="str">
            <v/>
          </cell>
          <cell r="M1072" t="str">
            <v/>
          </cell>
          <cell r="N1072" t="str">
            <v>Spool</v>
          </cell>
          <cell r="O1072">
            <v>0</v>
          </cell>
          <cell r="P1072">
            <v>0</v>
          </cell>
          <cell r="Q1072" t="str">
            <v>CS</v>
          </cell>
          <cell r="R1072">
            <v>1</v>
          </cell>
          <cell r="S1072">
            <v>1</v>
          </cell>
          <cell r="T1072">
            <v>3.55464</v>
          </cell>
          <cell r="U1072">
            <v>3.55464</v>
          </cell>
        </row>
        <row r="1073">
          <cell r="B1073" t="str">
            <v>V17551-PIND-0418-04</v>
          </cell>
          <cell r="C1073" t="str">
            <v>PROD/25-26/13822</v>
          </cell>
          <cell r="D1073" t="str">
            <v/>
          </cell>
          <cell r="E1073" t="str">
            <v>TJ/25-26/184-CS</v>
          </cell>
          <cell r="F1073" t="str">
            <v>P5</v>
          </cell>
          <cell r="G1073">
            <v>0</v>
          </cell>
          <cell r="H1073">
            <v>4</v>
          </cell>
          <cell r="I1073" t="str">
            <v>Yes</v>
          </cell>
          <cell r="J1073" t="str">
            <v/>
          </cell>
          <cell r="K1073" t="str">
            <v>No</v>
          </cell>
          <cell r="L1073" t="str">
            <v/>
          </cell>
          <cell r="M1073" t="str">
            <v/>
          </cell>
          <cell r="N1073" t="str">
            <v>Spool</v>
          </cell>
          <cell r="O1073">
            <v>0</v>
          </cell>
          <cell r="P1073">
            <v>0</v>
          </cell>
          <cell r="Q1073" t="str">
            <v>CS</v>
          </cell>
          <cell r="R1073">
            <v>1</v>
          </cell>
          <cell r="S1073">
            <v>1</v>
          </cell>
          <cell r="T1073">
            <v>7.3719599999999996</v>
          </cell>
          <cell r="U1073">
            <v>7.3719599999999996</v>
          </cell>
        </row>
        <row r="1074">
          <cell r="B1074" t="str">
            <v>V17551-PIND-0424-04</v>
          </cell>
          <cell r="C1074" t="str">
            <v>PROD/25-26/13827</v>
          </cell>
          <cell r="D1074" t="str">
            <v/>
          </cell>
          <cell r="E1074" t="str">
            <v>TJ/25-26/184-CS</v>
          </cell>
          <cell r="F1074" t="str">
            <v>P5</v>
          </cell>
          <cell r="G1074">
            <v>0</v>
          </cell>
          <cell r="H1074">
            <v>4</v>
          </cell>
          <cell r="I1074" t="str">
            <v>Yes</v>
          </cell>
          <cell r="J1074" t="str">
            <v/>
          </cell>
          <cell r="K1074" t="str">
            <v>No</v>
          </cell>
          <cell r="L1074" t="str">
            <v/>
          </cell>
          <cell r="M1074" t="str">
            <v/>
          </cell>
          <cell r="N1074" t="str">
            <v>Spool</v>
          </cell>
          <cell r="O1074">
            <v>0</v>
          </cell>
          <cell r="P1074">
            <v>0</v>
          </cell>
          <cell r="Q1074" t="str">
            <v>CS</v>
          </cell>
          <cell r="R1074">
            <v>1</v>
          </cell>
          <cell r="S1074">
            <v>1</v>
          </cell>
          <cell r="T1074">
            <v>28.940919999999998</v>
          </cell>
          <cell r="U1074">
            <v>28.940919999999998</v>
          </cell>
        </row>
        <row r="1075">
          <cell r="B1075" t="str">
            <v>V17551-PIND-0427-04</v>
          </cell>
          <cell r="C1075" t="str">
            <v>PROD/25-26/13830</v>
          </cell>
          <cell r="D1075" t="str">
            <v/>
          </cell>
          <cell r="E1075" t="str">
            <v>TJ/25-26/184-CS</v>
          </cell>
          <cell r="F1075" t="str">
            <v>P5</v>
          </cell>
          <cell r="G1075">
            <v>0</v>
          </cell>
          <cell r="H1075">
            <v>4</v>
          </cell>
          <cell r="I1075" t="str">
            <v>Yes</v>
          </cell>
          <cell r="J1075" t="str">
            <v/>
          </cell>
          <cell r="K1075" t="str">
            <v>No</v>
          </cell>
          <cell r="L1075" t="str">
            <v/>
          </cell>
          <cell r="M1075" t="str">
            <v/>
          </cell>
          <cell r="N1075" t="str">
            <v>Spool</v>
          </cell>
          <cell r="O1075">
            <v>0</v>
          </cell>
          <cell r="P1075">
            <v>0</v>
          </cell>
          <cell r="Q1075" t="str">
            <v>CS</v>
          </cell>
          <cell r="R1075">
            <v>1</v>
          </cell>
          <cell r="S1075">
            <v>1</v>
          </cell>
          <cell r="T1075">
            <v>98.530240000000006</v>
          </cell>
          <cell r="U1075">
            <v>98.530240000000006</v>
          </cell>
        </row>
        <row r="1076">
          <cell r="B1076" t="str">
            <v>V17551-PIND-0428-04</v>
          </cell>
          <cell r="C1076" t="str">
            <v>PROD/25-26/13831</v>
          </cell>
          <cell r="D1076" t="str">
            <v/>
          </cell>
          <cell r="E1076" t="str">
            <v>TJ/25-26/184-CS</v>
          </cell>
          <cell r="F1076" t="str">
            <v>P5</v>
          </cell>
          <cell r="G1076">
            <v>0</v>
          </cell>
          <cell r="H1076">
            <v>4</v>
          </cell>
          <cell r="I1076" t="str">
            <v>Yes</v>
          </cell>
          <cell r="J1076" t="str">
            <v/>
          </cell>
          <cell r="K1076" t="str">
            <v>No</v>
          </cell>
          <cell r="L1076" t="str">
            <v/>
          </cell>
          <cell r="M1076" t="str">
            <v/>
          </cell>
          <cell r="N1076" t="str">
            <v>Spool</v>
          </cell>
          <cell r="O1076">
            <v>0</v>
          </cell>
          <cell r="P1076">
            <v>0</v>
          </cell>
          <cell r="Q1076" t="str">
            <v>CS</v>
          </cell>
          <cell r="R1076">
            <v>1</v>
          </cell>
          <cell r="S1076">
            <v>1</v>
          </cell>
          <cell r="T1076">
            <v>33.548000000000002</v>
          </cell>
          <cell r="U1076">
            <v>33.548000000000002</v>
          </cell>
        </row>
        <row r="1077">
          <cell r="B1077" t="str">
            <v>V17551-PIND-0431-04</v>
          </cell>
          <cell r="C1077" t="str">
            <v>PROD/25-26/14097</v>
          </cell>
          <cell r="D1077" t="str">
            <v/>
          </cell>
          <cell r="E1077" t="str">
            <v>TJ/25-26/184-CS</v>
          </cell>
          <cell r="F1077" t="str">
            <v>P5</v>
          </cell>
          <cell r="G1077">
            <v>0</v>
          </cell>
          <cell r="H1077">
            <v>4</v>
          </cell>
          <cell r="I1077" t="str">
            <v>Yes</v>
          </cell>
          <cell r="J1077" t="str">
            <v/>
          </cell>
          <cell r="K1077" t="str">
            <v>No</v>
          </cell>
          <cell r="L1077" t="str">
            <v/>
          </cell>
          <cell r="M1077" t="str">
            <v/>
          </cell>
          <cell r="N1077" t="str">
            <v>Spool</v>
          </cell>
          <cell r="O1077">
            <v>0</v>
          </cell>
          <cell r="P1077">
            <v>0</v>
          </cell>
          <cell r="Q1077" t="str">
            <v>CS</v>
          </cell>
          <cell r="R1077">
            <v>1</v>
          </cell>
          <cell r="S1077">
            <v>1</v>
          </cell>
          <cell r="T1077">
            <v>73.575119999999998</v>
          </cell>
          <cell r="U1077">
            <v>73.575119999999998</v>
          </cell>
        </row>
        <row r="1078">
          <cell r="B1078" t="str">
            <v>V17551-PIND-0437-04</v>
          </cell>
          <cell r="C1078" t="str">
            <v>PROD/25-26/14192</v>
          </cell>
          <cell r="D1078" t="str">
            <v/>
          </cell>
          <cell r="E1078" t="str">
            <v>TJ/25-26/184-CS</v>
          </cell>
          <cell r="F1078" t="str">
            <v>P5</v>
          </cell>
          <cell r="G1078">
            <v>0</v>
          </cell>
          <cell r="H1078">
            <v>4</v>
          </cell>
          <cell r="I1078" t="str">
            <v>Yes</v>
          </cell>
          <cell r="J1078" t="str">
            <v/>
          </cell>
          <cell r="K1078" t="str">
            <v>No</v>
          </cell>
          <cell r="L1078" t="str">
            <v/>
          </cell>
          <cell r="M1078" t="str">
            <v/>
          </cell>
          <cell r="N1078" t="str">
            <v>Spool</v>
          </cell>
          <cell r="O1078">
            <v>0</v>
          </cell>
          <cell r="P1078">
            <v>0</v>
          </cell>
          <cell r="Q1078" t="str">
            <v>CS</v>
          </cell>
          <cell r="R1078">
            <v>1</v>
          </cell>
          <cell r="S1078">
            <v>1</v>
          </cell>
          <cell r="T1078">
            <v>5.2413999999999996</v>
          </cell>
          <cell r="U1078">
            <v>5.2413999999999996</v>
          </cell>
        </row>
        <row r="1079">
          <cell r="B1079" t="str">
            <v>V17551-PIND-0438-04</v>
          </cell>
          <cell r="C1079" t="str">
            <v>PROD/25-26/13841</v>
          </cell>
          <cell r="D1079" t="str">
            <v/>
          </cell>
          <cell r="E1079" t="str">
            <v>TJ/25-26/184-CS</v>
          </cell>
          <cell r="F1079" t="str">
            <v>P5</v>
          </cell>
          <cell r="G1079">
            <v>0</v>
          </cell>
          <cell r="H1079">
            <v>4</v>
          </cell>
          <cell r="I1079" t="str">
            <v>Yes</v>
          </cell>
          <cell r="J1079" t="str">
            <v/>
          </cell>
          <cell r="K1079" t="str">
            <v>No</v>
          </cell>
          <cell r="L1079" t="str">
            <v/>
          </cell>
          <cell r="M1079" t="str">
            <v/>
          </cell>
          <cell r="N1079" t="str">
            <v>Spool</v>
          </cell>
          <cell r="O1079">
            <v>0</v>
          </cell>
          <cell r="P1079">
            <v>0</v>
          </cell>
          <cell r="Q1079" t="str">
            <v>CS</v>
          </cell>
          <cell r="R1079">
            <v>1</v>
          </cell>
          <cell r="S1079">
            <v>1</v>
          </cell>
          <cell r="T1079">
            <v>2.65036</v>
          </cell>
          <cell r="U1079">
            <v>2.65036</v>
          </cell>
        </row>
        <row r="1080">
          <cell r="B1080" t="str">
            <v>V17551-PIND-0439-04</v>
          </cell>
          <cell r="C1080" t="str">
            <v>PROD/25-26/13842</v>
          </cell>
          <cell r="D1080" t="str">
            <v/>
          </cell>
          <cell r="E1080" t="str">
            <v>TJ/25-26/184-CS</v>
          </cell>
          <cell r="F1080" t="str">
            <v>P5</v>
          </cell>
          <cell r="G1080">
            <v>0</v>
          </cell>
          <cell r="H1080">
            <v>4</v>
          </cell>
          <cell r="I1080" t="str">
            <v>Yes</v>
          </cell>
          <cell r="J1080" t="str">
            <v/>
          </cell>
          <cell r="K1080" t="str">
            <v>No</v>
          </cell>
          <cell r="L1080" t="str">
            <v/>
          </cell>
          <cell r="M1080" t="str">
            <v/>
          </cell>
          <cell r="N1080" t="str">
            <v>Spool</v>
          </cell>
          <cell r="O1080">
            <v>0</v>
          </cell>
          <cell r="P1080">
            <v>0</v>
          </cell>
          <cell r="Q1080" t="str">
            <v>CS</v>
          </cell>
          <cell r="R1080">
            <v>1</v>
          </cell>
          <cell r="S1080">
            <v>1</v>
          </cell>
          <cell r="T1080">
            <v>7.0603199999999999</v>
          </cell>
          <cell r="U1080">
            <v>7.0603199999999999</v>
          </cell>
        </row>
        <row r="1081">
          <cell r="B1081" t="str">
            <v>V17551-PIND-0440-04</v>
          </cell>
          <cell r="C1081" t="str">
            <v>PROD/25-26/13843</v>
          </cell>
          <cell r="D1081" t="str">
            <v/>
          </cell>
          <cell r="E1081" t="str">
            <v>TJ/25-26/184-CS</v>
          </cell>
          <cell r="F1081" t="str">
            <v>P5</v>
          </cell>
          <cell r="G1081">
            <v>0</v>
          </cell>
          <cell r="H1081">
            <v>4</v>
          </cell>
          <cell r="I1081" t="str">
            <v>Yes</v>
          </cell>
          <cell r="J1081" t="str">
            <v/>
          </cell>
          <cell r="K1081" t="str">
            <v>No</v>
          </cell>
          <cell r="L1081" t="str">
            <v/>
          </cell>
          <cell r="M1081" t="str">
            <v/>
          </cell>
          <cell r="N1081" t="str">
            <v>Spool</v>
          </cell>
          <cell r="O1081">
            <v>0</v>
          </cell>
          <cell r="P1081">
            <v>0</v>
          </cell>
          <cell r="Q1081" t="str">
            <v>CS</v>
          </cell>
          <cell r="R1081">
            <v>1</v>
          </cell>
          <cell r="S1081">
            <v>1</v>
          </cell>
          <cell r="T1081">
            <v>17.347919999999998</v>
          </cell>
          <cell r="U1081">
            <v>17.347919999999998</v>
          </cell>
        </row>
        <row r="1082">
          <cell r="B1082" t="str">
            <v>V17551-PIND-0442-04</v>
          </cell>
          <cell r="C1082" t="str">
            <v>PROD/25-26/13845</v>
          </cell>
          <cell r="D1082" t="str">
            <v/>
          </cell>
          <cell r="E1082" t="str">
            <v>TJ/25-26/184-CS</v>
          </cell>
          <cell r="F1082" t="str">
            <v>P5</v>
          </cell>
          <cell r="G1082">
            <v>0</v>
          </cell>
          <cell r="H1082">
            <v>4</v>
          </cell>
          <cell r="I1082" t="str">
            <v>Yes</v>
          </cell>
          <cell r="J1082" t="str">
            <v/>
          </cell>
          <cell r="K1082" t="str">
            <v>No</v>
          </cell>
          <cell r="L1082" t="str">
            <v/>
          </cell>
          <cell r="M1082" t="str">
            <v/>
          </cell>
          <cell r="N1082" t="str">
            <v>Spool</v>
          </cell>
          <cell r="O1082">
            <v>0</v>
          </cell>
          <cell r="P1082">
            <v>0</v>
          </cell>
          <cell r="Q1082" t="str">
            <v>CS</v>
          </cell>
          <cell r="R1082">
            <v>1</v>
          </cell>
          <cell r="S1082">
            <v>1</v>
          </cell>
          <cell r="T1082">
            <v>61.053879999999999</v>
          </cell>
          <cell r="U1082">
            <v>61.053879999999999</v>
          </cell>
        </row>
        <row r="1083">
          <cell r="B1083" t="str">
            <v>V17551-PIND-0447-04</v>
          </cell>
          <cell r="C1083" t="str">
            <v>PROD/25-26/13850</v>
          </cell>
          <cell r="D1083" t="str">
            <v/>
          </cell>
          <cell r="E1083" t="str">
            <v>TJ/25-26/184-CS</v>
          </cell>
          <cell r="F1083" t="str">
            <v>P5</v>
          </cell>
          <cell r="G1083">
            <v>0</v>
          </cell>
          <cell r="H1083">
            <v>4</v>
          </cell>
          <cell r="I1083" t="str">
            <v>Yes</v>
          </cell>
          <cell r="J1083" t="str">
            <v/>
          </cell>
          <cell r="K1083" t="str">
            <v>No</v>
          </cell>
          <cell r="L1083" t="str">
            <v/>
          </cell>
          <cell r="M1083" t="str">
            <v/>
          </cell>
          <cell r="N1083" t="str">
            <v>Spool</v>
          </cell>
          <cell r="O1083">
            <v>0</v>
          </cell>
          <cell r="P1083">
            <v>0</v>
          </cell>
          <cell r="Q1083" t="str">
            <v>CS</v>
          </cell>
          <cell r="R1083">
            <v>1</v>
          </cell>
          <cell r="S1083">
            <v>1</v>
          </cell>
          <cell r="T1083">
            <v>46.61</v>
          </cell>
          <cell r="U1083">
            <v>46.61</v>
          </cell>
        </row>
        <row r="1084">
          <cell r="B1084" t="str">
            <v>V17551-PIND-0450-04</v>
          </cell>
          <cell r="C1084" t="str">
            <v>PROD/25-26/14100</v>
          </cell>
          <cell r="D1084" t="str">
            <v/>
          </cell>
          <cell r="E1084" t="str">
            <v>TJ/25-26/184-CS</v>
          </cell>
          <cell r="F1084" t="str">
            <v>P5</v>
          </cell>
          <cell r="G1084">
            <v>0</v>
          </cell>
          <cell r="H1084">
            <v>4</v>
          </cell>
          <cell r="I1084" t="str">
            <v>Yes</v>
          </cell>
          <cell r="J1084" t="str">
            <v/>
          </cell>
          <cell r="K1084" t="str">
            <v>No</v>
          </cell>
          <cell r="L1084" t="str">
            <v/>
          </cell>
          <cell r="M1084" t="str">
            <v/>
          </cell>
          <cell r="N1084" t="str">
            <v>Spool</v>
          </cell>
          <cell r="O1084">
            <v>0</v>
          </cell>
          <cell r="P1084">
            <v>0</v>
          </cell>
          <cell r="Q1084" t="str">
            <v>CS</v>
          </cell>
          <cell r="R1084">
            <v>1</v>
          </cell>
          <cell r="S1084">
            <v>1</v>
          </cell>
          <cell r="T1084">
            <v>26.891120000000001</v>
          </cell>
          <cell r="U1084">
            <v>26.891120000000001</v>
          </cell>
        </row>
        <row r="1085">
          <cell r="B1085" t="str">
            <v>V17551-PIND-0451-04</v>
          </cell>
          <cell r="C1085" t="str">
            <v>PROD/25-26/14101</v>
          </cell>
          <cell r="D1085" t="str">
            <v/>
          </cell>
          <cell r="E1085" t="str">
            <v>TJ/25-26/184-CS</v>
          </cell>
          <cell r="F1085" t="str">
            <v>P5</v>
          </cell>
          <cell r="G1085">
            <v>0</v>
          </cell>
          <cell r="H1085">
            <v>4</v>
          </cell>
          <cell r="I1085" t="str">
            <v>Yes</v>
          </cell>
          <cell r="J1085" t="str">
            <v/>
          </cell>
          <cell r="K1085" t="str">
            <v>No</v>
          </cell>
          <cell r="L1085" t="str">
            <v/>
          </cell>
          <cell r="M1085" t="str">
            <v/>
          </cell>
          <cell r="N1085" t="str">
            <v>Spool</v>
          </cell>
          <cell r="O1085">
            <v>0</v>
          </cell>
          <cell r="P1085">
            <v>0</v>
          </cell>
          <cell r="Q1085" t="str">
            <v>CS</v>
          </cell>
          <cell r="R1085">
            <v>1</v>
          </cell>
          <cell r="S1085">
            <v>1</v>
          </cell>
          <cell r="T1085">
            <v>26.894359999999999</v>
          </cell>
          <cell r="U1085">
            <v>26.894359999999999</v>
          </cell>
        </row>
        <row r="1086">
          <cell r="B1086" t="str">
            <v>V17551-PIND-0452-04</v>
          </cell>
          <cell r="C1086" t="str">
            <v>PROD/25-26/14102</v>
          </cell>
          <cell r="D1086" t="str">
            <v/>
          </cell>
          <cell r="E1086" t="str">
            <v>TJ/25-26/184-CS</v>
          </cell>
          <cell r="F1086" t="str">
            <v>P5</v>
          </cell>
          <cell r="G1086">
            <v>0</v>
          </cell>
          <cell r="H1086">
            <v>4</v>
          </cell>
          <cell r="I1086" t="str">
            <v>Yes</v>
          </cell>
          <cell r="J1086" t="str">
            <v/>
          </cell>
          <cell r="K1086" t="str">
            <v>No</v>
          </cell>
          <cell r="L1086" t="str">
            <v/>
          </cell>
          <cell r="M1086" t="str">
            <v/>
          </cell>
          <cell r="N1086" t="str">
            <v>Spool</v>
          </cell>
          <cell r="O1086">
            <v>0</v>
          </cell>
          <cell r="P1086">
            <v>0</v>
          </cell>
          <cell r="Q1086" t="str">
            <v>CS</v>
          </cell>
          <cell r="R1086">
            <v>1</v>
          </cell>
          <cell r="S1086">
            <v>1</v>
          </cell>
          <cell r="T1086">
            <v>26.891120000000001</v>
          </cell>
          <cell r="U1086">
            <v>26.891120000000001</v>
          </cell>
        </row>
        <row r="1087">
          <cell r="B1087" t="str">
            <v>V17551-PIND-0453-04</v>
          </cell>
          <cell r="C1087" t="str">
            <v>PROD/25-26/13856</v>
          </cell>
          <cell r="D1087" t="str">
            <v/>
          </cell>
          <cell r="E1087" t="str">
            <v>TJ/25-26/184-CS</v>
          </cell>
          <cell r="F1087" t="str">
            <v>P5</v>
          </cell>
          <cell r="G1087">
            <v>0</v>
          </cell>
          <cell r="H1087">
            <v>4</v>
          </cell>
          <cell r="I1087" t="str">
            <v>Yes</v>
          </cell>
          <cell r="J1087" t="str">
            <v/>
          </cell>
          <cell r="K1087" t="str">
            <v>No</v>
          </cell>
          <cell r="L1087" t="str">
            <v/>
          </cell>
          <cell r="M1087" t="str">
            <v/>
          </cell>
          <cell r="N1087" t="str">
            <v>Spool</v>
          </cell>
          <cell r="O1087">
            <v>0</v>
          </cell>
          <cell r="P1087">
            <v>0</v>
          </cell>
          <cell r="Q1087" t="str">
            <v>CS</v>
          </cell>
          <cell r="R1087">
            <v>1</v>
          </cell>
          <cell r="S1087">
            <v>1</v>
          </cell>
          <cell r="T1087">
            <v>7.3974000000000002</v>
          </cell>
          <cell r="U1087">
            <v>7.3974000000000002</v>
          </cell>
        </row>
        <row r="1088">
          <cell r="B1088" t="str">
            <v>V17551-PIND-0454-04</v>
          </cell>
          <cell r="C1088" t="str">
            <v>PROD/25-26/13857</v>
          </cell>
          <cell r="D1088" t="str">
            <v/>
          </cell>
          <cell r="E1088" t="str">
            <v>TJ/25-26/184-CS</v>
          </cell>
          <cell r="F1088" t="str">
            <v>P5</v>
          </cell>
          <cell r="G1088">
            <v>0</v>
          </cell>
          <cell r="H1088">
            <v>4</v>
          </cell>
          <cell r="I1088" t="str">
            <v>Yes</v>
          </cell>
          <cell r="J1088" t="str">
            <v/>
          </cell>
          <cell r="K1088" t="str">
            <v>No</v>
          </cell>
          <cell r="L1088" t="str">
            <v/>
          </cell>
          <cell r="M1088" t="str">
            <v/>
          </cell>
          <cell r="N1088" t="str">
            <v>Spool</v>
          </cell>
          <cell r="O1088">
            <v>0</v>
          </cell>
          <cell r="P1088">
            <v>0</v>
          </cell>
          <cell r="Q1088" t="str">
            <v>CS</v>
          </cell>
          <cell r="R1088">
            <v>1</v>
          </cell>
          <cell r="S1088">
            <v>1</v>
          </cell>
          <cell r="T1088">
            <v>7.0669199999999996</v>
          </cell>
          <cell r="U1088">
            <v>7.0669199999999996</v>
          </cell>
        </row>
        <row r="1089">
          <cell r="B1089" t="str">
            <v>V17551-PIND-0460-04</v>
          </cell>
          <cell r="C1089" t="str">
            <v>PROD/25-26/14589</v>
          </cell>
          <cell r="D1089" t="str">
            <v/>
          </cell>
          <cell r="E1089" t="str">
            <v>TJ/25-26/184-CS</v>
          </cell>
          <cell r="F1089" t="str">
            <v>P5</v>
          </cell>
          <cell r="G1089">
            <v>0</v>
          </cell>
          <cell r="H1089">
            <v>4</v>
          </cell>
          <cell r="I1089" t="str">
            <v>No</v>
          </cell>
          <cell r="J1089" t="str">
            <v/>
          </cell>
          <cell r="K1089" t="str">
            <v>No</v>
          </cell>
          <cell r="L1089" t="str">
            <v/>
          </cell>
          <cell r="M1089" t="str">
            <v/>
          </cell>
          <cell r="N1089" t="str">
            <v>Spool</v>
          </cell>
          <cell r="O1089">
            <v>0</v>
          </cell>
          <cell r="P1089">
            <v>0</v>
          </cell>
          <cell r="Q1089" t="str">
            <v>CS</v>
          </cell>
          <cell r="R1089">
            <v>1</v>
          </cell>
          <cell r="S1089">
            <v>1</v>
          </cell>
          <cell r="T1089">
            <v>33.293680000000002</v>
          </cell>
          <cell r="U1089">
            <v>33.293680000000002</v>
          </cell>
        </row>
        <row r="1090">
          <cell r="B1090" t="str">
            <v>V17551-PIND-0468-04</v>
          </cell>
          <cell r="C1090" t="str">
            <v>PROD/25-26/13865</v>
          </cell>
          <cell r="D1090" t="str">
            <v/>
          </cell>
          <cell r="E1090" t="str">
            <v>TJ/25-26/184-CS</v>
          </cell>
          <cell r="F1090" t="str">
            <v>P5</v>
          </cell>
          <cell r="G1090">
            <v>0</v>
          </cell>
          <cell r="H1090">
            <v>4</v>
          </cell>
          <cell r="I1090" t="str">
            <v>Yes</v>
          </cell>
          <cell r="J1090" t="str">
            <v/>
          </cell>
          <cell r="K1090" t="str">
            <v>No</v>
          </cell>
          <cell r="L1090" t="str">
            <v/>
          </cell>
          <cell r="M1090" t="str">
            <v/>
          </cell>
          <cell r="N1090" t="str">
            <v>Spool</v>
          </cell>
          <cell r="O1090">
            <v>0</v>
          </cell>
          <cell r="P1090">
            <v>0</v>
          </cell>
          <cell r="Q1090" t="str">
            <v>CS</v>
          </cell>
          <cell r="R1090">
            <v>1</v>
          </cell>
          <cell r="S1090">
            <v>1</v>
          </cell>
          <cell r="T1090">
            <v>5.9064800000000002</v>
          </cell>
          <cell r="U1090">
            <v>5.9064800000000002</v>
          </cell>
        </row>
        <row r="1091">
          <cell r="B1091" t="str">
            <v>V17551-PIND-0469-04</v>
          </cell>
          <cell r="C1091" t="str">
            <v>PROD/25-26/13866</v>
          </cell>
          <cell r="D1091" t="str">
            <v/>
          </cell>
          <cell r="E1091" t="str">
            <v>TJ/25-26/184-CS</v>
          </cell>
          <cell r="F1091" t="str">
            <v>P5</v>
          </cell>
          <cell r="G1091">
            <v>0</v>
          </cell>
          <cell r="H1091">
            <v>4</v>
          </cell>
          <cell r="I1091" t="str">
            <v>Yes</v>
          </cell>
          <cell r="J1091" t="str">
            <v/>
          </cell>
          <cell r="K1091" t="str">
            <v>No</v>
          </cell>
          <cell r="L1091" t="str">
            <v/>
          </cell>
          <cell r="M1091" t="str">
            <v/>
          </cell>
          <cell r="N1091" t="str">
            <v>Spool</v>
          </cell>
          <cell r="O1091">
            <v>0</v>
          </cell>
          <cell r="P1091">
            <v>0</v>
          </cell>
          <cell r="Q1091" t="str">
            <v>CS</v>
          </cell>
          <cell r="R1091">
            <v>1</v>
          </cell>
          <cell r="S1091">
            <v>1</v>
          </cell>
          <cell r="T1091">
            <v>5.7833600000000001</v>
          </cell>
          <cell r="U1091">
            <v>5.7833600000000001</v>
          </cell>
        </row>
        <row r="1092">
          <cell r="B1092" t="str">
            <v>V17551-PIND-0471-04</v>
          </cell>
          <cell r="C1092" t="str">
            <v>PROD/25-26/13868</v>
          </cell>
          <cell r="D1092" t="str">
            <v/>
          </cell>
          <cell r="E1092" t="str">
            <v>TJ/25-26/184-CS</v>
          </cell>
          <cell r="F1092" t="str">
            <v>P5</v>
          </cell>
          <cell r="G1092">
            <v>0</v>
          </cell>
          <cell r="H1092">
            <v>4</v>
          </cell>
          <cell r="I1092" t="str">
            <v>Yes</v>
          </cell>
          <cell r="J1092" t="str">
            <v/>
          </cell>
          <cell r="K1092" t="str">
            <v>No</v>
          </cell>
          <cell r="L1092" t="str">
            <v/>
          </cell>
          <cell r="M1092" t="str">
            <v/>
          </cell>
          <cell r="N1092" t="str">
            <v>Spool</v>
          </cell>
          <cell r="O1092">
            <v>0</v>
          </cell>
          <cell r="P1092">
            <v>0</v>
          </cell>
          <cell r="Q1092" t="str">
            <v>P22</v>
          </cell>
          <cell r="R1092">
            <v>1</v>
          </cell>
          <cell r="S1092">
            <v>1</v>
          </cell>
          <cell r="T1092">
            <v>1.04806</v>
          </cell>
          <cell r="U1092">
            <v>1.04806</v>
          </cell>
        </row>
        <row r="1093">
          <cell r="B1093" t="str">
            <v>V17551-PIND-0472-04</v>
          </cell>
          <cell r="C1093" t="str">
            <v>PROD/25-26/13869</v>
          </cell>
          <cell r="D1093" t="str">
            <v/>
          </cell>
          <cell r="E1093" t="str">
            <v>TJ/25-26/184-P22</v>
          </cell>
          <cell r="F1093" t="str">
            <v>P5</v>
          </cell>
          <cell r="G1093">
            <v>0</v>
          </cell>
          <cell r="H1093">
            <v>4</v>
          </cell>
          <cell r="I1093" t="str">
            <v>Yes</v>
          </cell>
          <cell r="J1093" t="str">
            <v/>
          </cell>
          <cell r="K1093" t="str">
            <v>No</v>
          </cell>
          <cell r="L1093" t="str">
            <v/>
          </cell>
          <cell r="M1093" t="str">
            <v/>
          </cell>
          <cell r="N1093" t="str">
            <v>Spool</v>
          </cell>
          <cell r="O1093">
            <v>0</v>
          </cell>
          <cell r="P1093">
            <v>0</v>
          </cell>
          <cell r="Q1093" t="str">
            <v>P22</v>
          </cell>
          <cell r="R1093">
            <v>1</v>
          </cell>
          <cell r="S1093">
            <v>1</v>
          </cell>
          <cell r="T1093">
            <v>1.9683999999999999</v>
          </cell>
          <cell r="U1093">
            <v>1.9683999999999999</v>
          </cell>
        </row>
        <row r="1094">
          <cell r="B1094" t="str">
            <v>V17551-PIND-0474-04</v>
          </cell>
          <cell r="C1094" t="str">
            <v>PROD/25-26/13871</v>
          </cell>
          <cell r="D1094" t="str">
            <v/>
          </cell>
          <cell r="E1094" t="str">
            <v>TJ/25-26/184-CS</v>
          </cell>
          <cell r="F1094" t="str">
            <v>P5</v>
          </cell>
          <cell r="G1094">
            <v>0</v>
          </cell>
          <cell r="H1094">
            <v>4</v>
          </cell>
          <cell r="I1094" t="str">
            <v>Yes</v>
          </cell>
          <cell r="J1094" t="str">
            <v/>
          </cell>
          <cell r="K1094" t="str">
            <v>No</v>
          </cell>
          <cell r="L1094" t="str">
            <v/>
          </cell>
          <cell r="M1094" t="str">
            <v/>
          </cell>
          <cell r="N1094" t="str">
            <v>Spool</v>
          </cell>
          <cell r="O1094">
            <v>0</v>
          </cell>
          <cell r="P1094">
            <v>0</v>
          </cell>
          <cell r="Q1094" t="str">
            <v>CS</v>
          </cell>
          <cell r="R1094">
            <v>1</v>
          </cell>
          <cell r="S1094">
            <v>1</v>
          </cell>
          <cell r="T1094">
            <v>19.71</v>
          </cell>
          <cell r="U1094">
            <v>19.71</v>
          </cell>
        </row>
        <row r="1095">
          <cell r="B1095" t="str">
            <v>V17551-PIND-0478-04</v>
          </cell>
          <cell r="C1095" t="str">
            <v>PROD/25-26/13874</v>
          </cell>
          <cell r="D1095" t="str">
            <v/>
          </cell>
          <cell r="E1095" t="str">
            <v>TJ/25-26/184-P11</v>
          </cell>
          <cell r="F1095" t="str">
            <v>P5</v>
          </cell>
          <cell r="G1095">
            <v>0</v>
          </cell>
          <cell r="H1095">
            <v>4</v>
          </cell>
          <cell r="I1095" t="str">
            <v>Yes</v>
          </cell>
          <cell r="J1095" t="str">
            <v/>
          </cell>
          <cell r="K1095" t="str">
            <v>No</v>
          </cell>
          <cell r="L1095" t="str">
            <v/>
          </cell>
          <cell r="M1095" t="str">
            <v/>
          </cell>
          <cell r="N1095" t="str">
            <v>Spool</v>
          </cell>
          <cell r="O1095">
            <v>0</v>
          </cell>
          <cell r="P1095">
            <v>0</v>
          </cell>
          <cell r="Q1095" t="str">
            <v>P11</v>
          </cell>
          <cell r="R1095">
            <v>1</v>
          </cell>
          <cell r="S1095">
            <v>1</v>
          </cell>
          <cell r="T1095">
            <v>2.9321199999999998</v>
          </cell>
          <cell r="U1095">
            <v>2.9321199999999998</v>
          </cell>
        </row>
        <row r="1096">
          <cell r="B1096" t="str">
            <v>V17551-PIND-0480-04</v>
          </cell>
          <cell r="C1096" t="str">
            <v>PROD/25-26/13875</v>
          </cell>
          <cell r="D1096" t="str">
            <v/>
          </cell>
          <cell r="E1096" t="str">
            <v>TJ/25-26/184-P22</v>
          </cell>
          <cell r="F1096" t="str">
            <v>P5</v>
          </cell>
          <cell r="G1096">
            <v>0</v>
          </cell>
          <cell r="H1096">
            <v>4</v>
          </cell>
          <cell r="I1096" t="str">
            <v>Yes</v>
          </cell>
          <cell r="J1096" t="str">
            <v/>
          </cell>
          <cell r="K1096" t="str">
            <v>No</v>
          </cell>
          <cell r="L1096" t="str">
            <v/>
          </cell>
          <cell r="M1096" t="str">
            <v/>
          </cell>
          <cell r="N1096" t="str">
            <v>Spool</v>
          </cell>
          <cell r="O1096">
            <v>0</v>
          </cell>
          <cell r="P1096">
            <v>0</v>
          </cell>
          <cell r="Q1096" t="str">
            <v>P22</v>
          </cell>
          <cell r="R1096">
            <v>1</v>
          </cell>
          <cell r="S1096">
            <v>1</v>
          </cell>
          <cell r="T1096">
            <v>18.16696</v>
          </cell>
          <cell r="U1096">
            <v>18.16696</v>
          </cell>
        </row>
        <row r="1097">
          <cell r="B1097" t="str">
            <v>V17551-PIND-0482-04</v>
          </cell>
          <cell r="C1097" t="str">
            <v>PROD/25-26/13877</v>
          </cell>
          <cell r="D1097" t="str">
            <v/>
          </cell>
          <cell r="E1097" t="str">
            <v>TJ/25-26/184-CS</v>
          </cell>
          <cell r="F1097" t="str">
            <v>P5</v>
          </cell>
          <cell r="G1097">
            <v>0</v>
          </cell>
          <cell r="H1097">
            <v>4</v>
          </cell>
          <cell r="I1097" t="str">
            <v>Yes</v>
          </cell>
          <cell r="J1097" t="str">
            <v/>
          </cell>
          <cell r="K1097" t="str">
            <v>No</v>
          </cell>
          <cell r="L1097" t="str">
            <v/>
          </cell>
          <cell r="M1097" t="str">
            <v/>
          </cell>
          <cell r="N1097" t="str">
            <v>Spool</v>
          </cell>
          <cell r="O1097">
            <v>0</v>
          </cell>
          <cell r="P1097">
            <v>0</v>
          </cell>
          <cell r="Q1097" t="str">
            <v>CS</v>
          </cell>
          <cell r="R1097">
            <v>1</v>
          </cell>
          <cell r="S1097">
            <v>1</v>
          </cell>
          <cell r="T1097">
            <v>2.1124000000000001</v>
          </cell>
          <cell r="U1097">
            <v>2.1124000000000001</v>
          </cell>
        </row>
        <row r="1098">
          <cell r="B1098" t="str">
            <v>V17551-PIND-0483-04</v>
          </cell>
          <cell r="C1098" t="str">
            <v>PROD/25-26/13878</v>
          </cell>
          <cell r="D1098" t="str">
            <v/>
          </cell>
          <cell r="E1098" t="str">
            <v>TJ/25-26/184-CS</v>
          </cell>
          <cell r="F1098" t="str">
            <v>P5</v>
          </cell>
          <cell r="G1098">
            <v>0</v>
          </cell>
          <cell r="H1098">
            <v>4</v>
          </cell>
          <cell r="I1098" t="str">
            <v>Yes</v>
          </cell>
          <cell r="J1098" t="str">
            <v/>
          </cell>
          <cell r="K1098" t="str">
            <v>No</v>
          </cell>
          <cell r="L1098" t="str">
            <v/>
          </cell>
          <cell r="M1098" t="str">
            <v/>
          </cell>
          <cell r="N1098" t="str">
            <v>Spool</v>
          </cell>
          <cell r="O1098">
            <v>0</v>
          </cell>
          <cell r="P1098">
            <v>0</v>
          </cell>
          <cell r="Q1098" t="str">
            <v>CS</v>
          </cell>
          <cell r="R1098">
            <v>1</v>
          </cell>
          <cell r="S1098">
            <v>1</v>
          </cell>
          <cell r="T1098">
            <v>1.37696</v>
          </cell>
          <cell r="U1098">
            <v>1.37696</v>
          </cell>
        </row>
        <row r="1099">
          <cell r="B1099" t="str">
            <v>V17551-PIND-0485-04</v>
          </cell>
          <cell r="C1099" t="str">
            <v>PROD/25-26/13880</v>
          </cell>
          <cell r="D1099" t="str">
            <v/>
          </cell>
          <cell r="E1099" t="str">
            <v>TJ/25-26/184-CS</v>
          </cell>
          <cell r="F1099" t="str">
            <v>P5</v>
          </cell>
          <cell r="G1099">
            <v>0</v>
          </cell>
          <cell r="H1099">
            <v>4</v>
          </cell>
          <cell r="I1099" t="str">
            <v>Yes</v>
          </cell>
          <cell r="J1099" t="str">
            <v/>
          </cell>
          <cell r="K1099" t="str">
            <v>No</v>
          </cell>
          <cell r="L1099" t="str">
            <v/>
          </cell>
          <cell r="M1099" t="str">
            <v/>
          </cell>
          <cell r="N1099" t="str">
            <v>Spool</v>
          </cell>
          <cell r="O1099">
            <v>0</v>
          </cell>
          <cell r="P1099">
            <v>0</v>
          </cell>
          <cell r="Q1099" t="str">
            <v>CS</v>
          </cell>
          <cell r="R1099">
            <v>1</v>
          </cell>
          <cell r="S1099">
            <v>1</v>
          </cell>
          <cell r="T1099">
            <v>1.7203599999999999</v>
          </cell>
          <cell r="U1099">
            <v>1.7203599999999999</v>
          </cell>
        </row>
        <row r="1100">
          <cell r="B1100" t="str">
            <v>V17551-PIND-0490-04</v>
          </cell>
          <cell r="C1100" t="str">
            <v>PROD/25-26/13885</v>
          </cell>
          <cell r="D1100" t="str">
            <v/>
          </cell>
          <cell r="E1100" t="str">
            <v>TJ/25-26/184-P22</v>
          </cell>
          <cell r="F1100" t="str">
            <v>P5</v>
          </cell>
          <cell r="G1100">
            <v>0</v>
          </cell>
          <cell r="H1100">
            <v>4</v>
          </cell>
          <cell r="I1100" t="str">
            <v>Yes</v>
          </cell>
          <cell r="J1100" t="str">
            <v/>
          </cell>
          <cell r="K1100" t="str">
            <v>No</v>
          </cell>
          <cell r="L1100" t="str">
            <v/>
          </cell>
          <cell r="M1100" t="str">
            <v/>
          </cell>
          <cell r="N1100" t="str">
            <v>Spool</v>
          </cell>
          <cell r="O1100">
            <v>0</v>
          </cell>
          <cell r="P1100">
            <v>0</v>
          </cell>
          <cell r="Q1100" t="str">
            <v>P22</v>
          </cell>
          <cell r="R1100">
            <v>1</v>
          </cell>
          <cell r="S1100">
            <v>1</v>
          </cell>
          <cell r="T1100">
            <v>5.6893200000000004</v>
          </cell>
          <cell r="U1100">
            <v>5.6893200000000004</v>
          </cell>
        </row>
        <row r="1101">
          <cell r="B1101" t="str">
            <v>V17551-PIND-0491-04</v>
          </cell>
          <cell r="C1101" t="str">
            <v>PROD/25-26/13886</v>
          </cell>
          <cell r="D1101" t="str">
            <v/>
          </cell>
          <cell r="E1101" t="str">
            <v>TJ/25-26/184-P22</v>
          </cell>
          <cell r="F1101" t="str">
            <v>P5</v>
          </cell>
          <cell r="G1101">
            <v>0</v>
          </cell>
          <cell r="H1101">
            <v>4</v>
          </cell>
          <cell r="I1101" t="str">
            <v>Yes</v>
          </cell>
          <cell r="J1101" t="str">
            <v/>
          </cell>
          <cell r="K1101" t="str">
            <v>No</v>
          </cell>
          <cell r="L1101" t="str">
            <v/>
          </cell>
          <cell r="M1101" t="str">
            <v/>
          </cell>
          <cell r="N1101" t="str">
            <v>Spool</v>
          </cell>
          <cell r="O1101">
            <v>0</v>
          </cell>
          <cell r="P1101">
            <v>0</v>
          </cell>
          <cell r="Q1101" t="str">
            <v>P22</v>
          </cell>
          <cell r="R1101">
            <v>1</v>
          </cell>
          <cell r="S1101">
            <v>1</v>
          </cell>
          <cell r="T1101">
            <v>5.9048600000000002</v>
          </cell>
          <cell r="U1101">
            <v>5.9048600000000002</v>
          </cell>
        </row>
        <row r="1102">
          <cell r="B1102" t="str">
            <v>V17551-PIND-0492-04</v>
          </cell>
          <cell r="C1102" t="str">
            <v>PROD/25-26/13887</v>
          </cell>
          <cell r="D1102" t="str">
            <v/>
          </cell>
          <cell r="E1102" t="str">
            <v>TJ/25-26/184-91</v>
          </cell>
          <cell r="F1102" t="str">
            <v>P5</v>
          </cell>
          <cell r="G1102">
            <v>0</v>
          </cell>
          <cell r="H1102">
            <v>4</v>
          </cell>
          <cell r="I1102" t="str">
            <v>Yes</v>
          </cell>
          <cell r="J1102" t="str">
            <v/>
          </cell>
          <cell r="K1102" t="str">
            <v>No</v>
          </cell>
          <cell r="L1102" t="str">
            <v/>
          </cell>
          <cell r="M1102" t="str">
            <v/>
          </cell>
          <cell r="N1102" t="str">
            <v>Spool</v>
          </cell>
          <cell r="O1102">
            <v>0</v>
          </cell>
          <cell r="P1102">
            <v>0</v>
          </cell>
          <cell r="Q1102" t="str">
            <v>CS</v>
          </cell>
          <cell r="R1102">
            <v>1</v>
          </cell>
          <cell r="S1102">
            <v>1</v>
          </cell>
          <cell r="T1102">
            <v>5.17096</v>
          </cell>
          <cell r="U1102">
            <v>5.17096</v>
          </cell>
        </row>
        <row r="1103">
          <cell r="B1103" t="str">
            <v>V17551-PIND-0495-04</v>
          </cell>
          <cell r="C1103" t="str">
            <v>PROD/25-26/13890</v>
          </cell>
          <cell r="D1103" t="str">
            <v/>
          </cell>
          <cell r="E1103" t="str">
            <v>TJ/25-26/184-CS</v>
          </cell>
          <cell r="F1103" t="str">
            <v>P5</v>
          </cell>
          <cell r="G1103">
            <v>0</v>
          </cell>
          <cell r="H1103">
            <v>4</v>
          </cell>
          <cell r="I1103" t="str">
            <v>Yes</v>
          </cell>
          <cell r="J1103" t="str">
            <v/>
          </cell>
          <cell r="K1103" t="str">
            <v>No</v>
          </cell>
          <cell r="L1103" t="str">
            <v/>
          </cell>
          <cell r="M1103" t="str">
            <v/>
          </cell>
          <cell r="N1103" t="str">
            <v>Spool</v>
          </cell>
          <cell r="O1103">
            <v>0</v>
          </cell>
          <cell r="P1103">
            <v>0</v>
          </cell>
          <cell r="Q1103" t="str">
            <v>CS</v>
          </cell>
          <cell r="R1103">
            <v>1</v>
          </cell>
          <cell r="S1103">
            <v>1</v>
          </cell>
          <cell r="T1103">
            <v>14.65476</v>
          </cell>
          <cell r="U1103">
            <v>14.65476</v>
          </cell>
        </row>
        <row r="1104">
          <cell r="B1104" t="str">
            <v>V17551-PIND-0496-04</v>
          </cell>
          <cell r="C1104" t="str">
            <v>PROD/25-26/13891</v>
          </cell>
          <cell r="D1104" t="str">
            <v/>
          </cell>
          <cell r="E1104" t="str">
            <v>TJ/25-26/184-CS</v>
          </cell>
          <cell r="F1104" t="str">
            <v>P5</v>
          </cell>
          <cell r="G1104">
            <v>0</v>
          </cell>
          <cell r="H1104">
            <v>4</v>
          </cell>
          <cell r="I1104" t="str">
            <v>Yes</v>
          </cell>
          <cell r="J1104" t="str">
            <v/>
          </cell>
          <cell r="K1104" t="str">
            <v>No</v>
          </cell>
          <cell r="L1104" t="str">
            <v/>
          </cell>
          <cell r="M1104" t="str">
            <v/>
          </cell>
          <cell r="N1104" t="str">
            <v>Spool</v>
          </cell>
          <cell r="O1104">
            <v>0</v>
          </cell>
          <cell r="P1104">
            <v>0</v>
          </cell>
          <cell r="Q1104" t="str">
            <v>CS</v>
          </cell>
          <cell r="R1104">
            <v>1</v>
          </cell>
          <cell r="S1104">
            <v>1</v>
          </cell>
          <cell r="T1104">
            <v>3.3733200000000001</v>
          </cell>
          <cell r="U1104">
            <v>3.3733200000000001</v>
          </cell>
        </row>
        <row r="1105">
          <cell r="B1105" t="str">
            <v>V17551-PIND-0499-04</v>
          </cell>
          <cell r="C1105" t="str">
            <v>PROD/25-26/13894</v>
          </cell>
          <cell r="D1105" t="str">
            <v/>
          </cell>
          <cell r="E1105" t="str">
            <v>TJ/25-26/184-CS</v>
          </cell>
          <cell r="F1105" t="str">
            <v>P5</v>
          </cell>
          <cell r="G1105">
            <v>0</v>
          </cell>
          <cell r="H1105">
            <v>4</v>
          </cell>
          <cell r="I1105" t="str">
            <v>Yes</v>
          </cell>
          <cell r="J1105" t="str">
            <v/>
          </cell>
          <cell r="K1105" t="str">
            <v>No</v>
          </cell>
          <cell r="L1105" t="str">
            <v/>
          </cell>
          <cell r="M1105" t="str">
            <v/>
          </cell>
          <cell r="N1105" t="str">
            <v>Spool</v>
          </cell>
          <cell r="O1105">
            <v>0</v>
          </cell>
          <cell r="P1105">
            <v>0</v>
          </cell>
          <cell r="Q1105" t="str">
            <v>CS</v>
          </cell>
          <cell r="R1105">
            <v>1</v>
          </cell>
          <cell r="S1105">
            <v>1</v>
          </cell>
          <cell r="T1105">
            <v>19.713239999999999</v>
          </cell>
          <cell r="U1105">
            <v>19.713239999999999</v>
          </cell>
        </row>
        <row r="1106">
          <cell r="B1106" t="str">
            <v>V17551-PIND-0501-04</v>
          </cell>
          <cell r="C1106" t="str">
            <v>PROD/25-26/13896</v>
          </cell>
          <cell r="D1106" t="str">
            <v/>
          </cell>
          <cell r="E1106" t="str">
            <v>TJ/25-26/184-CS</v>
          </cell>
          <cell r="F1106" t="str">
            <v>P5</v>
          </cell>
          <cell r="G1106">
            <v>0</v>
          </cell>
          <cell r="H1106">
            <v>4</v>
          </cell>
          <cell r="I1106" t="str">
            <v>Yes</v>
          </cell>
          <cell r="J1106" t="str">
            <v/>
          </cell>
          <cell r="K1106" t="str">
            <v>No</v>
          </cell>
          <cell r="L1106" t="str">
            <v/>
          </cell>
          <cell r="M1106" t="str">
            <v/>
          </cell>
          <cell r="N1106" t="str">
            <v>Spool</v>
          </cell>
          <cell r="O1106">
            <v>0</v>
          </cell>
          <cell r="P1106">
            <v>0</v>
          </cell>
          <cell r="Q1106" t="str">
            <v>CS</v>
          </cell>
          <cell r="R1106">
            <v>1</v>
          </cell>
          <cell r="S1106">
            <v>1</v>
          </cell>
          <cell r="T1106">
            <v>7.1317199999999996</v>
          </cell>
          <cell r="U1106">
            <v>7.1317199999999996</v>
          </cell>
        </row>
        <row r="1107">
          <cell r="B1107" t="str">
            <v>V17551-PIND-0504-04</v>
          </cell>
          <cell r="C1107" t="str">
            <v>PROD/25-26/14118</v>
          </cell>
          <cell r="D1107" t="str">
            <v/>
          </cell>
          <cell r="E1107" t="str">
            <v>TJ/25-26/184-CS</v>
          </cell>
          <cell r="F1107" t="str">
            <v>P5</v>
          </cell>
          <cell r="G1107">
            <v>0</v>
          </cell>
          <cell r="H1107">
            <v>4</v>
          </cell>
          <cell r="I1107" t="str">
            <v>Yes</v>
          </cell>
          <cell r="J1107" t="str">
            <v/>
          </cell>
          <cell r="K1107" t="str">
            <v>No</v>
          </cell>
          <cell r="L1107" t="str">
            <v/>
          </cell>
          <cell r="M1107" t="str">
            <v/>
          </cell>
          <cell r="N1107" t="str">
            <v>Spool</v>
          </cell>
          <cell r="O1107">
            <v>0</v>
          </cell>
          <cell r="P1107">
            <v>0</v>
          </cell>
          <cell r="Q1107" t="str">
            <v>CS</v>
          </cell>
          <cell r="R1107">
            <v>1</v>
          </cell>
          <cell r="S1107">
            <v>1</v>
          </cell>
          <cell r="T1107">
            <v>27.202639999999999</v>
          </cell>
          <cell r="U1107">
            <v>27.202639999999999</v>
          </cell>
        </row>
        <row r="1108">
          <cell r="B1108" t="str">
            <v>V17551-PIND-0509-04</v>
          </cell>
          <cell r="C1108" t="str">
            <v>PROD/25-26/13904</v>
          </cell>
          <cell r="D1108" t="str">
            <v/>
          </cell>
          <cell r="E1108" t="str">
            <v>TJ/25-26/184-P11</v>
          </cell>
          <cell r="F1108" t="str">
            <v>P5</v>
          </cell>
          <cell r="G1108">
            <v>0</v>
          </cell>
          <cell r="H1108">
            <v>4</v>
          </cell>
          <cell r="I1108" t="str">
            <v>Yes</v>
          </cell>
          <cell r="J1108" t="str">
            <v/>
          </cell>
          <cell r="K1108" t="str">
            <v>No</v>
          </cell>
          <cell r="L1108" t="str">
            <v/>
          </cell>
          <cell r="M1108" t="str">
            <v/>
          </cell>
          <cell r="N1108" t="str">
            <v>Spool</v>
          </cell>
          <cell r="O1108">
            <v>0</v>
          </cell>
          <cell r="P1108">
            <v>0</v>
          </cell>
          <cell r="Q1108" t="str">
            <v>P11</v>
          </cell>
          <cell r="R1108">
            <v>1</v>
          </cell>
          <cell r="S1108">
            <v>1</v>
          </cell>
          <cell r="T1108">
            <v>16.413599999999999</v>
          </cell>
          <cell r="U1108">
            <v>16.413599999999999</v>
          </cell>
        </row>
        <row r="1109">
          <cell r="B1109" t="str">
            <v>V17551-PIND-0513-04</v>
          </cell>
          <cell r="C1109" t="str">
            <v>PROD/25-26/13908</v>
          </cell>
          <cell r="D1109" t="str">
            <v/>
          </cell>
          <cell r="E1109" t="str">
            <v>TJ/25-26/184-CS</v>
          </cell>
          <cell r="F1109" t="str">
            <v>P5</v>
          </cell>
          <cell r="G1109">
            <v>0</v>
          </cell>
          <cell r="H1109">
            <v>4</v>
          </cell>
          <cell r="I1109" t="str">
            <v>Yes</v>
          </cell>
          <cell r="J1109" t="str">
            <v/>
          </cell>
          <cell r="K1109" t="str">
            <v>No</v>
          </cell>
          <cell r="L1109" t="str">
            <v/>
          </cell>
          <cell r="M1109" t="str">
            <v/>
          </cell>
          <cell r="N1109" t="str">
            <v>Spool</v>
          </cell>
          <cell r="O1109">
            <v>0</v>
          </cell>
          <cell r="P1109">
            <v>0</v>
          </cell>
          <cell r="Q1109" t="str">
            <v>CS</v>
          </cell>
          <cell r="R1109">
            <v>1</v>
          </cell>
          <cell r="S1109">
            <v>1</v>
          </cell>
          <cell r="T1109">
            <v>48.561160000000001</v>
          </cell>
          <cell r="U1109">
            <v>48.561160000000001</v>
          </cell>
        </row>
        <row r="1110">
          <cell r="B1110" t="str">
            <v>V17551-PIND-0518-04</v>
          </cell>
          <cell r="C1110" t="str">
            <v>PROD/25-26/13913</v>
          </cell>
          <cell r="D1110" t="str">
            <v/>
          </cell>
          <cell r="E1110" t="str">
            <v>TJ/25-26/184-CS</v>
          </cell>
          <cell r="F1110" t="str">
            <v>P5</v>
          </cell>
          <cell r="G1110">
            <v>0</v>
          </cell>
          <cell r="H1110">
            <v>4</v>
          </cell>
          <cell r="I1110" t="str">
            <v>Yes</v>
          </cell>
          <cell r="J1110" t="str">
            <v/>
          </cell>
          <cell r="K1110" t="str">
            <v>No</v>
          </cell>
          <cell r="L1110" t="str">
            <v/>
          </cell>
          <cell r="M1110" t="str">
            <v/>
          </cell>
          <cell r="N1110" t="str">
            <v>Spool</v>
          </cell>
          <cell r="O1110">
            <v>0</v>
          </cell>
          <cell r="P1110">
            <v>0</v>
          </cell>
          <cell r="Q1110" t="str">
            <v>CS</v>
          </cell>
          <cell r="R1110">
            <v>1</v>
          </cell>
          <cell r="S1110">
            <v>1</v>
          </cell>
          <cell r="T1110">
            <v>19.34376</v>
          </cell>
          <cell r="U1110">
            <v>19.34376</v>
          </cell>
        </row>
        <row r="1111">
          <cell r="B1111" t="str">
            <v>V17551-PIND-0520-04</v>
          </cell>
          <cell r="C1111" t="str">
            <v>PROD/25-26/14123</v>
          </cell>
          <cell r="D1111" t="str">
            <v/>
          </cell>
          <cell r="E1111" t="str">
            <v>TJ/25-26/184-CS</v>
          </cell>
          <cell r="F1111" t="str">
            <v>P5</v>
          </cell>
          <cell r="G1111">
            <v>0</v>
          </cell>
          <cell r="H1111">
            <v>4</v>
          </cell>
          <cell r="I1111" t="str">
            <v>No</v>
          </cell>
          <cell r="J1111" t="str">
            <v/>
          </cell>
          <cell r="K1111" t="str">
            <v>No</v>
          </cell>
          <cell r="L1111" t="str">
            <v/>
          </cell>
          <cell r="M1111" t="str">
            <v/>
          </cell>
          <cell r="N1111" t="str">
            <v>Spool</v>
          </cell>
          <cell r="O1111">
            <v>0</v>
          </cell>
          <cell r="P1111">
            <v>0</v>
          </cell>
          <cell r="Q1111" t="str">
            <v>CS</v>
          </cell>
          <cell r="R1111">
            <v>1</v>
          </cell>
          <cell r="S1111">
            <v>1</v>
          </cell>
          <cell r="T1111">
            <v>15.976800000000001</v>
          </cell>
          <cell r="U1111">
            <v>15.976800000000001</v>
          </cell>
        </row>
        <row r="1112">
          <cell r="B1112" t="str">
            <v>V17551-PIND-0523-04</v>
          </cell>
          <cell r="C1112" t="str">
            <v>PROD/25-26/13918</v>
          </cell>
          <cell r="D1112" t="str">
            <v/>
          </cell>
          <cell r="E1112" t="str">
            <v>TJ/25-26/184-CS</v>
          </cell>
          <cell r="F1112" t="str">
            <v>P5</v>
          </cell>
          <cell r="G1112">
            <v>0</v>
          </cell>
          <cell r="H1112">
            <v>4</v>
          </cell>
          <cell r="I1112" t="str">
            <v>Yes</v>
          </cell>
          <cell r="J1112" t="str">
            <v/>
          </cell>
          <cell r="K1112" t="str">
            <v>No</v>
          </cell>
          <cell r="L1112" t="str">
            <v/>
          </cell>
          <cell r="M1112" t="str">
            <v/>
          </cell>
          <cell r="N1112" t="str">
            <v>Spool</v>
          </cell>
          <cell r="O1112">
            <v>0</v>
          </cell>
          <cell r="P1112">
            <v>0</v>
          </cell>
          <cell r="Q1112" t="str">
            <v>CS</v>
          </cell>
          <cell r="R1112">
            <v>1</v>
          </cell>
          <cell r="S1112">
            <v>1</v>
          </cell>
          <cell r="T1112">
            <v>8.8546800000000001</v>
          </cell>
          <cell r="U1112">
            <v>8.8546800000000001</v>
          </cell>
        </row>
        <row r="1113">
          <cell r="B1113" t="str">
            <v>V17551-PIND-0528-04</v>
          </cell>
          <cell r="C1113" t="str">
            <v>PROD/25-26/13923</v>
          </cell>
          <cell r="D1113" t="str">
            <v/>
          </cell>
          <cell r="E1113" t="str">
            <v>TJ/25-26/184-91</v>
          </cell>
          <cell r="F1113" t="str">
            <v>P1</v>
          </cell>
          <cell r="G1113">
            <v>0</v>
          </cell>
          <cell r="H1113">
            <v>4</v>
          </cell>
          <cell r="I1113" t="str">
            <v>Yes</v>
          </cell>
          <cell r="J1113" t="str">
            <v/>
          </cell>
          <cell r="K1113" t="str">
            <v>No</v>
          </cell>
          <cell r="L1113" t="str">
            <v/>
          </cell>
          <cell r="M1113" t="str">
            <v/>
          </cell>
          <cell r="N1113" t="str">
            <v>Spool</v>
          </cell>
          <cell r="O1113">
            <v>0</v>
          </cell>
          <cell r="P1113">
            <v>0</v>
          </cell>
          <cell r="Q1113" t="str">
            <v>CS</v>
          </cell>
          <cell r="R1113">
            <v>1</v>
          </cell>
          <cell r="S1113">
            <v>1</v>
          </cell>
          <cell r="T1113">
            <v>5.2603999999999997</v>
          </cell>
          <cell r="U1113">
            <v>5.2603999999999997</v>
          </cell>
        </row>
        <row r="1114">
          <cell r="B1114" t="str">
            <v>V17551-PIND-0529-04</v>
          </cell>
          <cell r="C1114" t="str">
            <v>PROD/25-26/13924</v>
          </cell>
          <cell r="D1114" t="str">
            <v/>
          </cell>
          <cell r="E1114" t="str">
            <v>TJ/25-26/184-CS</v>
          </cell>
          <cell r="F1114" t="str">
            <v>P1</v>
          </cell>
          <cell r="G1114">
            <v>0</v>
          </cell>
          <cell r="H1114">
            <v>4</v>
          </cell>
          <cell r="I1114" t="str">
            <v>Yes</v>
          </cell>
          <cell r="J1114" t="str">
            <v/>
          </cell>
          <cell r="K1114" t="str">
            <v>No</v>
          </cell>
          <cell r="L1114" t="str">
            <v/>
          </cell>
          <cell r="M1114" t="str">
            <v/>
          </cell>
          <cell r="N1114" t="str">
            <v>Spool</v>
          </cell>
          <cell r="O1114">
            <v>0</v>
          </cell>
          <cell r="P1114">
            <v>0</v>
          </cell>
          <cell r="Q1114" t="str">
            <v>CS</v>
          </cell>
          <cell r="R1114">
            <v>1</v>
          </cell>
          <cell r="S1114">
            <v>1</v>
          </cell>
          <cell r="T1114">
            <v>3.6190000000000002</v>
          </cell>
          <cell r="U1114">
            <v>3.6190000000000002</v>
          </cell>
        </row>
        <row r="1115">
          <cell r="B1115" t="str">
            <v>V17551-PIND-0530-04</v>
          </cell>
          <cell r="C1115" t="str">
            <v>PROD/25-26/13925</v>
          </cell>
          <cell r="D1115" t="str">
            <v/>
          </cell>
          <cell r="E1115" t="str">
            <v>TJ/25-26/184-CS</v>
          </cell>
          <cell r="F1115" t="str">
            <v>P1</v>
          </cell>
          <cell r="G1115">
            <v>0</v>
          </cell>
          <cell r="H1115">
            <v>4</v>
          </cell>
          <cell r="I1115" t="str">
            <v>Yes</v>
          </cell>
          <cell r="J1115" t="str">
            <v/>
          </cell>
          <cell r="K1115" t="str">
            <v>No</v>
          </cell>
          <cell r="L1115" t="str">
            <v/>
          </cell>
          <cell r="M1115" t="str">
            <v/>
          </cell>
          <cell r="N1115" t="str">
            <v>Spool</v>
          </cell>
          <cell r="O1115">
            <v>0</v>
          </cell>
          <cell r="P1115">
            <v>0</v>
          </cell>
          <cell r="Q1115" t="str">
            <v>CS</v>
          </cell>
          <cell r="R1115">
            <v>1</v>
          </cell>
          <cell r="S1115">
            <v>1</v>
          </cell>
          <cell r="T1115">
            <v>19.535219999999999</v>
          </cell>
          <cell r="U1115">
            <v>19.535219999999999</v>
          </cell>
        </row>
        <row r="1116">
          <cell r="B1116" t="str">
            <v>V17551-PIND-0557-04</v>
          </cell>
          <cell r="C1116" t="str">
            <v>PROD/25-26/13941</v>
          </cell>
          <cell r="D1116" t="str">
            <v/>
          </cell>
          <cell r="E1116" t="str">
            <v>TJ/25-26/184-CS</v>
          </cell>
          <cell r="F1116" t="str">
            <v>P5</v>
          </cell>
          <cell r="G1116">
            <v>0</v>
          </cell>
          <cell r="H1116">
            <v>4</v>
          </cell>
          <cell r="I1116" t="str">
            <v>Yes</v>
          </cell>
          <cell r="J1116" t="str">
            <v/>
          </cell>
          <cell r="K1116" t="str">
            <v>No</v>
          </cell>
          <cell r="L1116" t="str">
            <v/>
          </cell>
          <cell r="M1116" t="str">
            <v/>
          </cell>
          <cell r="N1116" t="str">
            <v>Spool</v>
          </cell>
          <cell r="O1116">
            <v>0</v>
          </cell>
          <cell r="P1116">
            <v>0</v>
          </cell>
          <cell r="Q1116" t="str">
            <v>CS</v>
          </cell>
          <cell r="R1116">
            <v>1</v>
          </cell>
          <cell r="S1116">
            <v>1</v>
          </cell>
          <cell r="T1116">
            <v>4.8220799999999997</v>
          </cell>
          <cell r="U1116">
            <v>4.8220799999999997</v>
          </cell>
        </row>
        <row r="1117">
          <cell r="B1117" t="str">
            <v>V17551-PIND-0563-04</v>
          </cell>
          <cell r="C1117" t="str">
            <v>PROD/25-26/13947</v>
          </cell>
          <cell r="D1117" t="str">
            <v/>
          </cell>
          <cell r="E1117" t="str">
            <v>TJ/25-26/184-CS</v>
          </cell>
          <cell r="F1117" t="str">
            <v>P5</v>
          </cell>
          <cell r="G1117">
            <v>0</v>
          </cell>
          <cell r="H1117">
            <v>4</v>
          </cell>
          <cell r="I1117" t="str">
            <v>Yes</v>
          </cell>
          <cell r="J1117" t="str">
            <v/>
          </cell>
          <cell r="K1117" t="str">
            <v>No</v>
          </cell>
          <cell r="L1117" t="str">
            <v/>
          </cell>
          <cell r="M1117" t="str">
            <v/>
          </cell>
          <cell r="N1117" t="str">
            <v>Spool</v>
          </cell>
          <cell r="O1117">
            <v>0</v>
          </cell>
          <cell r="P1117">
            <v>0</v>
          </cell>
          <cell r="Q1117" t="str">
            <v>CS</v>
          </cell>
          <cell r="R1117">
            <v>1</v>
          </cell>
          <cell r="S1117">
            <v>1</v>
          </cell>
          <cell r="T1117">
            <v>46.61</v>
          </cell>
          <cell r="U1117">
            <v>46.61</v>
          </cell>
        </row>
        <row r="1118">
          <cell r="B1118" t="str">
            <v>V17551-PIND-0574-10</v>
          </cell>
          <cell r="C1118" t="str">
            <v>PROD/25-26/13952</v>
          </cell>
          <cell r="D1118" t="str">
            <v/>
          </cell>
          <cell r="E1118" t="str">
            <v>TJ/25-26/184-CS</v>
          </cell>
          <cell r="F1118" t="str">
            <v>P5</v>
          </cell>
          <cell r="G1118">
            <v>0</v>
          </cell>
          <cell r="H1118">
            <v>4</v>
          </cell>
          <cell r="I1118" t="str">
            <v>Yes</v>
          </cell>
          <cell r="J1118" t="str">
            <v/>
          </cell>
          <cell r="K1118" t="str">
            <v>No</v>
          </cell>
          <cell r="L1118" t="str">
            <v/>
          </cell>
          <cell r="M1118" t="str">
            <v/>
          </cell>
          <cell r="N1118" t="str">
            <v>Spool</v>
          </cell>
          <cell r="O1118">
            <v>0</v>
          </cell>
          <cell r="P1118">
            <v>0</v>
          </cell>
          <cell r="Q1118" t="str">
            <v>CS</v>
          </cell>
          <cell r="R1118">
            <v>1</v>
          </cell>
          <cell r="S1118">
            <v>1</v>
          </cell>
          <cell r="T1118">
            <v>19.851040000000001</v>
          </cell>
          <cell r="U1118">
            <v>19.851040000000001</v>
          </cell>
        </row>
        <row r="1119">
          <cell r="B1119" t="str">
            <v>V17551-PIND-0575-09</v>
          </cell>
          <cell r="C1119" t="str">
            <v>PROD/25-26/13953</v>
          </cell>
          <cell r="D1119" t="str">
            <v/>
          </cell>
          <cell r="E1119" t="str">
            <v>TJ/25-26/184-CS</v>
          </cell>
          <cell r="F1119" t="str">
            <v>P5</v>
          </cell>
          <cell r="G1119">
            <v>0</v>
          </cell>
          <cell r="H1119">
            <v>4</v>
          </cell>
          <cell r="I1119" t="str">
            <v>Yes</v>
          </cell>
          <cell r="J1119" t="str">
            <v/>
          </cell>
          <cell r="K1119" t="str">
            <v>No</v>
          </cell>
          <cell r="L1119" t="str">
            <v/>
          </cell>
          <cell r="M1119" t="str">
            <v/>
          </cell>
          <cell r="N1119" t="str">
            <v>Spool</v>
          </cell>
          <cell r="O1119">
            <v>0</v>
          </cell>
          <cell r="P1119">
            <v>0</v>
          </cell>
          <cell r="Q1119" t="str">
            <v>CS</v>
          </cell>
          <cell r="R1119">
            <v>1</v>
          </cell>
          <cell r="S1119">
            <v>1</v>
          </cell>
          <cell r="T1119">
            <v>39.3108</v>
          </cell>
          <cell r="U1119">
            <v>39.3108</v>
          </cell>
        </row>
        <row r="1120">
          <cell r="B1120" t="str">
            <v>SHA-1072-01</v>
          </cell>
          <cell r="C1120" t="str">
            <v>PROD/25-26/13713</v>
          </cell>
          <cell r="D1120" t="str">
            <v/>
          </cell>
          <cell r="E1120" t="str">
            <v>TJ/25-26/184-CS</v>
          </cell>
          <cell r="F1120" t="str">
            <v>P1</v>
          </cell>
          <cell r="G1120">
            <v>0</v>
          </cell>
          <cell r="H1120">
            <v>5</v>
          </cell>
          <cell r="I1120" t="str">
            <v>Yes</v>
          </cell>
          <cell r="J1120" t="str">
            <v/>
          </cell>
          <cell r="K1120" t="str">
            <v>No</v>
          </cell>
          <cell r="L1120" t="str">
            <v/>
          </cell>
          <cell r="M1120" t="str">
            <v/>
          </cell>
          <cell r="N1120" t="str">
            <v>Spool</v>
          </cell>
          <cell r="O1120">
            <v>0</v>
          </cell>
          <cell r="P1120">
            <v>0</v>
          </cell>
          <cell r="Q1120" t="str">
            <v>P22</v>
          </cell>
          <cell r="R1120">
            <v>1</v>
          </cell>
          <cell r="S1120">
            <v>1</v>
          </cell>
          <cell r="T1120">
            <v>5.38279</v>
          </cell>
          <cell r="U1120">
            <v>5.38279</v>
          </cell>
        </row>
        <row r="1121">
          <cell r="B1121" t="str">
            <v>V17551-PIND-0010-05</v>
          </cell>
          <cell r="C1121" t="str">
            <v>PROD/25-26/08045</v>
          </cell>
          <cell r="D1121" t="str">
            <v/>
          </cell>
          <cell r="E1121" t="str">
            <v>TJ/25-26/184-CS</v>
          </cell>
          <cell r="F1121" t="str">
            <v>P5</v>
          </cell>
          <cell r="G1121">
            <v>0</v>
          </cell>
          <cell r="H1121">
            <v>5</v>
          </cell>
          <cell r="I1121" t="str">
            <v>Yes</v>
          </cell>
          <cell r="J1121" t="str">
            <v/>
          </cell>
          <cell r="K1121" t="str">
            <v>No</v>
          </cell>
          <cell r="L1121" t="str">
            <v/>
          </cell>
          <cell r="M1121" t="str">
            <v/>
          </cell>
          <cell r="N1121" t="str">
            <v>Spool</v>
          </cell>
          <cell r="O1121">
            <v>0</v>
          </cell>
          <cell r="P1121">
            <v>0</v>
          </cell>
          <cell r="Q1121" t="str">
            <v>CS</v>
          </cell>
          <cell r="R1121">
            <v>1</v>
          </cell>
          <cell r="S1121">
            <v>1</v>
          </cell>
          <cell r="T1121">
            <v>668.755</v>
          </cell>
          <cell r="U1121">
            <v>668.755</v>
          </cell>
        </row>
        <row r="1122">
          <cell r="B1122" t="str">
            <v>V17551-PIND-0028-05</v>
          </cell>
          <cell r="C1122" t="str">
            <v>PROD/25-26/06508</v>
          </cell>
          <cell r="D1122" t="str">
            <v/>
          </cell>
          <cell r="E1122" t="str">
            <v>TJ/25-26/184-CS</v>
          </cell>
          <cell r="F1122" t="str">
            <v>P5</v>
          </cell>
          <cell r="G1122">
            <v>0</v>
          </cell>
          <cell r="H1122">
            <v>5</v>
          </cell>
          <cell r="I1122" t="str">
            <v>Yes</v>
          </cell>
          <cell r="J1122" t="str">
            <v/>
          </cell>
          <cell r="K1122" t="str">
            <v>No</v>
          </cell>
          <cell r="L1122" t="str">
            <v/>
          </cell>
          <cell r="M1122" t="str">
            <v/>
          </cell>
          <cell r="N1122" t="str">
            <v>Spool</v>
          </cell>
          <cell r="O1122">
            <v>0</v>
          </cell>
          <cell r="P1122">
            <v>0</v>
          </cell>
          <cell r="Q1122" t="str">
            <v>CS</v>
          </cell>
          <cell r="R1122">
            <v>1</v>
          </cell>
          <cell r="S1122">
            <v>1</v>
          </cell>
          <cell r="T1122">
            <v>66.093879999999999</v>
          </cell>
          <cell r="U1122">
            <v>66.093879999999999</v>
          </cell>
        </row>
        <row r="1123">
          <cell r="B1123" t="str">
            <v>V17551-PIND-0030-05</v>
          </cell>
          <cell r="C1123" t="str">
            <v>PROD/25-26/06510</v>
          </cell>
          <cell r="D1123" t="str">
            <v/>
          </cell>
          <cell r="E1123" t="str">
            <v>TJ/25-26/184-CS</v>
          </cell>
          <cell r="F1123" t="str">
            <v>P5</v>
          </cell>
          <cell r="G1123">
            <v>0</v>
          </cell>
          <cell r="H1123">
            <v>5</v>
          </cell>
          <cell r="I1123" t="str">
            <v>Yes</v>
          </cell>
          <cell r="J1123" t="str">
            <v/>
          </cell>
          <cell r="K1123" t="str">
            <v>No</v>
          </cell>
          <cell r="L1123" t="str">
            <v/>
          </cell>
          <cell r="M1123" t="str">
            <v/>
          </cell>
          <cell r="N1123" t="str">
            <v>Spool</v>
          </cell>
          <cell r="O1123">
            <v>0</v>
          </cell>
          <cell r="P1123">
            <v>0</v>
          </cell>
          <cell r="Q1123" t="str">
            <v>CS</v>
          </cell>
          <cell r="R1123">
            <v>1</v>
          </cell>
          <cell r="S1123">
            <v>1</v>
          </cell>
          <cell r="T1123">
            <v>79.008700000000005</v>
          </cell>
          <cell r="U1123">
            <v>79.008700000000005</v>
          </cell>
        </row>
        <row r="1124">
          <cell r="B1124" t="str">
            <v>V17551-PIND-0032-05</v>
          </cell>
          <cell r="C1124" t="str">
            <v>PROD/25-26/07353</v>
          </cell>
          <cell r="D1124" t="str">
            <v/>
          </cell>
          <cell r="E1124" t="str">
            <v>TJ/25-26/184-CS</v>
          </cell>
          <cell r="F1124" t="str">
            <v>P5,P1</v>
          </cell>
          <cell r="G1124">
            <v>0</v>
          </cell>
          <cell r="H1124">
            <v>5</v>
          </cell>
          <cell r="I1124" t="str">
            <v>Yes</v>
          </cell>
          <cell r="J1124" t="str">
            <v/>
          </cell>
          <cell r="K1124" t="str">
            <v>No</v>
          </cell>
          <cell r="L1124" t="str">
            <v/>
          </cell>
          <cell r="M1124" t="str">
            <v/>
          </cell>
          <cell r="N1124" t="str">
            <v>Spool</v>
          </cell>
          <cell r="O1124">
            <v>0</v>
          </cell>
          <cell r="P1124">
            <v>0</v>
          </cell>
          <cell r="Q1124" t="str">
            <v>CS</v>
          </cell>
          <cell r="R1124">
            <v>1</v>
          </cell>
          <cell r="S1124">
            <v>1</v>
          </cell>
          <cell r="T1124">
            <v>165.33240000000001</v>
          </cell>
          <cell r="U1124">
            <v>165.33240000000001</v>
          </cell>
        </row>
        <row r="1125">
          <cell r="B1125" t="str">
            <v>V17551-PIND-0034-05</v>
          </cell>
          <cell r="C1125" t="str">
            <v>PROD/25-26/07354</v>
          </cell>
          <cell r="D1125" t="str">
            <v/>
          </cell>
          <cell r="E1125" t="str">
            <v>TJ/25-26/184-CS</v>
          </cell>
          <cell r="F1125" t="str">
            <v>P5,P1</v>
          </cell>
          <cell r="G1125">
            <v>0</v>
          </cell>
          <cell r="H1125">
            <v>5</v>
          </cell>
          <cell r="I1125" t="str">
            <v>Yes</v>
          </cell>
          <cell r="J1125" t="str">
            <v/>
          </cell>
          <cell r="K1125" t="str">
            <v>No</v>
          </cell>
          <cell r="L1125" t="str">
            <v/>
          </cell>
          <cell r="M1125" t="str">
            <v/>
          </cell>
          <cell r="N1125" t="str">
            <v>Spool</v>
          </cell>
          <cell r="O1125">
            <v>0</v>
          </cell>
          <cell r="P1125">
            <v>0</v>
          </cell>
          <cell r="Q1125" t="str">
            <v>CS</v>
          </cell>
          <cell r="R1125">
            <v>1</v>
          </cell>
          <cell r="S1125">
            <v>1</v>
          </cell>
          <cell r="T1125">
            <v>205.57060000000001</v>
          </cell>
          <cell r="U1125">
            <v>205.57060000000001</v>
          </cell>
        </row>
        <row r="1126">
          <cell r="B1126" t="str">
            <v>V17551-PIND-0036-05</v>
          </cell>
          <cell r="C1126" t="str">
            <v>PROD/25-26/07355</v>
          </cell>
          <cell r="D1126" t="str">
            <v/>
          </cell>
          <cell r="E1126" t="str">
            <v>TJ/25-26/184-CS</v>
          </cell>
          <cell r="F1126" t="str">
            <v>P5,P1</v>
          </cell>
          <cell r="G1126">
            <v>0</v>
          </cell>
          <cell r="H1126">
            <v>5</v>
          </cell>
          <cell r="I1126" t="str">
            <v>Yes</v>
          </cell>
          <cell r="J1126" t="str">
            <v/>
          </cell>
          <cell r="K1126" t="str">
            <v>No</v>
          </cell>
          <cell r="L1126" t="str">
            <v/>
          </cell>
          <cell r="M1126" t="str">
            <v/>
          </cell>
          <cell r="N1126" t="str">
            <v>Spool</v>
          </cell>
          <cell r="O1126">
            <v>0</v>
          </cell>
          <cell r="P1126">
            <v>0</v>
          </cell>
          <cell r="Q1126" t="str">
            <v>CS</v>
          </cell>
          <cell r="R1126">
            <v>1</v>
          </cell>
          <cell r="S1126">
            <v>1</v>
          </cell>
          <cell r="T1126">
            <v>155.10632000000001</v>
          </cell>
          <cell r="U1126">
            <v>155.10632000000001</v>
          </cell>
        </row>
        <row r="1127">
          <cell r="B1127" t="str">
            <v>V17551-PIND-0038-05</v>
          </cell>
          <cell r="C1127" t="str">
            <v>PROD/25-26/07356</v>
          </cell>
          <cell r="D1127" t="str">
            <v/>
          </cell>
          <cell r="E1127" t="str">
            <v>TJ/25-26/184-CS</v>
          </cell>
          <cell r="F1127" t="str">
            <v>P5,P1</v>
          </cell>
          <cell r="G1127">
            <v>0</v>
          </cell>
          <cell r="H1127">
            <v>5</v>
          </cell>
          <cell r="I1127" t="str">
            <v>Yes</v>
          </cell>
          <cell r="J1127" t="str">
            <v/>
          </cell>
          <cell r="K1127" t="str">
            <v>No</v>
          </cell>
          <cell r="L1127" t="str">
            <v/>
          </cell>
          <cell r="M1127" t="str">
            <v/>
          </cell>
          <cell r="N1127" t="str">
            <v>Spool</v>
          </cell>
          <cell r="O1127">
            <v>0</v>
          </cell>
          <cell r="P1127">
            <v>0</v>
          </cell>
          <cell r="Q1127" t="str">
            <v>CS</v>
          </cell>
          <cell r="R1127">
            <v>1</v>
          </cell>
          <cell r="S1127">
            <v>1</v>
          </cell>
          <cell r="T1127">
            <v>155.10632000000001</v>
          </cell>
          <cell r="U1127">
            <v>155.10632000000001</v>
          </cell>
        </row>
        <row r="1128">
          <cell r="B1128" t="str">
            <v>V17551-PIND-0040-05</v>
          </cell>
          <cell r="C1128" t="str">
            <v>PROD/25-26/07357</v>
          </cell>
          <cell r="D1128" t="str">
            <v/>
          </cell>
          <cell r="E1128" t="str">
            <v>TJ/25-26/184-CS</v>
          </cell>
          <cell r="F1128" t="str">
            <v>P5,P1</v>
          </cell>
          <cell r="G1128">
            <v>0</v>
          </cell>
          <cell r="H1128">
            <v>5</v>
          </cell>
          <cell r="I1128" t="str">
            <v>Yes</v>
          </cell>
          <cell r="J1128" t="str">
            <v/>
          </cell>
          <cell r="K1128" t="str">
            <v>No</v>
          </cell>
          <cell r="L1128" t="str">
            <v/>
          </cell>
          <cell r="M1128" t="str">
            <v/>
          </cell>
          <cell r="N1128" t="str">
            <v>Spool</v>
          </cell>
          <cell r="O1128">
            <v>0</v>
          </cell>
          <cell r="P1128">
            <v>0</v>
          </cell>
          <cell r="Q1128" t="str">
            <v>CS</v>
          </cell>
          <cell r="R1128">
            <v>1</v>
          </cell>
          <cell r="S1128">
            <v>1</v>
          </cell>
          <cell r="T1128">
            <v>155.10632000000001</v>
          </cell>
          <cell r="U1128">
            <v>155.10632000000001</v>
          </cell>
        </row>
        <row r="1129">
          <cell r="B1129" t="str">
            <v>V17551-PIND-0042-05</v>
          </cell>
          <cell r="C1129" t="str">
            <v>PROD/25-26/07358</v>
          </cell>
          <cell r="D1129" t="str">
            <v/>
          </cell>
          <cell r="E1129" t="str">
            <v>TJ/25-26/184-CS</v>
          </cell>
          <cell r="F1129" t="str">
            <v>P5,P1</v>
          </cell>
          <cell r="G1129">
            <v>0</v>
          </cell>
          <cell r="H1129">
            <v>5</v>
          </cell>
          <cell r="I1129" t="str">
            <v>Yes</v>
          </cell>
          <cell r="J1129" t="str">
            <v/>
          </cell>
          <cell r="K1129" t="str">
            <v>No</v>
          </cell>
          <cell r="L1129" t="str">
            <v/>
          </cell>
          <cell r="M1129" t="str">
            <v/>
          </cell>
          <cell r="N1129" t="str">
            <v>Spool</v>
          </cell>
          <cell r="O1129">
            <v>0</v>
          </cell>
          <cell r="P1129">
            <v>0</v>
          </cell>
          <cell r="Q1129" t="str">
            <v>CS</v>
          </cell>
          <cell r="R1129">
            <v>1</v>
          </cell>
          <cell r="S1129">
            <v>1</v>
          </cell>
          <cell r="T1129">
            <v>155.10632000000001</v>
          </cell>
          <cell r="U1129">
            <v>155.10632000000001</v>
          </cell>
        </row>
        <row r="1130">
          <cell r="B1130" t="str">
            <v>V17551-PIND-0044-05</v>
          </cell>
          <cell r="C1130" t="str">
            <v>PROD/25-26/07359</v>
          </cell>
          <cell r="D1130" t="str">
            <v/>
          </cell>
          <cell r="E1130" t="str">
            <v>TJ/25-26/184-CS</v>
          </cell>
          <cell r="F1130" t="str">
            <v>P5,P1</v>
          </cell>
          <cell r="G1130">
            <v>0</v>
          </cell>
          <cell r="H1130">
            <v>5</v>
          </cell>
          <cell r="I1130" t="str">
            <v>Yes</v>
          </cell>
          <cell r="J1130" t="str">
            <v/>
          </cell>
          <cell r="K1130" t="str">
            <v>No</v>
          </cell>
          <cell r="L1130" t="str">
            <v/>
          </cell>
          <cell r="M1130" t="str">
            <v/>
          </cell>
          <cell r="N1130" t="str">
            <v>Spool</v>
          </cell>
          <cell r="O1130">
            <v>0</v>
          </cell>
          <cell r="P1130">
            <v>0</v>
          </cell>
          <cell r="Q1130" t="str">
            <v>CS</v>
          </cell>
          <cell r="R1130">
            <v>1</v>
          </cell>
          <cell r="S1130">
            <v>1</v>
          </cell>
          <cell r="T1130">
            <v>155.10632000000001</v>
          </cell>
          <cell r="U1130">
            <v>155.10632000000001</v>
          </cell>
        </row>
        <row r="1131">
          <cell r="B1131" t="str">
            <v>V17551-PIND-0046-05</v>
          </cell>
          <cell r="C1131" t="str">
            <v>PROD/25-26/07360</v>
          </cell>
          <cell r="D1131" t="str">
            <v/>
          </cell>
          <cell r="E1131" t="str">
            <v>TJ/25-26/184-CS</v>
          </cell>
          <cell r="F1131" t="str">
            <v>P5,P1</v>
          </cell>
          <cell r="G1131">
            <v>0</v>
          </cell>
          <cell r="H1131">
            <v>5</v>
          </cell>
          <cell r="I1131" t="str">
            <v>Yes</v>
          </cell>
          <cell r="J1131" t="str">
            <v/>
          </cell>
          <cell r="K1131" t="str">
            <v>No</v>
          </cell>
          <cell r="L1131" t="str">
            <v/>
          </cell>
          <cell r="M1131" t="str">
            <v/>
          </cell>
          <cell r="N1131" t="str">
            <v>Spool</v>
          </cell>
          <cell r="O1131">
            <v>0</v>
          </cell>
          <cell r="P1131">
            <v>0</v>
          </cell>
          <cell r="Q1131" t="str">
            <v>CS</v>
          </cell>
          <cell r="R1131">
            <v>1</v>
          </cell>
          <cell r="S1131">
            <v>1</v>
          </cell>
          <cell r="T1131">
            <v>155.10632000000001</v>
          </cell>
          <cell r="U1131">
            <v>155.10632000000001</v>
          </cell>
        </row>
        <row r="1132">
          <cell r="B1132" t="str">
            <v>V17551-PIND-0048-05</v>
          </cell>
          <cell r="C1132" t="str">
            <v>PROD/25-26/07361</v>
          </cell>
          <cell r="D1132" t="str">
            <v/>
          </cell>
          <cell r="E1132" t="str">
            <v>TJ/25-26/184-CS</v>
          </cell>
          <cell r="F1132" t="str">
            <v>P5,P1</v>
          </cell>
          <cell r="G1132">
            <v>0</v>
          </cell>
          <cell r="H1132">
            <v>5</v>
          </cell>
          <cell r="I1132" t="str">
            <v>Yes</v>
          </cell>
          <cell r="J1132" t="str">
            <v/>
          </cell>
          <cell r="K1132" t="str">
            <v>No</v>
          </cell>
          <cell r="L1132" t="str">
            <v/>
          </cell>
          <cell r="M1132" t="str">
            <v/>
          </cell>
          <cell r="N1132" t="str">
            <v>Spool</v>
          </cell>
          <cell r="O1132">
            <v>0</v>
          </cell>
          <cell r="P1132">
            <v>0</v>
          </cell>
          <cell r="Q1132" t="str">
            <v>CS</v>
          </cell>
          <cell r="R1132">
            <v>1</v>
          </cell>
          <cell r="S1132">
            <v>1</v>
          </cell>
          <cell r="T1132">
            <v>157.25407999999999</v>
          </cell>
          <cell r="U1132">
            <v>157.25407999999999</v>
          </cell>
        </row>
        <row r="1133">
          <cell r="B1133" t="str">
            <v>V17551-PIND-0050-05</v>
          </cell>
          <cell r="C1133" t="str">
            <v>PROD/25-26/07362</v>
          </cell>
          <cell r="D1133" t="str">
            <v/>
          </cell>
          <cell r="E1133" t="str">
            <v>TJ/25-26/184-CS</v>
          </cell>
          <cell r="F1133" t="str">
            <v>P5,P1</v>
          </cell>
          <cell r="G1133">
            <v>0</v>
          </cell>
          <cell r="H1133">
            <v>5</v>
          </cell>
          <cell r="I1133" t="str">
            <v>Yes</v>
          </cell>
          <cell r="J1133" t="str">
            <v/>
          </cell>
          <cell r="K1133" t="str">
            <v>No</v>
          </cell>
          <cell r="L1133" t="str">
            <v/>
          </cell>
          <cell r="M1133" t="str">
            <v/>
          </cell>
          <cell r="N1133" t="str">
            <v>Spool</v>
          </cell>
          <cell r="O1133">
            <v>0</v>
          </cell>
          <cell r="P1133">
            <v>0</v>
          </cell>
          <cell r="Q1133" t="str">
            <v>CS</v>
          </cell>
          <cell r="R1133">
            <v>1</v>
          </cell>
          <cell r="S1133">
            <v>1</v>
          </cell>
          <cell r="T1133">
            <v>155.127586592</v>
          </cell>
          <cell r="U1133">
            <v>155.127586592</v>
          </cell>
        </row>
        <row r="1134">
          <cell r="B1134" t="str">
            <v>V17551-PIND-0052-05</v>
          </cell>
          <cell r="C1134" t="str">
            <v>PROD/25-26/07363</v>
          </cell>
          <cell r="D1134" t="str">
            <v/>
          </cell>
          <cell r="E1134" t="str">
            <v>TJ/25-26/184-CS</v>
          </cell>
          <cell r="F1134" t="str">
            <v>P5,P1</v>
          </cell>
          <cell r="G1134">
            <v>0</v>
          </cell>
          <cell r="H1134">
            <v>5</v>
          </cell>
          <cell r="I1134" t="str">
            <v>Yes</v>
          </cell>
          <cell r="J1134" t="str">
            <v/>
          </cell>
          <cell r="K1134" t="str">
            <v>No</v>
          </cell>
          <cell r="L1134" t="str">
            <v/>
          </cell>
          <cell r="M1134" t="str">
            <v/>
          </cell>
          <cell r="N1134" t="str">
            <v>Spool</v>
          </cell>
          <cell r="O1134">
            <v>0</v>
          </cell>
          <cell r="P1134">
            <v>0</v>
          </cell>
          <cell r="Q1134" t="str">
            <v>CS</v>
          </cell>
          <cell r="R1134">
            <v>1</v>
          </cell>
          <cell r="S1134">
            <v>1</v>
          </cell>
          <cell r="T1134">
            <v>155.10632000000001</v>
          </cell>
          <cell r="U1134">
            <v>155.10632000000001</v>
          </cell>
        </row>
        <row r="1135">
          <cell r="B1135" t="str">
            <v>V17551-PIND-0054-05</v>
          </cell>
          <cell r="C1135" t="str">
            <v>PROD/25-26/07420</v>
          </cell>
          <cell r="D1135" t="str">
            <v/>
          </cell>
          <cell r="E1135" t="str">
            <v>TJ/25-26/184-CS</v>
          </cell>
          <cell r="F1135" t="str">
            <v>P5,P1</v>
          </cell>
          <cell r="G1135">
            <v>0</v>
          </cell>
          <cell r="H1135">
            <v>5</v>
          </cell>
          <cell r="I1135" t="str">
            <v>Yes</v>
          </cell>
          <cell r="J1135" t="str">
            <v/>
          </cell>
          <cell r="K1135" t="str">
            <v>No</v>
          </cell>
          <cell r="L1135" t="str">
            <v/>
          </cell>
          <cell r="M1135" t="str">
            <v/>
          </cell>
          <cell r="N1135" t="str">
            <v>Spool</v>
          </cell>
          <cell r="O1135">
            <v>0</v>
          </cell>
          <cell r="P1135">
            <v>0</v>
          </cell>
          <cell r="Q1135" t="str">
            <v>CS</v>
          </cell>
          <cell r="R1135">
            <v>1</v>
          </cell>
          <cell r="S1135">
            <v>1</v>
          </cell>
          <cell r="T1135">
            <v>155.10632000000001</v>
          </cell>
          <cell r="U1135">
            <v>155.10632000000001</v>
          </cell>
        </row>
        <row r="1136">
          <cell r="B1136" t="str">
            <v>V17551-PIND-0056-05</v>
          </cell>
          <cell r="C1136" t="str">
            <v>PROD/25-26/07421</v>
          </cell>
          <cell r="D1136" t="str">
            <v/>
          </cell>
          <cell r="E1136" t="str">
            <v>TJ/25-26/184-CS</v>
          </cell>
          <cell r="F1136" t="str">
            <v>P5,P1</v>
          </cell>
          <cell r="G1136">
            <v>0</v>
          </cell>
          <cell r="H1136">
            <v>5</v>
          </cell>
          <cell r="I1136" t="str">
            <v>Yes</v>
          </cell>
          <cell r="J1136" t="str">
            <v/>
          </cell>
          <cell r="K1136" t="str">
            <v>No</v>
          </cell>
          <cell r="L1136" t="str">
            <v/>
          </cell>
          <cell r="M1136" t="str">
            <v/>
          </cell>
          <cell r="N1136" t="str">
            <v>Spool</v>
          </cell>
          <cell r="O1136">
            <v>0</v>
          </cell>
          <cell r="P1136">
            <v>0</v>
          </cell>
          <cell r="Q1136" t="str">
            <v>CS</v>
          </cell>
          <cell r="R1136">
            <v>1</v>
          </cell>
          <cell r="S1136">
            <v>1</v>
          </cell>
          <cell r="T1136">
            <v>205.57060000000001</v>
          </cell>
          <cell r="U1136">
            <v>205.57060000000001</v>
          </cell>
        </row>
        <row r="1137">
          <cell r="B1137" t="str">
            <v>V17551-PIND-0058-05</v>
          </cell>
          <cell r="C1137" t="str">
            <v>PROD/25-26/07422</v>
          </cell>
          <cell r="D1137" t="str">
            <v/>
          </cell>
          <cell r="E1137" t="str">
            <v>TJ/25-26/184-CS</v>
          </cell>
          <cell r="F1137" t="str">
            <v>P5,P1</v>
          </cell>
          <cell r="G1137">
            <v>0</v>
          </cell>
          <cell r="H1137">
            <v>5</v>
          </cell>
          <cell r="I1137" t="str">
            <v>Yes</v>
          </cell>
          <cell r="J1137" t="str">
            <v/>
          </cell>
          <cell r="K1137" t="str">
            <v>No</v>
          </cell>
          <cell r="L1137" t="str">
            <v/>
          </cell>
          <cell r="M1137" t="str">
            <v/>
          </cell>
          <cell r="N1137" t="str">
            <v>Spool</v>
          </cell>
          <cell r="O1137">
            <v>0</v>
          </cell>
          <cell r="P1137">
            <v>0</v>
          </cell>
          <cell r="Q1137" t="str">
            <v>CS</v>
          </cell>
          <cell r="R1137">
            <v>1</v>
          </cell>
          <cell r="S1137">
            <v>1</v>
          </cell>
          <cell r="T1137">
            <v>165.33240000000001</v>
          </cell>
          <cell r="U1137">
            <v>165.33240000000001</v>
          </cell>
        </row>
        <row r="1138">
          <cell r="B1138" t="str">
            <v>V17551-PIND-0060-05</v>
          </cell>
          <cell r="C1138" t="str">
            <v>PROD/25-26/06611</v>
          </cell>
          <cell r="D1138" t="str">
            <v/>
          </cell>
          <cell r="E1138" t="str">
            <v>TJ/25-26/184-CS</v>
          </cell>
          <cell r="F1138" t="str">
            <v>P5</v>
          </cell>
          <cell r="G1138">
            <v>0</v>
          </cell>
          <cell r="H1138">
            <v>5</v>
          </cell>
          <cell r="I1138" t="str">
            <v>Yes</v>
          </cell>
          <cell r="J1138" t="str">
            <v/>
          </cell>
          <cell r="K1138" t="str">
            <v>No</v>
          </cell>
          <cell r="L1138" t="str">
            <v/>
          </cell>
          <cell r="M1138" t="str">
            <v/>
          </cell>
          <cell r="N1138" t="str">
            <v>Spool</v>
          </cell>
          <cell r="O1138">
            <v>0</v>
          </cell>
          <cell r="P1138">
            <v>0</v>
          </cell>
          <cell r="Q1138" t="str">
            <v>CS</v>
          </cell>
          <cell r="R1138">
            <v>1</v>
          </cell>
          <cell r="S1138">
            <v>1</v>
          </cell>
          <cell r="T1138">
            <v>79.008700000000005</v>
          </cell>
          <cell r="U1138">
            <v>79.008700000000005</v>
          </cell>
        </row>
        <row r="1139">
          <cell r="B1139" t="str">
            <v>V17551-PIND-0062-05</v>
          </cell>
          <cell r="C1139" t="str">
            <v>PROD/25-26/06828</v>
          </cell>
          <cell r="D1139" t="str">
            <v/>
          </cell>
          <cell r="E1139" t="str">
            <v>TJ/25-26/184-CS</v>
          </cell>
          <cell r="F1139" t="str">
            <v>P5</v>
          </cell>
          <cell r="G1139">
            <v>0</v>
          </cell>
          <cell r="H1139">
            <v>5</v>
          </cell>
          <cell r="I1139" t="str">
            <v>Yes</v>
          </cell>
          <cell r="J1139" t="str">
            <v/>
          </cell>
          <cell r="K1139" t="str">
            <v>No</v>
          </cell>
          <cell r="L1139" t="str">
            <v/>
          </cell>
          <cell r="M1139" t="str">
            <v/>
          </cell>
          <cell r="N1139" t="str">
            <v>Spool</v>
          </cell>
          <cell r="O1139">
            <v>0</v>
          </cell>
          <cell r="P1139">
            <v>0</v>
          </cell>
          <cell r="Q1139" t="str">
            <v>CS</v>
          </cell>
          <cell r="R1139">
            <v>1</v>
          </cell>
          <cell r="S1139">
            <v>1</v>
          </cell>
          <cell r="T1139">
            <v>66.093879999999999</v>
          </cell>
          <cell r="U1139">
            <v>66.093879999999999</v>
          </cell>
        </row>
        <row r="1140">
          <cell r="B1140" t="str">
            <v>V17551-PIND-0082-05</v>
          </cell>
          <cell r="C1140" t="str">
            <v>PROD/25-26/07435</v>
          </cell>
          <cell r="D1140" t="str">
            <v>S-5082</v>
          </cell>
          <cell r="E1140" t="str">
            <v>TJ/25-26/184-CS</v>
          </cell>
          <cell r="F1140" t="str">
            <v>P5,P1</v>
          </cell>
          <cell r="G1140">
            <v>0</v>
          </cell>
          <cell r="H1140">
            <v>5</v>
          </cell>
          <cell r="I1140" t="str">
            <v>Yes</v>
          </cell>
          <cell r="J1140" t="str">
            <v/>
          </cell>
          <cell r="K1140" t="str">
            <v>No</v>
          </cell>
          <cell r="L1140" t="str">
            <v/>
          </cell>
          <cell r="M1140" t="str">
            <v/>
          </cell>
          <cell r="N1140" t="str">
            <v>Spool</v>
          </cell>
          <cell r="O1140">
            <v>0</v>
          </cell>
          <cell r="P1140">
            <v>0</v>
          </cell>
          <cell r="Q1140" t="str">
            <v>CS</v>
          </cell>
          <cell r="R1140">
            <v>1</v>
          </cell>
          <cell r="S1140">
            <v>1</v>
          </cell>
          <cell r="T1140">
            <v>1618.6937406080001</v>
          </cell>
          <cell r="U1140">
            <v>1618.6937406080001</v>
          </cell>
        </row>
        <row r="1141">
          <cell r="B1141" t="str">
            <v>V17551-PIND-0083-05</v>
          </cell>
          <cell r="C1141" t="str">
            <v>PROD/25-26/13714</v>
          </cell>
          <cell r="D1141" t="str">
            <v>S-5087</v>
          </cell>
          <cell r="E1141" t="str">
            <v>TJ/25-26/184-CS</v>
          </cell>
          <cell r="F1141" t="str">
            <v>P5,P1</v>
          </cell>
          <cell r="G1141">
            <v>0</v>
          </cell>
          <cell r="H1141">
            <v>5</v>
          </cell>
          <cell r="I1141" t="str">
            <v>Yes</v>
          </cell>
          <cell r="J1141" t="str">
            <v/>
          </cell>
          <cell r="K1141" t="str">
            <v>No</v>
          </cell>
          <cell r="L1141" t="str">
            <v/>
          </cell>
          <cell r="M1141" t="str">
            <v/>
          </cell>
          <cell r="N1141" t="str">
            <v>Spool</v>
          </cell>
          <cell r="O1141">
            <v>0</v>
          </cell>
          <cell r="P1141">
            <v>0</v>
          </cell>
          <cell r="Q1141" t="str">
            <v>CS</v>
          </cell>
          <cell r="R1141">
            <v>1</v>
          </cell>
          <cell r="S1141">
            <v>1</v>
          </cell>
          <cell r="T1141">
            <v>1136.1900453440001</v>
          </cell>
          <cell r="U1141">
            <v>1136.1900453440001</v>
          </cell>
        </row>
        <row r="1142">
          <cell r="B1142" t="str">
            <v>V17551-PIND-0085-05</v>
          </cell>
          <cell r="C1142" t="str">
            <v>PROD/25-26/07436</v>
          </cell>
          <cell r="D1142" t="str">
            <v/>
          </cell>
          <cell r="E1142" t="str">
            <v>TJ/25-26/184-CS</v>
          </cell>
          <cell r="F1142" t="str">
            <v>P5</v>
          </cell>
          <cell r="G1142">
            <v>0</v>
          </cell>
          <cell r="H1142">
            <v>5</v>
          </cell>
          <cell r="I1142" t="str">
            <v>No</v>
          </cell>
          <cell r="J1142" t="str">
            <v/>
          </cell>
          <cell r="K1142" t="str">
            <v>No</v>
          </cell>
          <cell r="L1142" t="str">
            <v/>
          </cell>
          <cell r="M1142" t="str">
            <v/>
          </cell>
          <cell r="N1142" t="str">
            <v>Spool</v>
          </cell>
          <cell r="O1142">
            <v>0</v>
          </cell>
          <cell r="P1142">
            <v>0</v>
          </cell>
          <cell r="Q1142" t="str">
            <v>CS</v>
          </cell>
          <cell r="R1142">
            <v>1</v>
          </cell>
          <cell r="S1142">
            <v>1</v>
          </cell>
          <cell r="T1142">
            <v>17.47878</v>
          </cell>
          <cell r="U1142">
            <v>17.47878</v>
          </cell>
        </row>
        <row r="1143">
          <cell r="B1143" t="str">
            <v>V17551-PIND-0087-05</v>
          </cell>
          <cell r="C1143" t="str">
            <v>PROD/25-26/08078</v>
          </cell>
          <cell r="D1143" t="str">
            <v>S-5102</v>
          </cell>
          <cell r="E1143" t="str">
            <v>TJ/25-26/184-CS</v>
          </cell>
          <cell r="F1143" t="str">
            <v>P5</v>
          </cell>
          <cell r="G1143">
            <v>0</v>
          </cell>
          <cell r="H1143">
            <v>5</v>
          </cell>
          <cell r="I1143" t="str">
            <v>Yes</v>
          </cell>
          <cell r="J1143" t="str">
            <v/>
          </cell>
          <cell r="K1143" t="str">
            <v>No</v>
          </cell>
          <cell r="L1143" t="str">
            <v/>
          </cell>
          <cell r="M1143" t="str">
            <v/>
          </cell>
          <cell r="N1143" t="str">
            <v>Spool</v>
          </cell>
          <cell r="O1143">
            <v>0</v>
          </cell>
          <cell r="P1143">
            <v>0</v>
          </cell>
          <cell r="Q1143" t="str">
            <v>CS</v>
          </cell>
          <cell r="R1143">
            <v>1</v>
          </cell>
          <cell r="S1143">
            <v>1</v>
          </cell>
          <cell r="T1143">
            <v>190.80914999999999</v>
          </cell>
          <cell r="U1143">
            <v>190.80914999999999</v>
          </cell>
        </row>
        <row r="1144">
          <cell r="B1144" t="str">
            <v>V17551-PIND-0094-05</v>
          </cell>
          <cell r="C1144" t="str">
            <v>PROD/25-26/08079</v>
          </cell>
          <cell r="D1144" t="str">
            <v>S-5124</v>
          </cell>
          <cell r="E1144" t="str">
            <v>TJ/25-26/184-CS</v>
          </cell>
          <cell r="F1144" t="str">
            <v>P5,P1</v>
          </cell>
          <cell r="G1144">
            <v>0</v>
          </cell>
          <cell r="H1144">
            <v>5</v>
          </cell>
          <cell r="I1144" t="str">
            <v>Yes</v>
          </cell>
          <cell r="J1144" t="str">
            <v/>
          </cell>
          <cell r="K1144" t="str">
            <v>No</v>
          </cell>
          <cell r="L1144" t="str">
            <v/>
          </cell>
          <cell r="M1144" t="str">
            <v/>
          </cell>
          <cell r="N1144" t="str">
            <v>Spool</v>
          </cell>
          <cell r="O1144">
            <v>0</v>
          </cell>
          <cell r="P1144">
            <v>0</v>
          </cell>
          <cell r="Q1144" t="str">
            <v>CS</v>
          </cell>
          <cell r="R1144">
            <v>1</v>
          </cell>
          <cell r="S1144">
            <v>1</v>
          </cell>
          <cell r="T1144">
            <v>70.728963183999994</v>
          </cell>
          <cell r="U1144">
            <v>70.728963183999994</v>
          </cell>
        </row>
        <row r="1145">
          <cell r="B1145" t="str">
            <v>V17551-PIND-0105-05</v>
          </cell>
          <cell r="C1145" t="str">
            <v>PROD/25-26/08422</v>
          </cell>
          <cell r="D1145" t="str">
            <v/>
          </cell>
          <cell r="E1145" t="str">
            <v>TJ/25-26/184-CS</v>
          </cell>
          <cell r="F1145" t="str">
            <v>P5,P1</v>
          </cell>
          <cell r="G1145">
            <v>0</v>
          </cell>
          <cell r="H1145">
            <v>5</v>
          </cell>
          <cell r="I1145" t="str">
            <v>Yes</v>
          </cell>
          <cell r="J1145" t="str">
            <v/>
          </cell>
          <cell r="K1145" t="str">
            <v>No</v>
          </cell>
          <cell r="L1145" t="str">
            <v/>
          </cell>
          <cell r="M1145" t="str">
            <v/>
          </cell>
          <cell r="N1145" t="str">
            <v>Spool</v>
          </cell>
          <cell r="O1145">
            <v>0</v>
          </cell>
          <cell r="P1145">
            <v>0</v>
          </cell>
          <cell r="Q1145" t="str">
            <v>CS</v>
          </cell>
          <cell r="R1145">
            <v>1</v>
          </cell>
          <cell r="S1145">
            <v>1</v>
          </cell>
          <cell r="T1145">
            <v>1007.498662736</v>
          </cell>
          <cell r="U1145">
            <v>1007.498662736</v>
          </cell>
        </row>
        <row r="1146">
          <cell r="B1146" t="str">
            <v>V17551-PIND-0107-05</v>
          </cell>
          <cell r="C1146" t="str">
            <v>PROD/25-26/07441</v>
          </cell>
          <cell r="D1146" t="str">
            <v/>
          </cell>
          <cell r="E1146" t="str">
            <v>TJ/25-26/184-CS</v>
          </cell>
          <cell r="F1146" t="str">
            <v>P5,P1</v>
          </cell>
          <cell r="G1146">
            <v>0</v>
          </cell>
          <cell r="H1146">
            <v>5</v>
          </cell>
          <cell r="I1146" t="str">
            <v>Yes</v>
          </cell>
          <cell r="J1146" t="str">
            <v/>
          </cell>
          <cell r="K1146" t="str">
            <v>No</v>
          </cell>
          <cell r="L1146" t="str">
            <v/>
          </cell>
          <cell r="M1146" t="str">
            <v/>
          </cell>
          <cell r="N1146" t="str">
            <v>Spool</v>
          </cell>
          <cell r="O1146">
            <v>0</v>
          </cell>
          <cell r="P1146">
            <v>0</v>
          </cell>
          <cell r="Q1146" t="str">
            <v>CS</v>
          </cell>
          <cell r="R1146">
            <v>1</v>
          </cell>
          <cell r="S1146">
            <v>1</v>
          </cell>
          <cell r="T1146">
            <v>63.264760303999999</v>
          </cell>
          <cell r="U1146">
            <v>63.264760303999999</v>
          </cell>
        </row>
        <row r="1147">
          <cell r="B1147" t="str">
            <v>V17551-PIND-0108-05</v>
          </cell>
          <cell r="C1147" t="str">
            <v>PROD/25-26/08423</v>
          </cell>
          <cell r="D1147" t="str">
            <v>S-5151</v>
          </cell>
          <cell r="E1147" t="str">
            <v>TJ/25-26/184-P11</v>
          </cell>
          <cell r="F1147" t="str">
            <v>P5</v>
          </cell>
          <cell r="G1147">
            <v>0</v>
          </cell>
          <cell r="H1147">
            <v>5</v>
          </cell>
          <cell r="I1147" t="str">
            <v>Yes</v>
          </cell>
          <cell r="J1147" t="str">
            <v/>
          </cell>
          <cell r="K1147" t="str">
            <v>No</v>
          </cell>
          <cell r="L1147" t="str">
            <v/>
          </cell>
          <cell r="M1147" t="str">
            <v/>
          </cell>
          <cell r="N1147" t="str">
            <v>Spool</v>
          </cell>
          <cell r="O1147">
            <v>0</v>
          </cell>
          <cell r="P1147">
            <v>0</v>
          </cell>
          <cell r="Q1147" t="str">
            <v>P11</v>
          </cell>
          <cell r="R1147">
            <v>1</v>
          </cell>
          <cell r="S1147">
            <v>1</v>
          </cell>
          <cell r="T1147">
            <v>532.15218000000004</v>
          </cell>
          <cell r="U1147">
            <v>532.15218000000004</v>
          </cell>
        </row>
        <row r="1148">
          <cell r="B1148" t="str">
            <v>V17551-PIND-0111-05</v>
          </cell>
          <cell r="C1148" t="str">
            <v>PROD/25-26/08113</v>
          </cell>
          <cell r="D1148" t="str">
            <v/>
          </cell>
          <cell r="E1148" t="str">
            <v>TJ/25-26/184-CS</v>
          </cell>
          <cell r="F1148" t="str">
            <v>P5,P1</v>
          </cell>
          <cell r="G1148">
            <v>0</v>
          </cell>
          <cell r="H1148">
            <v>5</v>
          </cell>
          <cell r="I1148" t="str">
            <v>Yes</v>
          </cell>
          <cell r="J1148" t="str">
            <v/>
          </cell>
          <cell r="K1148" t="str">
            <v>No</v>
          </cell>
          <cell r="L1148" t="str">
            <v/>
          </cell>
          <cell r="M1148" t="str">
            <v/>
          </cell>
          <cell r="N1148" t="str">
            <v>Spool</v>
          </cell>
          <cell r="O1148">
            <v>0</v>
          </cell>
          <cell r="P1148">
            <v>0</v>
          </cell>
          <cell r="Q1148" t="str">
            <v>CS</v>
          </cell>
          <cell r="R1148">
            <v>1</v>
          </cell>
          <cell r="S1148">
            <v>1</v>
          </cell>
          <cell r="T1148">
            <v>181.15296636799999</v>
          </cell>
          <cell r="U1148">
            <v>181.15296636799999</v>
          </cell>
        </row>
        <row r="1149">
          <cell r="B1149" t="str">
            <v>V17551-PIND-0112-05</v>
          </cell>
          <cell r="C1149" t="str">
            <v>PROD/25-26/08512</v>
          </cell>
          <cell r="D1149" t="str">
            <v>S-5244</v>
          </cell>
          <cell r="E1149" t="str">
            <v>TJ/25-26/184-CS</v>
          </cell>
          <cell r="F1149" t="str">
            <v>P5,P1</v>
          </cell>
          <cell r="G1149">
            <v>0</v>
          </cell>
          <cell r="H1149">
            <v>5</v>
          </cell>
          <cell r="I1149" t="str">
            <v>No</v>
          </cell>
          <cell r="J1149" t="str">
            <v/>
          </cell>
          <cell r="K1149" t="str">
            <v>No</v>
          </cell>
          <cell r="L1149" t="str">
            <v/>
          </cell>
          <cell r="M1149" t="str">
            <v/>
          </cell>
          <cell r="N1149" t="str">
            <v>Spool</v>
          </cell>
          <cell r="O1149">
            <v>0</v>
          </cell>
          <cell r="P1149">
            <v>0</v>
          </cell>
          <cell r="Q1149" t="str">
            <v>CS</v>
          </cell>
          <cell r="R1149">
            <v>1</v>
          </cell>
          <cell r="S1149">
            <v>1</v>
          </cell>
          <cell r="T1149">
            <v>68.963620607999999</v>
          </cell>
          <cell r="U1149">
            <v>68.963620607999999</v>
          </cell>
        </row>
        <row r="1150">
          <cell r="B1150" t="str">
            <v>V17551-PIND-0121-05</v>
          </cell>
          <cell r="C1150" t="str">
            <v>PROD/25-26/08955</v>
          </cell>
          <cell r="D1150" t="str">
            <v/>
          </cell>
          <cell r="E1150" t="str">
            <v>TJ/25-26/184-CS</v>
          </cell>
          <cell r="F1150" t="str">
            <v>P5</v>
          </cell>
          <cell r="G1150">
            <v>0</v>
          </cell>
          <cell r="H1150">
            <v>5</v>
          </cell>
          <cell r="I1150" t="str">
            <v>No</v>
          </cell>
          <cell r="J1150" t="str">
            <v/>
          </cell>
          <cell r="K1150" t="str">
            <v>No</v>
          </cell>
          <cell r="L1150" t="str">
            <v/>
          </cell>
          <cell r="M1150" t="str">
            <v/>
          </cell>
          <cell r="N1150" t="str">
            <v>Spool</v>
          </cell>
          <cell r="O1150">
            <v>0</v>
          </cell>
          <cell r="P1150">
            <v>0</v>
          </cell>
          <cell r="Q1150" t="str">
            <v>CS</v>
          </cell>
          <cell r="R1150">
            <v>1</v>
          </cell>
          <cell r="S1150">
            <v>1</v>
          </cell>
          <cell r="T1150">
            <v>262.89375000000001</v>
          </cell>
          <cell r="U1150">
            <v>262.89375000000001</v>
          </cell>
        </row>
        <row r="1151">
          <cell r="B1151" t="str">
            <v>V17551-PIND-0123-05</v>
          </cell>
          <cell r="C1151" t="str">
            <v>PROD/25-26/13076</v>
          </cell>
          <cell r="D1151" t="str">
            <v/>
          </cell>
          <cell r="E1151" t="str">
            <v>TJ/25-26/184-CS</v>
          </cell>
          <cell r="F1151" t="str">
            <v>P5,P1</v>
          </cell>
          <cell r="G1151">
            <v>0</v>
          </cell>
          <cell r="H1151">
            <v>5</v>
          </cell>
          <cell r="I1151" t="str">
            <v>No</v>
          </cell>
          <cell r="J1151" t="str">
            <v/>
          </cell>
          <cell r="K1151" t="str">
            <v>No</v>
          </cell>
          <cell r="L1151" t="str">
            <v/>
          </cell>
          <cell r="M1151" t="str">
            <v/>
          </cell>
          <cell r="N1151" t="str">
            <v>Spool</v>
          </cell>
          <cell r="O1151">
            <v>0</v>
          </cell>
          <cell r="P1151">
            <v>0</v>
          </cell>
          <cell r="Q1151" t="str">
            <v>CS</v>
          </cell>
          <cell r="R1151">
            <v>1</v>
          </cell>
          <cell r="S1151">
            <v>1</v>
          </cell>
          <cell r="T1151">
            <v>345.84484060800003</v>
          </cell>
          <cell r="U1151">
            <v>345.84484060800003</v>
          </cell>
        </row>
        <row r="1152">
          <cell r="B1152" t="str">
            <v>V17551-PIND-0126-05</v>
          </cell>
          <cell r="C1152" t="str">
            <v>PROD/25-26/08095</v>
          </cell>
          <cell r="D1152" t="str">
            <v>S - 5243</v>
          </cell>
          <cell r="E1152" t="str">
            <v>TJ/25-26/184-CS</v>
          </cell>
          <cell r="F1152" t="str">
            <v>P1</v>
          </cell>
          <cell r="G1152">
            <v>0</v>
          </cell>
          <cell r="H1152">
            <v>5</v>
          </cell>
          <cell r="I1152" t="str">
            <v>No</v>
          </cell>
          <cell r="J1152" t="str">
            <v/>
          </cell>
          <cell r="K1152" t="str">
            <v>No</v>
          </cell>
          <cell r="L1152" t="str">
            <v/>
          </cell>
          <cell r="M1152" t="str">
            <v/>
          </cell>
          <cell r="N1152" t="str">
            <v>Spool</v>
          </cell>
          <cell r="O1152">
            <v>0</v>
          </cell>
          <cell r="P1152">
            <v>0</v>
          </cell>
          <cell r="Q1152" t="str">
            <v>CS</v>
          </cell>
          <cell r="R1152">
            <v>1</v>
          </cell>
          <cell r="S1152">
            <v>1</v>
          </cell>
          <cell r="T1152">
            <v>629.71317216</v>
          </cell>
          <cell r="U1152">
            <v>629.71317216</v>
          </cell>
        </row>
        <row r="1153">
          <cell r="B1153" t="str">
            <v>V17551-PIND-0128-05</v>
          </cell>
          <cell r="C1153" t="str">
            <v>PROD/25-26/08427</v>
          </cell>
          <cell r="D1153" t="str">
            <v>S-5192</v>
          </cell>
          <cell r="E1153" t="str">
            <v>TJ/25-26/184-CS</v>
          </cell>
          <cell r="F1153" t="str">
            <v>P1,P1</v>
          </cell>
          <cell r="G1153">
            <v>0</v>
          </cell>
          <cell r="H1153">
            <v>5</v>
          </cell>
          <cell r="I1153" t="str">
            <v>Yes</v>
          </cell>
          <cell r="J1153" t="str">
            <v/>
          </cell>
          <cell r="K1153" t="str">
            <v>No</v>
          </cell>
          <cell r="L1153" t="str">
            <v/>
          </cell>
          <cell r="M1153" t="str">
            <v/>
          </cell>
          <cell r="N1153" t="str">
            <v>Spool</v>
          </cell>
          <cell r="O1153">
            <v>0</v>
          </cell>
          <cell r="P1153">
            <v>0</v>
          </cell>
          <cell r="Q1153" t="str">
            <v>CS</v>
          </cell>
          <cell r="R1153">
            <v>1</v>
          </cell>
          <cell r="S1153">
            <v>1</v>
          </cell>
          <cell r="T1153">
            <v>976.67138398400004</v>
          </cell>
          <cell r="U1153">
            <v>976.67138398400004</v>
          </cell>
        </row>
        <row r="1154">
          <cell r="B1154" t="str">
            <v>V17551-PIND-0129-05</v>
          </cell>
          <cell r="C1154" t="str">
            <v>PROD/25-26/13261</v>
          </cell>
          <cell r="D1154" t="str">
            <v>S-5199</v>
          </cell>
          <cell r="E1154" t="str">
            <v>TJ/25-26/184-CS</v>
          </cell>
          <cell r="F1154" t="str">
            <v>P5,P1</v>
          </cell>
          <cell r="G1154">
            <v>0</v>
          </cell>
          <cell r="H1154">
            <v>5</v>
          </cell>
          <cell r="I1154" t="str">
            <v>Yes</v>
          </cell>
          <cell r="J1154" t="str">
            <v/>
          </cell>
          <cell r="K1154" t="str">
            <v>No</v>
          </cell>
          <cell r="L1154" t="str">
            <v/>
          </cell>
          <cell r="M1154" t="str">
            <v/>
          </cell>
          <cell r="N1154" t="str">
            <v>Spool</v>
          </cell>
          <cell r="O1154">
            <v>0</v>
          </cell>
          <cell r="P1154">
            <v>0</v>
          </cell>
          <cell r="Q1154" t="str">
            <v>CS</v>
          </cell>
          <cell r="R1154">
            <v>1</v>
          </cell>
          <cell r="S1154">
            <v>1</v>
          </cell>
          <cell r="T1154">
            <v>3188.8687828000002</v>
          </cell>
          <cell r="U1154">
            <v>3188.8687828000002</v>
          </cell>
        </row>
        <row r="1155">
          <cell r="B1155" t="str">
            <v>V17551-PIND-0136-05</v>
          </cell>
          <cell r="C1155" t="str">
            <v>PROD/25-26/13028</v>
          </cell>
          <cell r="D1155" t="str">
            <v/>
          </cell>
          <cell r="E1155" t="str">
            <v>TJ/25-26/184-P22</v>
          </cell>
          <cell r="F1155" t="str">
            <v>P5</v>
          </cell>
          <cell r="G1155">
            <v>0</v>
          </cell>
          <cell r="H1155">
            <v>5</v>
          </cell>
          <cell r="I1155" t="str">
            <v>No</v>
          </cell>
          <cell r="J1155" t="str">
            <v/>
          </cell>
          <cell r="K1155" t="str">
            <v>No</v>
          </cell>
          <cell r="L1155" t="str">
            <v/>
          </cell>
          <cell r="M1155" t="str">
            <v/>
          </cell>
          <cell r="N1155" t="str">
            <v>Spool</v>
          </cell>
          <cell r="O1155">
            <v>0</v>
          </cell>
          <cell r="P1155">
            <v>0</v>
          </cell>
          <cell r="Q1155" t="str">
            <v>P22</v>
          </cell>
          <cell r="R1155">
            <v>1</v>
          </cell>
          <cell r="S1155">
            <v>1</v>
          </cell>
          <cell r="T1155">
            <v>82.990250000000003</v>
          </cell>
          <cell r="U1155">
            <v>82.990250000000003</v>
          </cell>
        </row>
        <row r="1156">
          <cell r="B1156" t="str">
            <v>V17551-PIND-0140-05</v>
          </cell>
          <cell r="C1156" t="str">
            <v>PROD/25-26/06823</v>
          </cell>
          <cell r="D1156" t="str">
            <v/>
          </cell>
          <cell r="E1156" t="str">
            <v>TJ/25-26/184-P22</v>
          </cell>
          <cell r="F1156" t="str">
            <v>P5</v>
          </cell>
          <cell r="G1156">
            <v>0</v>
          </cell>
          <cell r="H1156">
            <v>5</v>
          </cell>
          <cell r="I1156" t="str">
            <v>Yes</v>
          </cell>
          <cell r="J1156" t="str">
            <v/>
          </cell>
          <cell r="K1156" t="str">
            <v>No</v>
          </cell>
          <cell r="L1156" t="str">
            <v/>
          </cell>
          <cell r="M1156" t="str">
            <v/>
          </cell>
          <cell r="N1156" t="str">
            <v>Spool</v>
          </cell>
          <cell r="O1156">
            <v>0</v>
          </cell>
          <cell r="P1156">
            <v>0</v>
          </cell>
          <cell r="Q1156" t="str">
            <v>P22</v>
          </cell>
          <cell r="R1156">
            <v>1</v>
          </cell>
          <cell r="S1156">
            <v>1</v>
          </cell>
          <cell r="T1156">
            <v>236.36474999999999</v>
          </cell>
          <cell r="U1156">
            <v>236.36474999999999</v>
          </cell>
        </row>
        <row r="1157">
          <cell r="B1157" t="str">
            <v>V17551-PIND-0141-05</v>
          </cell>
          <cell r="C1157" t="str">
            <v>PROD/25-26/13027</v>
          </cell>
          <cell r="D1157" t="str">
            <v/>
          </cell>
          <cell r="E1157" t="str">
            <v>TJ/25-26/184-P22</v>
          </cell>
          <cell r="F1157" t="str">
            <v>P5</v>
          </cell>
          <cell r="G1157">
            <v>0</v>
          </cell>
          <cell r="H1157">
            <v>5</v>
          </cell>
          <cell r="I1157" t="str">
            <v>No</v>
          </cell>
          <cell r="J1157" t="str">
            <v/>
          </cell>
          <cell r="K1157" t="str">
            <v>No</v>
          </cell>
          <cell r="L1157" t="str">
            <v/>
          </cell>
          <cell r="M1157" t="str">
            <v/>
          </cell>
          <cell r="N1157" t="str">
            <v>Spool</v>
          </cell>
          <cell r="O1157">
            <v>0</v>
          </cell>
          <cell r="P1157">
            <v>0</v>
          </cell>
          <cell r="Q1157" t="str">
            <v>P91</v>
          </cell>
          <cell r="R1157">
            <v>1</v>
          </cell>
          <cell r="S1157">
            <v>1</v>
          </cell>
          <cell r="T1157">
            <v>153.87413000000001</v>
          </cell>
          <cell r="U1157">
            <v>153.87413000000001</v>
          </cell>
        </row>
        <row r="1158">
          <cell r="B1158" t="str">
            <v>V17551-PIND-0143-05</v>
          </cell>
          <cell r="C1158" t="str">
            <v>PROD/25-26/08431</v>
          </cell>
          <cell r="D1158" t="str">
            <v/>
          </cell>
          <cell r="E1158" t="str">
            <v>TJ/25-26/184-CS</v>
          </cell>
          <cell r="F1158" t="str">
            <v>P1</v>
          </cell>
          <cell r="G1158">
            <v>0</v>
          </cell>
          <cell r="H1158">
            <v>5</v>
          </cell>
          <cell r="I1158" t="str">
            <v>Yes</v>
          </cell>
          <cell r="J1158" t="str">
            <v/>
          </cell>
          <cell r="K1158" t="str">
            <v>No</v>
          </cell>
          <cell r="L1158" t="str">
            <v/>
          </cell>
          <cell r="M1158" t="str">
            <v/>
          </cell>
          <cell r="N1158" t="str">
            <v>Spool</v>
          </cell>
          <cell r="O1158">
            <v>0</v>
          </cell>
          <cell r="P1158">
            <v>0</v>
          </cell>
          <cell r="Q1158" t="str">
            <v>CS</v>
          </cell>
          <cell r="R1158">
            <v>1</v>
          </cell>
          <cell r="S1158">
            <v>1</v>
          </cell>
          <cell r="T1158">
            <v>344.16129000000001</v>
          </cell>
          <cell r="U1158">
            <v>344.16129000000001</v>
          </cell>
        </row>
        <row r="1159">
          <cell r="B1159" t="str">
            <v>V17551-PIND-0144-05</v>
          </cell>
          <cell r="C1159" t="str">
            <v>PROD/25-26/06822</v>
          </cell>
          <cell r="D1159" t="str">
            <v/>
          </cell>
          <cell r="E1159" t="str">
            <v>TJ/25-26/184-CS</v>
          </cell>
          <cell r="F1159" t="str">
            <v>P1</v>
          </cell>
          <cell r="G1159">
            <v>0</v>
          </cell>
          <cell r="H1159">
            <v>5</v>
          </cell>
          <cell r="I1159" t="str">
            <v>Yes</v>
          </cell>
          <cell r="J1159" t="str">
            <v/>
          </cell>
          <cell r="K1159" t="str">
            <v>No</v>
          </cell>
          <cell r="L1159" t="str">
            <v/>
          </cell>
          <cell r="M1159" t="str">
            <v/>
          </cell>
          <cell r="N1159" t="str">
            <v>Spool</v>
          </cell>
          <cell r="O1159">
            <v>0</v>
          </cell>
          <cell r="P1159">
            <v>0</v>
          </cell>
          <cell r="Q1159" t="str">
            <v>CS</v>
          </cell>
          <cell r="R1159">
            <v>1</v>
          </cell>
          <cell r="S1159">
            <v>1</v>
          </cell>
          <cell r="T1159">
            <v>136.28487999999999</v>
          </cell>
          <cell r="U1159">
            <v>136.28487999999999</v>
          </cell>
        </row>
        <row r="1160">
          <cell r="B1160" t="str">
            <v>V17551-PIND-0145-07</v>
          </cell>
          <cell r="C1160" t="str">
            <v>PROD/25-26/08432</v>
          </cell>
          <cell r="D1160" t="str">
            <v/>
          </cell>
          <cell r="E1160" t="str">
            <v>TJ/25-26/184-CS</v>
          </cell>
          <cell r="F1160" t="str">
            <v>P1</v>
          </cell>
          <cell r="G1160">
            <v>0</v>
          </cell>
          <cell r="H1160">
            <v>5</v>
          </cell>
          <cell r="I1160" t="str">
            <v>Yes</v>
          </cell>
          <cell r="J1160" t="str">
            <v/>
          </cell>
          <cell r="K1160" t="str">
            <v>No</v>
          </cell>
          <cell r="L1160" t="str">
            <v/>
          </cell>
          <cell r="M1160" t="str">
            <v/>
          </cell>
          <cell r="N1160" t="str">
            <v>Spool</v>
          </cell>
          <cell r="O1160">
            <v>0</v>
          </cell>
          <cell r="P1160">
            <v>0</v>
          </cell>
          <cell r="Q1160" t="str">
            <v>CS</v>
          </cell>
          <cell r="R1160">
            <v>1</v>
          </cell>
          <cell r="S1160">
            <v>1</v>
          </cell>
          <cell r="T1160">
            <v>115.11452</v>
          </cell>
          <cell r="U1160">
            <v>115.11452</v>
          </cell>
        </row>
        <row r="1161">
          <cell r="B1161" t="str">
            <v>V17551-PIND-0147-04</v>
          </cell>
          <cell r="C1161" t="str">
            <v>PROD/25-26/08434</v>
          </cell>
          <cell r="D1161" t="str">
            <v>S-5225</v>
          </cell>
          <cell r="E1161" t="str">
            <v>TJ/25-26/184-CS</v>
          </cell>
          <cell r="F1161" t="str">
            <v>P5,P1</v>
          </cell>
          <cell r="G1161">
            <v>0</v>
          </cell>
          <cell r="H1161">
            <v>5</v>
          </cell>
          <cell r="I1161" t="str">
            <v>Yes</v>
          </cell>
          <cell r="J1161" t="str">
            <v/>
          </cell>
          <cell r="K1161" t="str">
            <v>No</v>
          </cell>
          <cell r="L1161" t="str">
            <v/>
          </cell>
          <cell r="M1161" t="str">
            <v/>
          </cell>
          <cell r="N1161" t="str">
            <v>Spool</v>
          </cell>
          <cell r="O1161">
            <v>0</v>
          </cell>
          <cell r="P1161">
            <v>0</v>
          </cell>
          <cell r="Q1161" t="str">
            <v>CS</v>
          </cell>
          <cell r="R1161">
            <v>1</v>
          </cell>
          <cell r="S1161">
            <v>1</v>
          </cell>
          <cell r="T1161">
            <v>300.44004999999999</v>
          </cell>
          <cell r="U1161">
            <v>300.44004999999999</v>
          </cell>
        </row>
        <row r="1162">
          <cell r="B1162" t="str">
            <v>V17551-PIND-0148-05</v>
          </cell>
          <cell r="C1162" t="str">
            <v>PROD/25-26/08435</v>
          </cell>
          <cell r="D1162" t="str">
            <v/>
          </cell>
          <cell r="E1162" t="str">
            <v>TJ/25-26/184-CS</v>
          </cell>
          <cell r="F1162" t="str">
            <v>P5</v>
          </cell>
          <cell r="G1162">
            <v>0</v>
          </cell>
          <cell r="H1162">
            <v>5</v>
          </cell>
          <cell r="I1162" t="str">
            <v>Yes</v>
          </cell>
          <cell r="J1162" t="str">
            <v/>
          </cell>
          <cell r="K1162" t="str">
            <v>No</v>
          </cell>
          <cell r="L1162" t="str">
            <v/>
          </cell>
          <cell r="M1162" t="str">
            <v/>
          </cell>
          <cell r="N1162" t="str">
            <v>Spool</v>
          </cell>
          <cell r="O1162">
            <v>0</v>
          </cell>
          <cell r="P1162">
            <v>0</v>
          </cell>
          <cell r="Q1162" t="str">
            <v>CS</v>
          </cell>
          <cell r="R1162">
            <v>1</v>
          </cell>
          <cell r="S1162">
            <v>1</v>
          </cell>
          <cell r="T1162">
            <v>32.559199999999997</v>
          </cell>
          <cell r="U1162">
            <v>32.559199999999997</v>
          </cell>
        </row>
        <row r="1163">
          <cell r="B1163" t="str">
            <v>V17551-PIND-0149-05</v>
          </cell>
          <cell r="C1163" t="str">
            <v>PROD/25-26/08436</v>
          </cell>
          <cell r="D1163" t="str">
            <v/>
          </cell>
          <cell r="E1163" t="str">
            <v>TJ/25-26/184-CS</v>
          </cell>
          <cell r="F1163" t="str">
            <v>P5,P1</v>
          </cell>
          <cell r="G1163">
            <v>0</v>
          </cell>
          <cell r="H1163">
            <v>5</v>
          </cell>
          <cell r="I1163" t="str">
            <v>Yes</v>
          </cell>
          <cell r="J1163" t="str">
            <v/>
          </cell>
          <cell r="K1163" t="str">
            <v>No</v>
          </cell>
          <cell r="L1163" t="str">
            <v/>
          </cell>
          <cell r="M1163" t="str">
            <v/>
          </cell>
          <cell r="N1163" t="str">
            <v>Spool</v>
          </cell>
          <cell r="O1163">
            <v>0</v>
          </cell>
          <cell r="P1163">
            <v>0</v>
          </cell>
          <cell r="Q1163" t="str">
            <v>CS</v>
          </cell>
          <cell r="R1163">
            <v>1</v>
          </cell>
          <cell r="S1163">
            <v>1</v>
          </cell>
          <cell r="T1163">
            <v>53.603546592000001</v>
          </cell>
          <cell r="U1163">
            <v>53.603546592000001</v>
          </cell>
        </row>
        <row r="1164">
          <cell r="B1164" t="str">
            <v>V17551-PIND-0304-05</v>
          </cell>
          <cell r="C1164" t="str">
            <v>PROD/25-26/13719</v>
          </cell>
          <cell r="D1164" t="str">
            <v/>
          </cell>
          <cell r="E1164" t="str">
            <v>TJ/25-26/184-CS</v>
          </cell>
          <cell r="F1164" t="str">
            <v>P1</v>
          </cell>
          <cell r="G1164">
            <v>0</v>
          </cell>
          <cell r="H1164">
            <v>5</v>
          </cell>
          <cell r="I1164" t="str">
            <v>Yes</v>
          </cell>
          <cell r="J1164" t="str">
            <v/>
          </cell>
          <cell r="K1164" t="str">
            <v>No</v>
          </cell>
          <cell r="L1164" t="str">
            <v/>
          </cell>
          <cell r="M1164" t="str">
            <v/>
          </cell>
          <cell r="N1164" t="str">
            <v>Spool</v>
          </cell>
          <cell r="O1164">
            <v>0</v>
          </cell>
          <cell r="P1164">
            <v>0</v>
          </cell>
          <cell r="Q1164" t="str">
            <v>CS</v>
          </cell>
          <cell r="R1164">
            <v>1</v>
          </cell>
          <cell r="S1164">
            <v>1</v>
          </cell>
          <cell r="T1164">
            <v>17.523199999999999</v>
          </cell>
          <cell r="U1164">
            <v>17.523199999999999</v>
          </cell>
        </row>
        <row r="1165">
          <cell r="B1165" t="str">
            <v>V17551-PIND-0307-05</v>
          </cell>
          <cell r="C1165" t="str">
            <v>PROD/25-26/13722</v>
          </cell>
          <cell r="D1165" t="str">
            <v/>
          </cell>
          <cell r="E1165" t="str">
            <v>TJ/25-26/184-SS</v>
          </cell>
          <cell r="F1165" t="str">
            <v>P1</v>
          </cell>
          <cell r="G1165">
            <v>0</v>
          </cell>
          <cell r="H1165">
            <v>5</v>
          </cell>
          <cell r="I1165" t="str">
            <v>Yes</v>
          </cell>
          <cell r="J1165" t="str">
            <v/>
          </cell>
          <cell r="K1165" t="str">
            <v>No</v>
          </cell>
          <cell r="L1165" t="str">
            <v/>
          </cell>
          <cell r="M1165" t="str">
            <v/>
          </cell>
          <cell r="N1165" t="str">
            <v>Spool</v>
          </cell>
          <cell r="O1165">
            <v>0</v>
          </cell>
          <cell r="P1165">
            <v>0</v>
          </cell>
          <cell r="Q1165" t="str">
            <v>SS</v>
          </cell>
          <cell r="R1165">
            <v>1</v>
          </cell>
          <cell r="S1165">
            <v>1</v>
          </cell>
          <cell r="T1165">
            <v>6.6123000000000003</v>
          </cell>
          <cell r="U1165">
            <v>6.6123000000000003</v>
          </cell>
        </row>
        <row r="1166">
          <cell r="B1166" t="str">
            <v>V17551-PIND-0314-05</v>
          </cell>
          <cell r="C1166" t="str">
            <v>PROD/25-26/13729</v>
          </cell>
          <cell r="D1166" t="str">
            <v/>
          </cell>
          <cell r="E1166" t="str">
            <v>TJ/25-26/184-CS</v>
          </cell>
          <cell r="F1166" t="str">
            <v>P1</v>
          </cell>
          <cell r="G1166">
            <v>0</v>
          </cell>
          <cell r="H1166">
            <v>5</v>
          </cell>
          <cell r="I1166" t="str">
            <v>Yes</v>
          </cell>
          <cell r="J1166" t="str">
            <v/>
          </cell>
          <cell r="K1166" t="str">
            <v>No</v>
          </cell>
          <cell r="L1166" t="str">
            <v/>
          </cell>
          <cell r="M1166" t="str">
            <v/>
          </cell>
          <cell r="N1166" t="str">
            <v>Spool</v>
          </cell>
          <cell r="O1166">
            <v>0</v>
          </cell>
          <cell r="P1166">
            <v>0</v>
          </cell>
          <cell r="Q1166" t="str">
            <v>CS</v>
          </cell>
          <cell r="R1166">
            <v>1</v>
          </cell>
          <cell r="S1166">
            <v>1</v>
          </cell>
          <cell r="T1166">
            <v>21.560690000000001</v>
          </cell>
          <cell r="U1166">
            <v>21.560690000000001</v>
          </cell>
        </row>
        <row r="1167">
          <cell r="B1167" t="str">
            <v>V17551-PIND-0315-05</v>
          </cell>
          <cell r="C1167" t="str">
            <v>PROD/25-26/14065</v>
          </cell>
          <cell r="D1167" t="str">
            <v/>
          </cell>
          <cell r="E1167" t="str">
            <v>TJ/25-26/184-CS</v>
          </cell>
          <cell r="F1167" t="str">
            <v>P5</v>
          </cell>
          <cell r="G1167">
            <v>0</v>
          </cell>
          <cell r="H1167">
            <v>5</v>
          </cell>
          <cell r="I1167" t="str">
            <v>Yes</v>
          </cell>
          <cell r="J1167" t="str">
            <v/>
          </cell>
          <cell r="K1167" t="str">
            <v>No</v>
          </cell>
          <cell r="L1167" t="str">
            <v/>
          </cell>
          <cell r="M1167" t="str">
            <v/>
          </cell>
          <cell r="N1167" t="str">
            <v>Spool</v>
          </cell>
          <cell r="O1167">
            <v>0</v>
          </cell>
          <cell r="P1167">
            <v>0</v>
          </cell>
          <cell r="Q1167" t="str">
            <v>CS</v>
          </cell>
          <cell r="R1167">
            <v>1</v>
          </cell>
          <cell r="S1167">
            <v>1</v>
          </cell>
          <cell r="T1167">
            <v>94.017060000000001</v>
          </cell>
          <cell r="U1167">
            <v>94.017060000000001</v>
          </cell>
        </row>
        <row r="1168">
          <cell r="B1168" t="str">
            <v>V17551-PIND-0316-05</v>
          </cell>
          <cell r="C1168" t="str">
            <v>PROD/25-26/13731</v>
          </cell>
          <cell r="D1168" t="str">
            <v/>
          </cell>
          <cell r="E1168" t="str">
            <v>TJ/25-26/184-CS</v>
          </cell>
          <cell r="F1168" t="str">
            <v>P5</v>
          </cell>
          <cell r="G1168">
            <v>0</v>
          </cell>
          <cell r="H1168">
            <v>5</v>
          </cell>
          <cell r="I1168" t="str">
            <v>Yes</v>
          </cell>
          <cell r="J1168" t="str">
            <v/>
          </cell>
          <cell r="K1168" t="str">
            <v>No</v>
          </cell>
          <cell r="L1168" t="str">
            <v/>
          </cell>
          <cell r="M1168" t="str">
            <v/>
          </cell>
          <cell r="N1168" t="str">
            <v>Spool</v>
          </cell>
          <cell r="O1168">
            <v>0</v>
          </cell>
          <cell r="P1168">
            <v>0</v>
          </cell>
          <cell r="Q1168" t="str">
            <v>CS</v>
          </cell>
          <cell r="R1168">
            <v>1</v>
          </cell>
          <cell r="S1168">
            <v>1</v>
          </cell>
          <cell r="T1168">
            <v>106.47172</v>
          </cell>
          <cell r="U1168">
            <v>106.47172</v>
          </cell>
        </row>
        <row r="1169">
          <cell r="B1169" t="str">
            <v>V17551-PIND-0319-05</v>
          </cell>
          <cell r="C1169" t="str">
            <v>PROD/25-26/13733</v>
          </cell>
          <cell r="D1169" t="str">
            <v/>
          </cell>
          <cell r="E1169" t="str">
            <v>TJ/25-26/184-CS</v>
          </cell>
          <cell r="F1169" t="str">
            <v>P5</v>
          </cell>
          <cell r="G1169">
            <v>0</v>
          </cell>
          <cell r="H1169">
            <v>5</v>
          </cell>
          <cell r="I1169" t="str">
            <v>No</v>
          </cell>
          <cell r="J1169" t="str">
            <v/>
          </cell>
          <cell r="K1169" t="str">
            <v>No</v>
          </cell>
          <cell r="L1169" t="str">
            <v/>
          </cell>
          <cell r="M1169" t="str">
            <v/>
          </cell>
          <cell r="N1169" t="str">
            <v>Spool</v>
          </cell>
          <cell r="O1169">
            <v>0</v>
          </cell>
          <cell r="P1169">
            <v>0</v>
          </cell>
          <cell r="Q1169" t="str">
            <v>CS</v>
          </cell>
          <cell r="R1169">
            <v>1</v>
          </cell>
          <cell r="S1169">
            <v>1</v>
          </cell>
          <cell r="T1169">
            <v>7.6112399999999996</v>
          </cell>
          <cell r="U1169">
            <v>7.6112399999999996</v>
          </cell>
        </row>
        <row r="1170">
          <cell r="B1170" t="str">
            <v>V17551-PIND-0320-05</v>
          </cell>
          <cell r="C1170" t="str">
            <v>PROD/25-26/14067</v>
          </cell>
          <cell r="D1170" t="str">
            <v/>
          </cell>
          <cell r="E1170" t="str">
            <v>TJ/25-26/184-CS</v>
          </cell>
          <cell r="F1170" t="str">
            <v>P5</v>
          </cell>
          <cell r="G1170">
            <v>0</v>
          </cell>
          <cell r="H1170">
            <v>5</v>
          </cell>
          <cell r="I1170" t="str">
            <v>Yes</v>
          </cell>
          <cell r="J1170" t="str">
            <v/>
          </cell>
          <cell r="K1170" t="str">
            <v>No</v>
          </cell>
          <cell r="L1170" t="str">
            <v/>
          </cell>
          <cell r="M1170" t="str">
            <v/>
          </cell>
          <cell r="N1170" t="str">
            <v>Spool</v>
          </cell>
          <cell r="O1170">
            <v>0</v>
          </cell>
          <cell r="P1170">
            <v>0</v>
          </cell>
          <cell r="Q1170" t="str">
            <v>CS</v>
          </cell>
          <cell r="R1170">
            <v>1</v>
          </cell>
          <cell r="S1170">
            <v>1</v>
          </cell>
          <cell r="T1170">
            <v>47.590400000000002</v>
          </cell>
          <cell r="U1170">
            <v>47.590400000000002</v>
          </cell>
        </row>
        <row r="1171">
          <cell r="B1171" t="str">
            <v>V17551-PIND-0321-05</v>
          </cell>
          <cell r="C1171" t="str">
            <v>PROD/25-26/14068</v>
          </cell>
          <cell r="D1171" t="str">
            <v/>
          </cell>
          <cell r="E1171" t="str">
            <v>TJ/25-26/184-CS</v>
          </cell>
          <cell r="F1171" t="str">
            <v>P5</v>
          </cell>
          <cell r="G1171">
            <v>0</v>
          </cell>
          <cell r="H1171">
            <v>5</v>
          </cell>
          <cell r="I1171" t="str">
            <v>Yes</v>
          </cell>
          <cell r="J1171" t="str">
            <v/>
          </cell>
          <cell r="K1171" t="str">
            <v>No</v>
          </cell>
          <cell r="L1171" t="str">
            <v/>
          </cell>
          <cell r="M1171" t="str">
            <v/>
          </cell>
          <cell r="N1171" t="str">
            <v>Spool</v>
          </cell>
          <cell r="O1171">
            <v>0</v>
          </cell>
          <cell r="P1171">
            <v>0</v>
          </cell>
          <cell r="Q1171" t="str">
            <v>CS</v>
          </cell>
          <cell r="R1171">
            <v>1</v>
          </cell>
          <cell r="S1171">
            <v>1</v>
          </cell>
          <cell r="T1171">
            <v>45.675559999999997</v>
          </cell>
          <cell r="U1171">
            <v>45.675559999999997</v>
          </cell>
        </row>
        <row r="1172">
          <cell r="B1172" t="str">
            <v>V17551-PIND-0324-05</v>
          </cell>
          <cell r="C1172" t="str">
            <v>PROD/25-26/14519</v>
          </cell>
          <cell r="D1172" t="str">
            <v/>
          </cell>
          <cell r="E1172" t="str">
            <v>TJ/25-26/184-CS</v>
          </cell>
          <cell r="F1172" t="str">
            <v>P5</v>
          </cell>
          <cell r="G1172">
            <v>0</v>
          </cell>
          <cell r="H1172">
            <v>5</v>
          </cell>
          <cell r="I1172" t="str">
            <v>No</v>
          </cell>
          <cell r="J1172" t="str">
            <v/>
          </cell>
          <cell r="K1172" t="str">
            <v>No</v>
          </cell>
          <cell r="L1172" t="str">
            <v/>
          </cell>
          <cell r="M1172" t="str">
            <v/>
          </cell>
          <cell r="N1172" t="str">
            <v>Spool</v>
          </cell>
          <cell r="O1172">
            <v>0</v>
          </cell>
          <cell r="P1172">
            <v>0</v>
          </cell>
          <cell r="Q1172" t="str">
            <v>CS</v>
          </cell>
          <cell r="R1172">
            <v>1</v>
          </cell>
          <cell r="S1172">
            <v>1</v>
          </cell>
          <cell r="T1172">
            <v>7.8417599999999998</v>
          </cell>
          <cell r="U1172">
            <v>7.8417599999999998</v>
          </cell>
        </row>
        <row r="1173">
          <cell r="B1173" t="str">
            <v>V17551-PIND-0327-05</v>
          </cell>
          <cell r="C1173" t="str">
            <v>PROD/25-26/13741</v>
          </cell>
          <cell r="D1173" t="str">
            <v/>
          </cell>
          <cell r="E1173" t="str">
            <v>TJ/25-26/184-CS</v>
          </cell>
          <cell r="F1173" t="str">
            <v>P5</v>
          </cell>
          <cell r="G1173">
            <v>0</v>
          </cell>
          <cell r="H1173">
            <v>5</v>
          </cell>
          <cell r="I1173" t="str">
            <v>Yes</v>
          </cell>
          <cell r="J1173" t="str">
            <v/>
          </cell>
          <cell r="K1173" t="str">
            <v>No</v>
          </cell>
          <cell r="L1173" t="str">
            <v/>
          </cell>
          <cell r="M1173" t="str">
            <v/>
          </cell>
          <cell r="N1173" t="str">
            <v>Spool</v>
          </cell>
          <cell r="O1173">
            <v>0</v>
          </cell>
          <cell r="P1173">
            <v>0</v>
          </cell>
          <cell r="Q1173" t="str">
            <v>CS</v>
          </cell>
          <cell r="R1173">
            <v>1</v>
          </cell>
          <cell r="S1173">
            <v>1</v>
          </cell>
          <cell r="T1173">
            <v>53.632249999999999</v>
          </cell>
          <cell r="U1173">
            <v>53.632249999999999</v>
          </cell>
        </row>
        <row r="1174">
          <cell r="B1174" t="str">
            <v>V17551-PIND-0349-08</v>
          </cell>
          <cell r="C1174" t="str">
            <v>PROD/25-26/13762</v>
          </cell>
          <cell r="D1174" t="str">
            <v/>
          </cell>
          <cell r="E1174" t="str">
            <v>TJ/25-26/184-CS</v>
          </cell>
          <cell r="F1174" t="str">
            <v>P5</v>
          </cell>
          <cell r="G1174">
            <v>0</v>
          </cell>
          <cell r="H1174">
            <v>5</v>
          </cell>
          <cell r="I1174" t="str">
            <v>Yes</v>
          </cell>
          <cell r="J1174" t="str">
            <v/>
          </cell>
          <cell r="K1174" t="str">
            <v>No</v>
          </cell>
          <cell r="L1174" t="str">
            <v/>
          </cell>
          <cell r="M1174" t="str">
            <v/>
          </cell>
          <cell r="N1174" t="str">
            <v>Spool</v>
          </cell>
          <cell r="O1174">
            <v>0</v>
          </cell>
          <cell r="P1174">
            <v>0</v>
          </cell>
          <cell r="Q1174" t="str">
            <v>CS</v>
          </cell>
          <cell r="R1174">
            <v>1</v>
          </cell>
          <cell r="S1174">
            <v>1</v>
          </cell>
          <cell r="T1174">
            <v>36.373800000000003</v>
          </cell>
          <cell r="U1174">
            <v>36.373800000000003</v>
          </cell>
        </row>
        <row r="1175">
          <cell r="B1175" t="str">
            <v>V17551-PIND-0363-05</v>
          </cell>
          <cell r="C1175" t="str">
            <v>PROD/25-26/13774</v>
          </cell>
          <cell r="D1175" t="str">
            <v/>
          </cell>
          <cell r="E1175" t="str">
            <v>TJ/25-26/184-CS</v>
          </cell>
          <cell r="F1175" t="str">
            <v>P5</v>
          </cell>
          <cell r="G1175">
            <v>0</v>
          </cell>
          <cell r="H1175">
            <v>5</v>
          </cell>
          <cell r="I1175" t="str">
            <v>Yes</v>
          </cell>
          <cell r="J1175" t="str">
            <v/>
          </cell>
          <cell r="K1175" t="str">
            <v>No</v>
          </cell>
          <cell r="L1175" t="str">
            <v/>
          </cell>
          <cell r="M1175" t="str">
            <v/>
          </cell>
          <cell r="N1175" t="str">
            <v>Spool</v>
          </cell>
          <cell r="O1175">
            <v>0</v>
          </cell>
          <cell r="P1175">
            <v>0</v>
          </cell>
          <cell r="Q1175" t="str">
            <v>CS</v>
          </cell>
          <cell r="R1175">
            <v>1</v>
          </cell>
          <cell r="S1175">
            <v>1</v>
          </cell>
          <cell r="T1175">
            <v>17.37012</v>
          </cell>
          <cell r="U1175">
            <v>17.37012</v>
          </cell>
        </row>
        <row r="1176">
          <cell r="B1176" t="str">
            <v>V17551-PIND-0372-05</v>
          </cell>
          <cell r="C1176" t="str">
            <v>PROD/25-26/14727</v>
          </cell>
          <cell r="D1176" t="str">
            <v/>
          </cell>
          <cell r="E1176" t="str">
            <v>TJ/25-26/184-P91</v>
          </cell>
          <cell r="F1176" t="str">
            <v/>
          </cell>
          <cell r="G1176">
            <v>0</v>
          </cell>
          <cell r="H1176">
            <v>5</v>
          </cell>
          <cell r="I1176" t="str">
            <v>No</v>
          </cell>
          <cell r="J1176" t="str">
            <v/>
          </cell>
          <cell r="K1176" t="str">
            <v>No</v>
          </cell>
          <cell r="L1176" t="str">
            <v/>
          </cell>
          <cell r="M1176" t="str">
            <v/>
          </cell>
          <cell r="N1176" t="str">
            <v>Spool</v>
          </cell>
          <cell r="O1176">
            <v>0</v>
          </cell>
          <cell r="P1176">
            <v>0</v>
          </cell>
          <cell r="Q1176" t="str">
            <v>P91</v>
          </cell>
          <cell r="R1176">
            <v>1</v>
          </cell>
          <cell r="S1176">
            <v>1</v>
          </cell>
          <cell r="T1176">
            <v>6.9788800000000002</v>
          </cell>
          <cell r="U1176">
            <v>6.9788800000000002</v>
          </cell>
        </row>
        <row r="1177">
          <cell r="B1177" t="str">
            <v>V17551-PIND-0384-05</v>
          </cell>
          <cell r="C1177" t="str">
            <v>PROD/25-26/13793</v>
          </cell>
          <cell r="D1177" t="str">
            <v/>
          </cell>
          <cell r="E1177" t="str">
            <v>TJ/25-26/184-CS</v>
          </cell>
          <cell r="F1177" t="str">
            <v>P5</v>
          </cell>
          <cell r="G1177">
            <v>0</v>
          </cell>
          <cell r="H1177">
            <v>5</v>
          </cell>
          <cell r="I1177" t="str">
            <v>Yes</v>
          </cell>
          <cell r="J1177" t="str">
            <v/>
          </cell>
          <cell r="K1177" t="str">
            <v>No</v>
          </cell>
          <cell r="L1177" t="str">
            <v/>
          </cell>
          <cell r="M1177" t="str">
            <v/>
          </cell>
          <cell r="N1177" t="str">
            <v>Spool</v>
          </cell>
          <cell r="O1177">
            <v>0</v>
          </cell>
          <cell r="P1177">
            <v>0</v>
          </cell>
          <cell r="Q1177" t="str">
            <v>CS</v>
          </cell>
          <cell r="R1177">
            <v>1</v>
          </cell>
          <cell r="S1177">
            <v>1</v>
          </cell>
          <cell r="T1177">
            <v>20.24568</v>
          </cell>
          <cell r="U1177">
            <v>20.24568</v>
          </cell>
        </row>
        <row r="1178">
          <cell r="B1178" t="str">
            <v>V17551-PIND-0398-05</v>
          </cell>
          <cell r="C1178" t="str">
            <v>PROD/25-26/13805</v>
          </cell>
          <cell r="D1178" t="str">
            <v/>
          </cell>
          <cell r="E1178" t="str">
            <v>TJ/25-26/184-CS</v>
          </cell>
          <cell r="F1178" t="str">
            <v>P5</v>
          </cell>
          <cell r="G1178">
            <v>0</v>
          </cell>
          <cell r="H1178">
            <v>5</v>
          </cell>
          <cell r="I1178" t="str">
            <v>Yes</v>
          </cell>
          <cell r="J1178" t="str">
            <v/>
          </cell>
          <cell r="K1178" t="str">
            <v>No</v>
          </cell>
          <cell r="L1178" t="str">
            <v/>
          </cell>
          <cell r="M1178" t="str">
            <v/>
          </cell>
          <cell r="N1178" t="str">
            <v>Spool</v>
          </cell>
          <cell r="O1178">
            <v>0</v>
          </cell>
          <cell r="P1178">
            <v>0</v>
          </cell>
          <cell r="Q1178" t="str">
            <v>CS</v>
          </cell>
          <cell r="R1178">
            <v>1</v>
          </cell>
          <cell r="S1178">
            <v>1</v>
          </cell>
          <cell r="T1178">
            <v>8.6682000000000006</v>
          </cell>
          <cell r="U1178">
            <v>8.6682000000000006</v>
          </cell>
        </row>
        <row r="1179">
          <cell r="B1179" t="str">
            <v>V17551-PIND-0399-05</v>
          </cell>
          <cell r="C1179" t="str">
            <v>PROD/25-26/13806</v>
          </cell>
          <cell r="D1179" t="str">
            <v/>
          </cell>
          <cell r="E1179" t="str">
            <v>TJ/25-26/184-CS</v>
          </cell>
          <cell r="F1179" t="str">
            <v>P5</v>
          </cell>
          <cell r="G1179">
            <v>0</v>
          </cell>
          <cell r="H1179">
            <v>5</v>
          </cell>
          <cell r="I1179" t="str">
            <v>Yes</v>
          </cell>
          <cell r="J1179" t="str">
            <v/>
          </cell>
          <cell r="K1179" t="str">
            <v>No</v>
          </cell>
          <cell r="L1179" t="str">
            <v/>
          </cell>
          <cell r="M1179" t="str">
            <v/>
          </cell>
          <cell r="N1179" t="str">
            <v>Spool</v>
          </cell>
          <cell r="O1179">
            <v>0</v>
          </cell>
          <cell r="P1179">
            <v>0</v>
          </cell>
          <cell r="Q1179" t="str">
            <v>CS</v>
          </cell>
          <cell r="R1179">
            <v>1</v>
          </cell>
          <cell r="S1179">
            <v>1</v>
          </cell>
          <cell r="T1179">
            <v>10.486079999999999</v>
          </cell>
          <cell r="U1179">
            <v>10.486079999999999</v>
          </cell>
        </row>
        <row r="1180">
          <cell r="B1180" t="str">
            <v>V17551-PIND-0400-05</v>
          </cell>
          <cell r="C1180" t="str">
            <v>PROD/25-26/14092</v>
          </cell>
          <cell r="D1180" t="str">
            <v/>
          </cell>
          <cell r="E1180" t="str">
            <v>TJ/25-26/184-CS</v>
          </cell>
          <cell r="F1180" t="str">
            <v>P5</v>
          </cell>
          <cell r="G1180">
            <v>0</v>
          </cell>
          <cell r="H1180">
            <v>5</v>
          </cell>
          <cell r="I1180" t="str">
            <v>Yes</v>
          </cell>
          <cell r="J1180" t="str">
            <v/>
          </cell>
          <cell r="K1180" t="str">
            <v>No</v>
          </cell>
          <cell r="L1180" t="str">
            <v/>
          </cell>
          <cell r="M1180" t="str">
            <v/>
          </cell>
          <cell r="N1180" t="str">
            <v>Spool</v>
          </cell>
          <cell r="O1180">
            <v>0</v>
          </cell>
          <cell r="P1180">
            <v>0</v>
          </cell>
          <cell r="Q1180" t="str">
            <v>CS</v>
          </cell>
          <cell r="R1180">
            <v>1</v>
          </cell>
          <cell r="S1180">
            <v>1</v>
          </cell>
          <cell r="T1180">
            <v>60.518680000000003</v>
          </cell>
          <cell r="U1180">
            <v>60.518680000000003</v>
          </cell>
        </row>
        <row r="1181">
          <cell r="B1181" t="str">
            <v>V17551-PIND-0401-05</v>
          </cell>
          <cell r="C1181" t="str">
            <v>PROD/25-26/13808</v>
          </cell>
          <cell r="D1181" t="str">
            <v/>
          </cell>
          <cell r="E1181" t="str">
            <v>TJ/25-26/184-CS</v>
          </cell>
          <cell r="F1181" t="str">
            <v>P5</v>
          </cell>
          <cell r="G1181">
            <v>0</v>
          </cell>
          <cell r="H1181">
            <v>5</v>
          </cell>
          <cell r="I1181" t="str">
            <v>Yes</v>
          </cell>
          <cell r="J1181" t="str">
            <v/>
          </cell>
          <cell r="K1181" t="str">
            <v>No</v>
          </cell>
          <cell r="L1181" t="str">
            <v/>
          </cell>
          <cell r="M1181" t="str">
            <v/>
          </cell>
          <cell r="N1181" t="str">
            <v>Spool</v>
          </cell>
          <cell r="O1181">
            <v>0</v>
          </cell>
          <cell r="P1181">
            <v>0</v>
          </cell>
          <cell r="Q1181" t="str">
            <v>CS</v>
          </cell>
          <cell r="R1181">
            <v>1</v>
          </cell>
          <cell r="S1181">
            <v>1</v>
          </cell>
          <cell r="T1181">
            <v>5.6357999999999997</v>
          </cell>
          <cell r="U1181">
            <v>5.6357999999999997</v>
          </cell>
        </row>
        <row r="1182">
          <cell r="B1182" t="str">
            <v>V17551-PIND-0403-05</v>
          </cell>
          <cell r="C1182" t="str">
            <v>PROD/25-26/13810</v>
          </cell>
          <cell r="D1182" t="str">
            <v/>
          </cell>
          <cell r="E1182" t="str">
            <v>TJ/25-26/184-P11</v>
          </cell>
          <cell r="F1182" t="str">
            <v>P5</v>
          </cell>
          <cell r="G1182">
            <v>0</v>
          </cell>
          <cell r="H1182">
            <v>5</v>
          </cell>
          <cell r="I1182" t="str">
            <v>Yes</v>
          </cell>
          <cell r="J1182" t="str">
            <v/>
          </cell>
          <cell r="K1182" t="str">
            <v>No</v>
          </cell>
          <cell r="L1182" t="str">
            <v/>
          </cell>
          <cell r="M1182" t="str">
            <v/>
          </cell>
          <cell r="N1182" t="str">
            <v>Spool</v>
          </cell>
          <cell r="O1182">
            <v>0</v>
          </cell>
          <cell r="P1182">
            <v>0</v>
          </cell>
          <cell r="Q1182" t="str">
            <v>P11</v>
          </cell>
          <cell r="R1182">
            <v>1</v>
          </cell>
          <cell r="S1182">
            <v>1</v>
          </cell>
          <cell r="T1182">
            <v>21.571840000000002</v>
          </cell>
          <cell r="U1182">
            <v>21.571840000000002</v>
          </cell>
        </row>
        <row r="1183">
          <cell r="B1183" t="str">
            <v>V17551-PIND-0404-05</v>
          </cell>
          <cell r="C1183" t="str">
            <v>PROD/25-26/13811</v>
          </cell>
          <cell r="D1183" t="str">
            <v/>
          </cell>
          <cell r="E1183" t="str">
            <v>TJ/25-26/184-CS</v>
          </cell>
          <cell r="F1183" t="str">
            <v>P5</v>
          </cell>
          <cell r="G1183">
            <v>0</v>
          </cell>
          <cell r="H1183">
            <v>5</v>
          </cell>
          <cell r="I1183" t="str">
            <v>Yes</v>
          </cell>
          <cell r="J1183" t="str">
            <v/>
          </cell>
          <cell r="K1183" t="str">
            <v>No</v>
          </cell>
          <cell r="L1183" t="str">
            <v/>
          </cell>
          <cell r="M1183" t="str">
            <v/>
          </cell>
          <cell r="N1183" t="str">
            <v>Spool</v>
          </cell>
          <cell r="O1183">
            <v>0</v>
          </cell>
          <cell r="P1183">
            <v>0</v>
          </cell>
          <cell r="Q1183" t="str">
            <v>CS</v>
          </cell>
          <cell r="R1183">
            <v>1</v>
          </cell>
          <cell r="S1183">
            <v>1</v>
          </cell>
          <cell r="T1183">
            <v>7.0679999999999996</v>
          </cell>
          <cell r="U1183">
            <v>7.0679999999999996</v>
          </cell>
        </row>
        <row r="1184">
          <cell r="B1184" t="str">
            <v>V17551-PIND-0418-05</v>
          </cell>
          <cell r="C1184" t="str">
            <v>PROD/25-26/13822</v>
          </cell>
          <cell r="D1184" t="str">
            <v/>
          </cell>
          <cell r="E1184" t="str">
            <v>TJ/25-26/184-CS</v>
          </cell>
          <cell r="F1184" t="str">
            <v>P5</v>
          </cell>
          <cell r="G1184">
            <v>0</v>
          </cell>
          <cell r="H1184">
            <v>5</v>
          </cell>
          <cell r="I1184" t="str">
            <v>Yes</v>
          </cell>
          <cell r="J1184" t="str">
            <v/>
          </cell>
          <cell r="K1184" t="str">
            <v>No</v>
          </cell>
          <cell r="L1184" t="str">
            <v/>
          </cell>
          <cell r="M1184" t="str">
            <v/>
          </cell>
          <cell r="N1184" t="str">
            <v>Spool</v>
          </cell>
          <cell r="O1184">
            <v>0</v>
          </cell>
          <cell r="P1184">
            <v>0</v>
          </cell>
          <cell r="Q1184" t="str">
            <v>CS</v>
          </cell>
          <cell r="R1184">
            <v>1</v>
          </cell>
          <cell r="S1184">
            <v>1</v>
          </cell>
          <cell r="T1184">
            <v>33.136560000000003</v>
          </cell>
          <cell r="U1184">
            <v>33.136560000000003</v>
          </cell>
        </row>
        <row r="1185">
          <cell r="B1185" t="str">
            <v>V17551-PIND-0424-05</v>
          </cell>
          <cell r="C1185" t="str">
            <v>PROD/25-26/13827</v>
          </cell>
          <cell r="D1185" t="str">
            <v/>
          </cell>
          <cell r="E1185" t="str">
            <v>TJ/25-26/184-CS</v>
          </cell>
          <cell r="F1185" t="str">
            <v>P5</v>
          </cell>
          <cell r="G1185">
            <v>0</v>
          </cell>
          <cell r="H1185">
            <v>5</v>
          </cell>
          <cell r="I1185" t="str">
            <v>Yes</v>
          </cell>
          <cell r="J1185" t="str">
            <v/>
          </cell>
          <cell r="K1185" t="str">
            <v>No</v>
          </cell>
          <cell r="L1185" t="str">
            <v/>
          </cell>
          <cell r="M1185" t="str">
            <v/>
          </cell>
          <cell r="N1185" t="str">
            <v>Spool</v>
          </cell>
          <cell r="O1185">
            <v>0</v>
          </cell>
          <cell r="P1185">
            <v>0</v>
          </cell>
          <cell r="Q1185" t="str">
            <v>CS</v>
          </cell>
          <cell r="R1185">
            <v>1</v>
          </cell>
          <cell r="S1185">
            <v>1</v>
          </cell>
          <cell r="T1185">
            <v>53.65616</v>
          </cell>
          <cell r="U1185">
            <v>53.65616</v>
          </cell>
        </row>
        <row r="1186">
          <cell r="B1186" t="str">
            <v>V17551-PIND-0428-05</v>
          </cell>
          <cell r="C1186" t="str">
            <v>PROD/25-26/13831</v>
          </cell>
          <cell r="D1186" t="str">
            <v/>
          </cell>
          <cell r="E1186" t="str">
            <v>TJ/25-26/184-CS</v>
          </cell>
          <cell r="F1186" t="str">
            <v>P5</v>
          </cell>
          <cell r="G1186">
            <v>0</v>
          </cell>
          <cell r="H1186">
            <v>5</v>
          </cell>
          <cell r="I1186" t="str">
            <v>Yes</v>
          </cell>
          <cell r="J1186" t="str">
            <v/>
          </cell>
          <cell r="K1186" t="str">
            <v>No</v>
          </cell>
          <cell r="L1186" t="str">
            <v/>
          </cell>
          <cell r="M1186" t="str">
            <v/>
          </cell>
          <cell r="N1186" t="str">
            <v>Spool</v>
          </cell>
          <cell r="O1186">
            <v>0</v>
          </cell>
          <cell r="P1186">
            <v>0</v>
          </cell>
          <cell r="Q1186" t="str">
            <v>CS</v>
          </cell>
          <cell r="R1186">
            <v>1</v>
          </cell>
          <cell r="S1186">
            <v>1</v>
          </cell>
          <cell r="T1186">
            <v>40.442279999999997</v>
          </cell>
          <cell r="U1186">
            <v>40.442279999999997</v>
          </cell>
        </row>
        <row r="1187">
          <cell r="B1187" t="str">
            <v>V17551-PIND-0431-05</v>
          </cell>
          <cell r="C1187" t="str">
            <v>PROD/25-26/13834</v>
          </cell>
          <cell r="D1187" t="str">
            <v/>
          </cell>
          <cell r="E1187" t="str">
            <v>TJ/25-26/184-CS</v>
          </cell>
          <cell r="F1187" t="str">
            <v>P5</v>
          </cell>
          <cell r="G1187">
            <v>0</v>
          </cell>
          <cell r="H1187">
            <v>5</v>
          </cell>
          <cell r="I1187" t="str">
            <v>No</v>
          </cell>
          <cell r="J1187" t="str">
            <v/>
          </cell>
          <cell r="K1187" t="str">
            <v>No</v>
          </cell>
          <cell r="L1187" t="str">
            <v/>
          </cell>
          <cell r="M1187" t="str">
            <v/>
          </cell>
          <cell r="N1187" t="str">
            <v>Spool</v>
          </cell>
          <cell r="O1187">
            <v>0</v>
          </cell>
          <cell r="P1187">
            <v>0</v>
          </cell>
          <cell r="Q1187" t="str">
            <v>CS</v>
          </cell>
          <cell r="R1187">
            <v>1</v>
          </cell>
          <cell r="S1187">
            <v>1</v>
          </cell>
          <cell r="T1187">
            <v>47.550559999999997</v>
          </cell>
          <cell r="U1187">
            <v>47.550559999999997</v>
          </cell>
        </row>
        <row r="1188">
          <cell r="B1188" t="str">
            <v>V17551-PIND-0437-05</v>
          </cell>
          <cell r="C1188" t="str">
            <v>PROD/25-26/13840</v>
          </cell>
          <cell r="D1188" t="str">
            <v/>
          </cell>
          <cell r="E1188" t="str">
            <v>TJ/25-26/184-CS</v>
          </cell>
          <cell r="F1188" t="str">
            <v>P5</v>
          </cell>
          <cell r="G1188">
            <v>0</v>
          </cell>
          <cell r="H1188">
            <v>5</v>
          </cell>
          <cell r="I1188" t="str">
            <v>Yes</v>
          </cell>
          <cell r="J1188" t="str">
            <v/>
          </cell>
          <cell r="K1188" t="str">
            <v>No</v>
          </cell>
          <cell r="L1188" t="str">
            <v/>
          </cell>
          <cell r="M1188" t="str">
            <v/>
          </cell>
          <cell r="N1188" t="str">
            <v>Spool</v>
          </cell>
          <cell r="O1188">
            <v>0</v>
          </cell>
          <cell r="P1188">
            <v>0</v>
          </cell>
          <cell r="Q1188" t="str">
            <v>CS</v>
          </cell>
          <cell r="R1188">
            <v>1</v>
          </cell>
          <cell r="S1188">
            <v>1</v>
          </cell>
          <cell r="T1188">
            <v>3.5428000000000002</v>
          </cell>
          <cell r="U1188">
            <v>3.5428000000000002</v>
          </cell>
        </row>
        <row r="1189">
          <cell r="B1189" t="str">
            <v>V17551-PIND-0442-05</v>
          </cell>
          <cell r="C1189" t="str">
            <v>PROD/25-26/13845</v>
          </cell>
          <cell r="D1189" t="str">
            <v/>
          </cell>
          <cell r="E1189" t="str">
            <v>TJ/25-26/184-CS</v>
          </cell>
          <cell r="F1189" t="str">
            <v>P5</v>
          </cell>
          <cell r="G1189">
            <v>0</v>
          </cell>
          <cell r="H1189">
            <v>5</v>
          </cell>
          <cell r="I1189" t="str">
            <v>Yes</v>
          </cell>
          <cell r="J1189" t="str">
            <v/>
          </cell>
          <cell r="K1189" t="str">
            <v>No</v>
          </cell>
          <cell r="L1189" t="str">
            <v/>
          </cell>
          <cell r="M1189" t="str">
            <v/>
          </cell>
          <cell r="N1189" t="str">
            <v>Spool</v>
          </cell>
          <cell r="O1189">
            <v>0</v>
          </cell>
          <cell r="P1189">
            <v>0</v>
          </cell>
          <cell r="Q1189" t="str">
            <v>CS</v>
          </cell>
          <cell r="R1189">
            <v>1</v>
          </cell>
          <cell r="S1189">
            <v>1</v>
          </cell>
          <cell r="T1189">
            <v>20.060479999999998</v>
          </cell>
          <cell r="U1189">
            <v>20.060479999999998</v>
          </cell>
        </row>
        <row r="1190">
          <cell r="B1190" t="str">
            <v>V17551-PIND-0447-05</v>
          </cell>
          <cell r="C1190" t="str">
            <v>PROD/25-26/13850</v>
          </cell>
          <cell r="D1190" t="str">
            <v/>
          </cell>
          <cell r="E1190" t="str">
            <v>TJ/25-26/184-CS</v>
          </cell>
          <cell r="F1190" t="str">
            <v>P5</v>
          </cell>
          <cell r="G1190">
            <v>0</v>
          </cell>
          <cell r="H1190">
            <v>5</v>
          </cell>
          <cell r="I1190" t="str">
            <v>Yes</v>
          </cell>
          <cell r="J1190" t="str">
            <v/>
          </cell>
          <cell r="K1190" t="str">
            <v>No</v>
          </cell>
          <cell r="L1190" t="str">
            <v/>
          </cell>
          <cell r="M1190" t="str">
            <v/>
          </cell>
          <cell r="N1190" t="str">
            <v>Spool</v>
          </cell>
          <cell r="O1190">
            <v>0</v>
          </cell>
          <cell r="P1190">
            <v>0</v>
          </cell>
          <cell r="Q1190" t="str">
            <v>CS</v>
          </cell>
          <cell r="R1190">
            <v>1</v>
          </cell>
          <cell r="S1190">
            <v>1</v>
          </cell>
          <cell r="T1190">
            <v>16.983000000000001</v>
          </cell>
          <cell r="U1190">
            <v>16.983000000000001</v>
          </cell>
        </row>
        <row r="1191">
          <cell r="B1191" t="str">
            <v>V17551-PIND-0453-05</v>
          </cell>
          <cell r="C1191" t="str">
            <v>PROD/25-26/14103</v>
          </cell>
          <cell r="D1191" t="str">
            <v/>
          </cell>
          <cell r="E1191" t="str">
            <v>TJ/25-26/184-CS</v>
          </cell>
          <cell r="F1191" t="str">
            <v>P5</v>
          </cell>
          <cell r="G1191">
            <v>0</v>
          </cell>
          <cell r="H1191">
            <v>5</v>
          </cell>
          <cell r="I1191" t="str">
            <v>Yes</v>
          </cell>
          <cell r="J1191" t="str">
            <v/>
          </cell>
          <cell r="K1191" t="str">
            <v>No</v>
          </cell>
          <cell r="L1191" t="str">
            <v/>
          </cell>
          <cell r="M1191" t="str">
            <v/>
          </cell>
          <cell r="N1191" t="str">
            <v>Spool</v>
          </cell>
          <cell r="O1191">
            <v>0</v>
          </cell>
          <cell r="P1191">
            <v>0</v>
          </cell>
          <cell r="Q1191" t="str">
            <v>CS</v>
          </cell>
          <cell r="R1191">
            <v>1</v>
          </cell>
          <cell r="S1191">
            <v>1</v>
          </cell>
          <cell r="T1191">
            <v>26.891120000000001</v>
          </cell>
          <cell r="U1191">
            <v>26.891120000000001</v>
          </cell>
        </row>
        <row r="1192">
          <cell r="B1192" t="str">
            <v>V17551-PIND-0454-05</v>
          </cell>
          <cell r="C1192" t="str">
            <v>PROD/25-26/14104</v>
          </cell>
          <cell r="D1192" t="str">
            <v/>
          </cell>
          <cell r="E1192" t="str">
            <v>TJ/25-26/184-CS</v>
          </cell>
          <cell r="F1192" t="str">
            <v>P5</v>
          </cell>
          <cell r="G1192">
            <v>0</v>
          </cell>
          <cell r="H1192">
            <v>5</v>
          </cell>
          <cell r="I1192" t="str">
            <v>Yes</v>
          </cell>
          <cell r="J1192" t="str">
            <v/>
          </cell>
          <cell r="K1192" t="str">
            <v>No</v>
          </cell>
          <cell r="L1192" t="str">
            <v/>
          </cell>
          <cell r="M1192" t="str">
            <v/>
          </cell>
          <cell r="N1192" t="str">
            <v>Spool</v>
          </cell>
          <cell r="O1192">
            <v>0</v>
          </cell>
          <cell r="P1192">
            <v>0</v>
          </cell>
          <cell r="Q1192" t="str">
            <v>CS</v>
          </cell>
          <cell r="R1192">
            <v>1</v>
          </cell>
          <cell r="S1192">
            <v>1</v>
          </cell>
          <cell r="T1192">
            <v>26.894359999999999</v>
          </cell>
          <cell r="U1192">
            <v>26.894359999999999</v>
          </cell>
        </row>
        <row r="1193">
          <cell r="B1193" t="str">
            <v>V17551-PIND-0468-05</v>
          </cell>
          <cell r="C1193" t="str">
            <v>PROD/25-26/13865</v>
          </cell>
          <cell r="D1193" t="str">
            <v/>
          </cell>
          <cell r="E1193" t="str">
            <v>TJ/25-26/184-CS</v>
          </cell>
          <cell r="F1193" t="str">
            <v>P5</v>
          </cell>
          <cell r="G1193">
            <v>0</v>
          </cell>
          <cell r="H1193">
            <v>5</v>
          </cell>
          <cell r="I1193" t="str">
            <v>Yes</v>
          </cell>
          <cell r="J1193" t="str">
            <v/>
          </cell>
          <cell r="K1193" t="str">
            <v>No</v>
          </cell>
          <cell r="L1193" t="str">
            <v/>
          </cell>
          <cell r="M1193" t="str">
            <v/>
          </cell>
          <cell r="N1193" t="str">
            <v>Spool</v>
          </cell>
          <cell r="O1193">
            <v>0</v>
          </cell>
          <cell r="P1193">
            <v>0</v>
          </cell>
          <cell r="Q1193" t="str">
            <v>CS</v>
          </cell>
          <cell r="R1193">
            <v>1</v>
          </cell>
          <cell r="S1193">
            <v>1</v>
          </cell>
          <cell r="T1193">
            <v>1.6133999999999999</v>
          </cell>
          <cell r="U1193">
            <v>1.6133999999999999</v>
          </cell>
        </row>
        <row r="1194">
          <cell r="B1194" t="str">
            <v>V17551-PIND-0469-05</v>
          </cell>
          <cell r="C1194" t="str">
            <v>PROD/25-26/13866</v>
          </cell>
          <cell r="D1194" t="str">
            <v/>
          </cell>
          <cell r="E1194" t="str">
            <v>TJ/25-26/184-CS</v>
          </cell>
          <cell r="F1194" t="str">
            <v>P5</v>
          </cell>
          <cell r="G1194">
            <v>0</v>
          </cell>
          <cell r="H1194">
            <v>5</v>
          </cell>
          <cell r="I1194" t="str">
            <v>Yes</v>
          </cell>
          <cell r="J1194" t="str">
            <v/>
          </cell>
          <cell r="K1194" t="str">
            <v>No</v>
          </cell>
          <cell r="L1194" t="str">
            <v/>
          </cell>
          <cell r="M1194" t="str">
            <v/>
          </cell>
          <cell r="N1194" t="str">
            <v>Spool</v>
          </cell>
          <cell r="O1194">
            <v>0</v>
          </cell>
          <cell r="P1194">
            <v>0</v>
          </cell>
          <cell r="Q1194" t="str">
            <v>CS</v>
          </cell>
          <cell r="R1194">
            <v>1</v>
          </cell>
          <cell r="S1194">
            <v>1</v>
          </cell>
          <cell r="T1194">
            <v>2.2192400000000001</v>
          </cell>
          <cell r="U1194">
            <v>2.2192400000000001</v>
          </cell>
        </row>
        <row r="1195">
          <cell r="B1195" t="str">
            <v>V17551-PIND-0474-05</v>
          </cell>
          <cell r="C1195" t="str">
            <v>PROD/25-26/13871</v>
          </cell>
          <cell r="D1195" t="str">
            <v/>
          </cell>
          <cell r="E1195" t="str">
            <v>TJ/25-26/184-CS</v>
          </cell>
          <cell r="F1195" t="str">
            <v>P5</v>
          </cell>
          <cell r="G1195">
            <v>0</v>
          </cell>
          <cell r="H1195">
            <v>5</v>
          </cell>
          <cell r="I1195" t="str">
            <v>Yes</v>
          </cell>
          <cell r="J1195" t="str">
            <v/>
          </cell>
          <cell r="K1195" t="str">
            <v>No</v>
          </cell>
          <cell r="L1195" t="str">
            <v/>
          </cell>
          <cell r="M1195" t="str">
            <v/>
          </cell>
          <cell r="N1195" t="str">
            <v>Spool</v>
          </cell>
          <cell r="O1195">
            <v>0</v>
          </cell>
          <cell r="P1195">
            <v>0</v>
          </cell>
          <cell r="Q1195" t="str">
            <v>CS</v>
          </cell>
          <cell r="R1195">
            <v>1</v>
          </cell>
          <cell r="S1195">
            <v>1</v>
          </cell>
          <cell r="T1195">
            <v>28.643160000000002</v>
          </cell>
          <cell r="U1195">
            <v>28.643160000000002</v>
          </cell>
        </row>
        <row r="1196">
          <cell r="B1196" t="str">
            <v>V17551-PIND-0490-05</v>
          </cell>
          <cell r="C1196" t="str">
            <v>PROD/25-26/13885</v>
          </cell>
          <cell r="D1196" t="str">
            <v/>
          </cell>
          <cell r="E1196" t="str">
            <v>TJ/25-26/184-P22</v>
          </cell>
          <cell r="F1196" t="str">
            <v>P5</v>
          </cell>
          <cell r="G1196">
            <v>0</v>
          </cell>
          <cell r="H1196">
            <v>5</v>
          </cell>
          <cell r="I1196" t="str">
            <v>Yes</v>
          </cell>
          <cell r="J1196" t="str">
            <v/>
          </cell>
          <cell r="K1196" t="str">
            <v>No</v>
          </cell>
          <cell r="L1196" t="str">
            <v/>
          </cell>
          <cell r="M1196" t="str">
            <v/>
          </cell>
          <cell r="N1196" t="str">
            <v>Spool</v>
          </cell>
          <cell r="O1196">
            <v>0</v>
          </cell>
          <cell r="P1196">
            <v>0</v>
          </cell>
          <cell r="Q1196" t="str">
            <v>P22</v>
          </cell>
          <cell r="R1196">
            <v>1</v>
          </cell>
          <cell r="S1196">
            <v>1</v>
          </cell>
          <cell r="T1196">
            <v>3.28694</v>
          </cell>
          <cell r="U1196">
            <v>3.28694</v>
          </cell>
        </row>
        <row r="1197">
          <cell r="B1197" t="str">
            <v>V17551-PIND-0491-05</v>
          </cell>
          <cell r="C1197" t="str">
            <v>PROD/25-26/13886</v>
          </cell>
          <cell r="D1197" t="str">
            <v/>
          </cell>
          <cell r="E1197" t="str">
            <v>TJ/25-26/184-P22</v>
          </cell>
          <cell r="F1197" t="str">
            <v>P5</v>
          </cell>
          <cell r="G1197">
            <v>0</v>
          </cell>
          <cell r="H1197">
            <v>5</v>
          </cell>
          <cell r="I1197" t="str">
            <v>Yes</v>
          </cell>
          <cell r="J1197" t="str">
            <v/>
          </cell>
          <cell r="K1197" t="str">
            <v>No</v>
          </cell>
          <cell r="L1197" t="str">
            <v/>
          </cell>
          <cell r="M1197" t="str">
            <v/>
          </cell>
          <cell r="N1197" t="str">
            <v>Spool</v>
          </cell>
          <cell r="O1197">
            <v>0</v>
          </cell>
          <cell r="P1197">
            <v>0</v>
          </cell>
          <cell r="Q1197" t="str">
            <v>P22</v>
          </cell>
          <cell r="R1197">
            <v>1</v>
          </cell>
          <cell r="S1197">
            <v>1</v>
          </cell>
          <cell r="T1197">
            <v>5.3766999999999996</v>
          </cell>
          <cell r="U1197">
            <v>5.3766999999999996</v>
          </cell>
        </row>
        <row r="1198">
          <cell r="B1198" t="str">
            <v>V17551-PIND-0492-05</v>
          </cell>
          <cell r="C1198" t="str">
            <v>PROD/25-26/13887</v>
          </cell>
          <cell r="D1198" t="str">
            <v/>
          </cell>
          <cell r="E1198" t="str">
            <v>TJ/25-26/184-91</v>
          </cell>
          <cell r="F1198" t="str">
            <v>P5</v>
          </cell>
          <cell r="G1198">
            <v>0</v>
          </cell>
          <cell r="H1198">
            <v>5</v>
          </cell>
          <cell r="I1198" t="str">
            <v>Yes</v>
          </cell>
          <cell r="J1198" t="str">
            <v/>
          </cell>
          <cell r="K1198" t="str">
            <v>No</v>
          </cell>
          <cell r="L1198" t="str">
            <v/>
          </cell>
          <cell r="M1198" t="str">
            <v/>
          </cell>
          <cell r="N1198" t="str">
            <v>Spool</v>
          </cell>
          <cell r="O1198">
            <v>0</v>
          </cell>
          <cell r="P1198">
            <v>0</v>
          </cell>
          <cell r="Q1198" t="str">
            <v>CS</v>
          </cell>
          <cell r="R1198">
            <v>1</v>
          </cell>
          <cell r="S1198">
            <v>1</v>
          </cell>
          <cell r="T1198">
            <v>4.0579799999999997</v>
          </cell>
          <cell r="U1198">
            <v>4.0579799999999997</v>
          </cell>
        </row>
        <row r="1199">
          <cell r="B1199" t="str">
            <v>V17551-PIND-0495-05</v>
          </cell>
          <cell r="C1199" t="str">
            <v>PROD/25-26/13890</v>
          </cell>
          <cell r="D1199" t="str">
            <v/>
          </cell>
          <cell r="E1199" t="str">
            <v>TJ/25-26/184-CS</v>
          </cell>
          <cell r="F1199" t="str">
            <v>P5</v>
          </cell>
          <cell r="G1199">
            <v>0</v>
          </cell>
          <cell r="H1199">
            <v>5</v>
          </cell>
          <cell r="I1199" t="str">
            <v>Yes</v>
          </cell>
          <cell r="J1199" t="str">
            <v/>
          </cell>
          <cell r="K1199" t="str">
            <v>No</v>
          </cell>
          <cell r="L1199" t="str">
            <v/>
          </cell>
          <cell r="M1199" t="str">
            <v/>
          </cell>
          <cell r="N1199" t="str">
            <v>Spool</v>
          </cell>
          <cell r="O1199">
            <v>0</v>
          </cell>
          <cell r="P1199">
            <v>0</v>
          </cell>
          <cell r="Q1199" t="str">
            <v>CS</v>
          </cell>
          <cell r="R1199">
            <v>1</v>
          </cell>
          <cell r="S1199">
            <v>1</v>
          </cell>
          <cell r="T1199">
            <v>15.87696</v>
          </cell>
          <cell r="U1199">
            <v>15.87696</v>
          </cell>
        </row>
        <row r="1200">
          <cell r="B1200" t="str">
            <v>V17551-PIND-0496-05</v>
          </cell>
          <cell r="C1200" t="str">
            <v>PROD/25-26/13891</v>
          </cell>
          <cell r="D1200" t="str">
            <v/>
          </cell>
          <cell r="E1200" t="str">
            <v>TJ/25-26/184-CS</v>
          </cell>
          <cell r="F1200" t="str">
            <v>P5</v>
          </cell>
          <cell r="G1200">
            <v>0</v>
          </cell>
          <cell r="H1200">
            <v>5</v>
          </cell>
          <cell r="I1200" t="str">
            <v>Yes</v>
          </cell>
          <cell r="J1200" t="str">
            <v/>
          </cell>
          <cell r="K1200" t="str">
            <v>No</v>
          </cell>
          <cell r="L1200" t="str">
            <v/>
          </cell>
          <cell r="M1200" t="str">
            <v/>
          </cell>
          <cell r="N1200" t="str">
            <v>Spool</v>
          </cell>
          <cell r="O1200">
            <v>0</v>
          </cell>
          <cell r="P1200">
            <v>0</v>
          </cell>
          <cell r="Q1200" t="str">
            <v>CS</v>
          </cell>
          <cell r="R1200">
            <v>1</v>
          </cell>
          <cell r="S1200">
            <v>1</v>
          </cell>
          <cell r="T1200">
            <v>8.7290399999999995</v>
          </cell>
          <cell r="U1200">
            <v>8.7290399999999995</v>
          </cell>
        </row>
        <row r="1201">
          <cell r="B1201" t="str">
            <v>V17551-PIND-0499-05</v>
          </cell>
          <cell r="C1201" t="str">
            <v>PROD/25-26/13894</v>
          </cell>
          <cell r="D1201" t="str">
            <v/>
          </cell>
          <cell r="E1201" t="str">
            <v>TJ/25-26/184-CS</v>
          </cell>
          <cell r="F1201" t="str">
            <v>P5</v>
          </cell>
          <cell r="G1201">
            <v>0</v>
          </cell>
          <cell r="H1201">
            <v>5</v>
          </cell>
          <cell r="I1201" t="str">
            <v>Yes</v>
          </cell>
          <cell r="J1201" t="str">
            <v/>
          </cell>
          <cell r="K1201" t="str">
            <v>No</v>
          </cell>
          <cell r="L1201" t="str">
            <v/>
          </cell>
          <cell r="M1201" t="str">
            <v/>
          </cell>
          <cell r="N1201" t="str">
            <v>Spool</v>
          </cell>
          <cell r="O1201">
            <v>0</v>
          </cell>
          <cell r="P1201">
            <v>0</v>
          </cell>
          <cell r="Q1201" t="str">
            <v>CS</v>
          </cell>
          <cell r="R1201">
            <v>1</v>
          </cell>
          <cell r="S1201">
            <v>1</v>
          </cell>
          <cell r="T1201">
            <v>19.713239999999999</v>
          </cell>
          <cell r="U1201">
            <v>19.713239999999999</v>
          </cell>
        </row>
        <row r="1202">
          <cell r="B1202" t="str">
            <v>V17551-PIND-0501-05</v>
          </cell>
          <cell r="C1202" t="str">
            <v>PROD/25-26/13896</v>
          </cell>
          <cell r="D1202" t="str">
            <v/>
          </cell>
          <cell r="E1202" t="str">
            <v>TJ/25-26/184-CS</v>
          </cell>
          <cell r="F1202" t="str">
            <v>P5</v>
          </cell>
          <cell r="G1202">
            <v>0</v>
          </cell>
          <cell r="H1202">
            <v>5</v>
          </cell>
          <cell r="I1202" t="str">
            <v>Yes</v>
          </cell>
          <cell r="J1202" t="str">
            <v/>
          </cell>
          <cell r="K1202" t="str">
            <v>No</v>
          </cell>
          <cell r="L1202" t="str">
            <v/>
          </cell>
          <cell r="M1202" t="str">
            <v/>
          </cell>
          <cell r="N1202" t="str">
            <v>Spool</v>
          </cell>
          <cell r="O1202">
            <v>0</v>
          </cell>
          <cell r="P1202">
            <v>0</v>
          </cell>
          <cell r="Q1202" t="str">
            <v>CS</v>
          </cell>
          <cell r="R1202">
            <v>1</v>
          </cell>
          <cell r="S1202">
            <v>1</v>
          </cell>
          <cell r="T1202">
            <v>11.30808</v>
          </cell>
          <cell r="U1202">
            <v>11.30808</v>
          </cell>
        </row>
        <row r="1203">
          <cell r="B1203" t="str">
            <v>V17551-PIND-0513-05</v>
          </cell>
          <cell r="C1203" t="str">
            <v>PROD/25-26/13908</v>
          </cell>
          <cell r="D1203" t="str">
            <v/>
          </cell>
          <cell r="E1203" t="str">
            <v>TJ/25-26/184-CS</v>
          </cell>
          <cell r="F1203" t="str">
            <v>P5</v>
          </cell>
          <cell r="G1203">
            <v>0</v>
          </cell>
          <cell r="H1203">
            <v>5</v>
          </cell>
          <cell r="I1203" t="str">
            <v>Yes</v>
          </cell>
          <cell r="J1203" t="str">
            <v/>
          </cell>
          <cell r="K1203" t="str">
            <v>No</v>
          </cell>
          <cell r="L1203" t="str">
            <v/>
          </cell>
          <cell r="M1203" t="str">
            <v/>
          </cell>
          <cell r="N1203" t="str">
            <v>Spool</v>
          </cell>
          <cell r="O1203">
            <v>0</v>
          </cell>
          <cell r="P1203">
            <v>0</v>
          </cell>
          <cell r="Q1203" t="str">
            <v>CS</v>
          </cell>
          <cell r="R1203">
            <v>1</v>
          </cell>
          <cell r="S1203">
            <v>1</v>
          </cell>
          <cell r="T1203">
            <v>110.41292</v>
          </cell>
          <cell r="U1203">
            <v>110.41292</v>
          </cell>
        </row>
        <row r="1204">
          <cell r="B1204" t="str">
            <v>V17551-PIND-0518-05</v>
          </cell>
          <cell r="C1204" t="str">
            <v>PROD/25-26/13913</v>
          </cell>
          <cell r="D1204" t="str">
            <v/>
          </cell>
          <cell r="E1204" t="str">
            <v>TJ/25-26/184-CS</v>
          </cell>
          <cell r="F1204" t="str">
            <v>P5</v>
          </cell>
          <cell r="G1204">
            <v>0</v>
          </cell>
          <cell r="H1204">
            <v>5</v>
          </cell>
          <cell r="I1204" t="str">
            <v>Yes</v>
          </cell>
          <cell r="J1204" t="str">
            <v/>
          </cell>
          <cell r="K1204" t="str">
            <v>No</v>
          </cell>
          <cell r="L1204" t="str">
            <v/>
          </cell>
          <cell r="M1204" t="str">
            <v/>
          </cell>
          <cell r="N1204" t="str">
            <v>Spool</v>
          </cell>
          <cell r="O1204">
            <v>0</v>
          </cell>
          <cell r="P1204">
            <v>0</v>
          </cell>
          <cell r="Q1204" t="str">
            <v>CS</v>
          </cell>
          <cell r="R1204">
            <v>1</v>
          </cell>
          <cell r="S1204">
            <v>1</v>
          </cell>
          <cell r="T1204">
            <v>4.1314799999999998</v>
          </cell>
          <cell r="U1204">
            <v>4.1314799999999998</v>
          </cell>
        </row>
        <row r="1205">
          <cell r="B1205" t="str">
            <v>V17551-PIND-0523-05</v>
          </cell>
          <cell r="C1205" t="str">
            <v>PROD/25-26/13918</v>
          </cell>
          <cell r="D1205" t="str">
            <v/>
          </cell>
          <cell r="E1205" t="str">
            <v>TJ/25-26/184-CS</v>
          </cell>
          <cell r="F1205" t="str">
            <v>P5</v>
          </cell>
          <cell r="G1205">
            <v>0</v>
          </cell>
          <cell r="H1205">
            <v>5</v>
          </cell>
          <cell r="I1205" t="str">
            <v>Yes</v>
          </cell>
          <cell r="J1205" t="str">
            <v/>
          </cell>
          <cell r="K1205" t="str">
            <v>No</v>
          </cell>
          <cell r="L1205" t="str">
            <v/>
          </cell>
          <cell r="M1205" t="str">
            <v/>
          </cell>
          <cell r="N1205" t="str">
            <v>Spool</v>
          </cell>
          <cell r="O1205">
            <v>0</v>
          </cell>
          <cell r="P1205">
            <v>0</v>
          </cell>
          <cell r="Q1205" t="str">
            <v>CS</v>
          </cell>
          <cell r="R1205">
            <v>1</v>
          </cell>
          <cell r="S1205">
            <v>1</v>
          </cell>
          <cell r="T1205">
            <v>9.5465</v>
          </cell>
          <cell r="U1205">
            <v>9.5465</v>
          </cell>
        </row>
        <row r="1206">
          <cell r="B1206" t="str">
            <v>V17551-PIND-0528-05</v>
          </cell>
          <cell r="C1206" t="str">
            <v>PROD/25-26/13923</v>
          </cell>
          <cell r="D1206" t="str">
            <v/>
          </cell>
          <cell r="E1206" t="str">
            <v>TJ/25-26/184-91</v>
          </cell>
          <cell r="F1206" t="str">
            <v>P1</v>
          </cell>
          <cell r="G1206">
            <v>0</v>
          </cell>
          <cell r="H1206">
            <v>5</v>
          </cell>
          <cell r="I1206" t="str">
            <v>Yes</v>
          </cell>
          <cell r="J1206" t="str">
            <v/>
          </cell>
          <cell r="K1206" t="str">
            <v>No</v>
          </cell>
          <cell r="L1206" t="str">
            <v/>
          </cell>
          <cell r="M1206" t="str">
            <v/>
          </cell>
          <cell r="N1206" t="str">
            <v>Spool</v>
          </cell>
          <cell r="O1206">
            <v>0</v>
          </cell>
          <cell r="P1206">
            <v>0</v>
          </cell>
          <cell r="Q1206" t="str">
            <v>CS</v>
          </cell>
          <cell r="R1206">
            <v>1</v>
          </cell>
          <cell r="S1206">
            <v>1</v>
          </cell>
          <cell r="T1206">
            <v>26.620999999999999</v>
          </cell>
          <cell r="U1206">
            <v>26.620999999999999</v>
          </cell>
        </row>
        <row r="1207">
          <cell r="B1207" t="str">
            <v>V17551-PIND-0529-05</v>
          </cell>
          <cell r="C1207" t="str">
            <v>PROD/25-26/13924</v>
          </cell>
          <cell r="D1207" t="str">
            <v/>
          </cell>
          <cell r="E1207" t="str">
            <v>TJ/25-26/184-CS</v>
          </cell>
          <cell r="F1207" t="str">
            <v>P1</v>
          </cell>
          <cell r="G1207">
            <v>0</v>
          </cell>
          <cell r="H1207">
            <v>5</v>
          </cell>
          <cell r="I1207" t="str">
            <v>Yes</v>
          </cell>
          <cell r="J1207" t="str">
            <v/>
          </cell>
          <cell r="K1207" t="str">
            <v>No</v>
          </cell>
          <cell r="L1207" t="str">
            <v/>
          </cell>
          <cell r="M1207" t="str">
            <v/>
          </cell>
          <cell r="N1207" t="str">
            <v>Spool</v>
          </cell>
          <cell r="O1207">
            <v>0</v>
          </cell>
          <cell r="P1207">
            <v>0</v>
          </cell>
          <cell r="Q1207" t="str">
            <v>CS</v>
          </cell>
          <cell r="R1207">
            <v>1</v>
          </cell>
          <cell r="S1207">
            <v>1</v>
          </cell>
          <cell r="T1207">
            <v>19.535219999999999</v>
          </cell>
          <cell r="U1207">
            <v>19.535219999999999</v>
          </cell>
        </row>
        <row r="1208">
          <cell r="B1208" t="str">
            <v>V17551-PIND-0530-05</v>
          </cell>
          <cell r="C1208" t="str">
            <v>PROD/25-26/13925</v>
          </cell>
          <cell r="D1208" t="str">
            <v/>
          </cell>
          <cell r="E1208" t="str">
            <v>TJ/25-26/184-CS</v>
          </cell>
          <cell r="F1208" t="str">
            <v>P1</v>
          </cell>
          <cell r="G1208">
            <v>0</v>
          </cell>
          <cell r="H1208">
            <v>5</v>
          </cell>
          <cell r="I1208" t="str">
            <v>Yes</v>
          </cell>
          <cell r="J1208" t="str">
            <v/>
          </cell>
          <cell r="K1208" t="str">
            <v>No</v>
          </cell>
          <cell r="L1208" t="str">
            <v/>
          </cell>
          <cell r="M1208" t="str">
            <v/>
          </cell>
          <cell r="N1208" t="str">
            <v>Spool</v>
          </cell>
          <cell r="O1208">
            <v>0</v>
          </cell>
          <cell r="P1208">
            <v>0</v>
          </cell>
          <cell r="Q1208" t="str">
            <v>CS</v>
          </cell>
          <cell r="R1208">
            <v>1</v>
          </cell>
          <cell r="S1208">
            <v>1</v>
          </cell>
          <cell r="T1208">
            <v>12.501340000000001</v>
          </cell>
          <cell r="U1208">
            <v>12.501340000000001</v>
          </cell>
        </row>
        <row r="1209">
          <cell r="B1209" t="str">
            <v>V17551-PIND-0557-05</v>
          </cell>
          <cell r="C1209" t="str">
            <v>PROD/25-26/13941</v>
          </cell>
          <cell r="D1209" t="str">
            <v/>
          </cell>
          <cell r="E1209" t="str">
            <v>TJ/25-26/184-CS</v>
          </cell>
          <cell r="F1209" t="str">
            <v>P5</v>
          </cell>
          <cell r="G1209">
            <v>0</v>
          </cell>
          <cell r="H1209">
            <v>5</v>
          </cell>
          <cell r="I1209" t="str">
            <v>Yes</v>
          </cell>
          <cell r="J1209" t="str">
            <v/>
          </cell>
          <cell r="K1209" t="str">
            <v>No</v>
          </cell>
          <cell r="L1209" t="str">
            <v/>
          </cell>
          <cell r="M1209" t="str">
            <v/>
          </cell>
          <cell r="N1209" t="str">
            <v>Spool</v>
          </cell>
          <cell r="O1209">
            <v>0</v>
          </cell>
          <cell r="P1209">
            <v>0</v>
          </cell>
          <cell r="Q1209" t="str">
            <v>CS</v>
          </cell>
          <cell r="R1209">
            <v>1</v>
          </cell>
          <cell r="S1209">
            <v>1</v>
          </cell>
          <cell r="T1209">
            <v>19.8126</v>
          </cell>
          <cell r="U1209">
            <v>19.8126</v>
          </cell>
        </row>
        <row r="1210">
          <cell r="B1210" t="str">
            <v>V17551-PIND-0563-05</v>
          </cell>
          <cell r="C1210" t="str">
            <v>PROD/25-26/13947</v>
          </cell>
          <cell r="D1210" t="str">
            <v/>
          </cell>
          <cell r="E1210" t="str">
            <v>TJ/25-26/184-CS</v>
          </cell>
          <cell r="F1210" t="str">
            <v>P5</v>
          </cell>
          <cell r="G1210">
            <v>0</v>
          </cell>
          <cell r="H1210">
            <v>5</v>
          </cell>
          <cell r="I1210" t="str">
            <v>Yes</v>
          </cell>
          <cell r="J1210" t="str">
            <v/>
          </cell>
          <cell r="K1210" t="str">
            <v>No</v>
          </cell>
          <cell r="L1210" t="str">
            <v/>
          </cell>
          <cell r="M1210" t="str">
            <v/>
          </cell>
          <cell r="N1210" t="str">
            <v>Spool</v>
          </cell>
          <cell r="O1210">
            <v>0</v>
          </cell>
          <cell r="P1210">
            <v>0</v>
          </cell>
          <cell r="Q1210" t="str">
            <v>CS</v>
          </cell>
          <cell r="R1210">
            <v>1</v>
          </cell>
          <cell r="S1210">
            <v>1</v>
          </cell>
          <cell r="T1210">
            <v>59.930959999999999</v>
          </cell>
          <cell r="U1210">
            <v>59.930959999999999</v>
          </cell>
        </row>
        <row r="1211">
          <cell r="B1211" t="str">
            <v>V17551-PIND-0574-11</v>
          </cell>
          <cell r="C1211" t="str">
            <v>PROD/25-26/13952</v>
          </cell>
          <cell r="D1211" t="str">
            <v/>
          </cell>
          <cell r="E1211" t="str">
            <v>TJ/25-26/184-CS</v>
          </cell>
          <cell r="F1211" t="str">
            <v>P5</v>
          </cell>
          <cell r="G1211">
            <v>0</v>
          </cell>
          <cell r="H1211">
            <v>5</v>
          </cell>
          <cell r="I1211" t="str">
            <v>Yes</v>
          </cell>
          <cell r="J1211" t="str">
            <v/>
          </cell>
          <cell r="K1211" t="str">
            <v>No</v>
          </cell>
          <cell r="L1211" t="str">
            <v/>
          </cell>
          <cell r="M1211" t="str">
            <v/>
          </cell>
          <cell r="N1211" t="str">
            <v>Spool</v>
          </cell>
          <cell r="O1211">
            <v>0</v>
          </cell>
          <cell r="P1211">
            <v>0</v>
          </cell>
          <cell r="Q1211" t="str">
            <v>CS</v>
          </cell>
          <cell r="R1211">
            <v>1</v>
          </cell>
          <cell r="S1211">
            <v>1</v>
          </cell>
          <cell r="T1211">
            <v>33.136600000000001</v>
          </cell>
          <cell r="U1211">
            <v>33.136600000000001</v>
          </cell>
        </row>
        <row r="1212">
          <cell r="B1212" t="str">
            <v>V17551-PIND-0575-10</v>
          </cell>
          <cell r="C1212" t="str">
            <v>PROD/25-26/13953</v>
          </cell>
          <cell r="D1212" t="str">
            <v/>
          </cell>
          <cell r="E1212" t="str">
            <v>TJ/25-26/184-CS</v>
          </cell>
          <cell r="F1212" t="str">
            <v>P5</v>
          </cell>
          <cell r="G1212">
            <v>0</v>
          </cell>
          <cell r="H1212">
            <v>5</v>
          </cell>
          <cell r="I1212" t="str">
            <v>Yes</v>
          </cell>
          <cell r="J1212" t="str">
            <v/>
          </cell>
          <cell r="K1212" t="str">
            <v>No</v>
          </cell>
          <cell r="L1212" t="str">
            <v/>
          </cell>
          <cell r="M1212" t="str">
            <v/>
          </cell>
          <cell r="N1212" t="str">
            <v>Spool</v>
          </cell>
          <cell r="O1212">
            <v>0</v>
          </cell>
          <cell r="P1212">
            <v>0</v>
          </cell>
          <cell r="Q1212" t="str">
            <v>CS</v>
          </cell>
          <cell r="R1212">
            <v>1</v>
          </cell>
          <cell r="S1212">
            <v>1</v>
          </cell>
          <cell r="T1212">
            <v>40.238320000000002</v>
          </cell>
          <cell r="U1212">
            <v>40.238320000000002</v>
          </cell>
        </row>
        <row r="1213">
          <cell r="B1213" t="str">
            <v>SIP-1118-01</v>
          </cell>
          <cell r="C1213" t="str">
            <v>PROD/25-26/13713</v>
          </cell>
          <cell r="D1213" t="str">
            <v/>
          </cell>
          <cell r="E1213" t="str">
            <v>TJ/25-26/184-CS</v>
          </cell>
          <cell r="F1213" t="str">
            <v>P1</v>
          </cell>
          <cell r="G1213">
            <v>0</v>
          </cell>
          <cell r="H1213">
            <v>6</v>
          </cell>
          <cell r="I1213" t="str">
            <v>Yes</v>
          </cell>
          <cell r="J1213" t="str">
            <v/>
          </cell>
          <cell r="K1213" t="str">
            <v>No</v>
          </cell>
          <cell r="L1213" t="str">
            <v/>
          </cell>
          <cell r="M1213" t="str">
            <v/>
          </cell>
          <cell r="N1213" t="str">
            <v>Spool</v>
          </cell>
          <cell r="O1213">
            <v>0</v>
          </cell>
          <cell r="P1213">
            <v>0</v>
          </cell>
          <cell r="Q1213" t="str">
            <v>CS</v>
          </cell>
          <cell r="R1213">
            <v>1</v>
          </cell>
          <cell r="S1213">
            <v>1</v>
          </cell>
          <cell r="T1213">
            <v>4.1683300000000001</v>
          </cell>
          <cell r="U1213">
            <v>4.1683300000000001</v>
          </cell>
        </row>
        <row r="1214">
          <cell r="B1214" t="str">
            <v>V17551-PIND-0032-06</v>
          </cell>
          <cell r="C1214" t="str">
            <v>PROD/25-26/07353</v>
          </cell>
          <cell r="D1214" t="str">
            <v/>
          </cell>
          <cell r="E1214" t="str">
            <v>TJ/25-26/184-CS</v>
          </cell>
          <cell r="F1214" t="str">
            <v>P5,P1</v>
          </cell>
          <cell r="G1214">
            <v>0</v>
          </cell>
          <cell r="H1214">
            <v>6</v>
          </cell>
          <cell r="I1214" t="str">
            <v>Yes</v>
          </cell>
          <cell r="J1214" t="str">
            <v/>
          </cell>
          <cell r="K1214" t="str">
            <v>No</v>
          </cell>
          <cell r="L1214" t="str">
            <v/>
          </cell>
          <cell r="M1214" t="str">
            <v/>
          </cell>
          <cell r="N1214" t="str">
            <v>Spool</v>
          </cell>
          <cell r="O1214">
            <v>0</v>
          </cell>
          <cell r="P1214">
            <v>0</v>
          </cell>
          <cell r="Q1214" t="str">
            <v>CS</v>
          </cell>
          <cell r="R1214">
            <v>1</v>
          </cell>
          <cell r="S1214">
            <v>1</v>
          </cell>
          <cell r="T1214">
            <v>99.831580000000002</v>
          </cell>
          <cell r="U1214">
            <v>99.831580000000002</v>
          </cell>
        </row>
        <row r="1215">
          <cell r="B1215" t="str">
            <v>V17551-PIND-0034-06</v>
          </cell>
          <cell r="C1215" t="str">
            <v>PROD/25-26/07354</v>
          </cell>
          <cell r="D1215" t="str">
            <v/>
          </cell>
          <cell r="E1215" t="str">
            <v>TJ/25-26/184-CS</v>
          </cell>
          <cell r="F1215" t="str">
            <v>P5,P1</v>
          </cell>
          <cell r="G1215">
            <v>0</v>
          </cell>
          <cell r="H1215">
            <v>6</v>
          </cell>
          <cell r="I1215" t="str">
            <v>Yes</v>
          </cell>
          <cell r="J1215" t="str">
            <v/>
          </cell>
          <cell r="K1215" t="str">
            <v>No</v>
          </cell>
          <cell r="L1215" t="str">
            <v/>
          </cell>
          <cell r="M1215" t="str">
            <v/>
          </cell>
          <cell r="N1215" t="str">
            <v>Spool</v>
          </cell>
          <cell r="O1215">
            <v>0</v>
          </cell>
          <cell r="P1215">
            <v>0</v>
          </cell>
          <cell r="Q1215" t="str">
            <v>CS</v>
          </cell>
          <cell r="R1215">
            <v>1</v>
          </cell>
          <cell r="S1215">
            <v>1</v>
          </cell>
          <cell r="T1215">
            <v>112.71814000000001</v>
          </cell>
          <cell r="U1215">
            <v>112.71814000000001</v>
          </cell>
        </row>
        <row r="1216">
          <cell r="B1216" t="str">
            <v>V17551-PIND-0036-06</v>
          </cell>
          <cell r="C1216" t="str">
            <v>PROD/25-26/07355</v>
          </cell>
          <cell r="D1216" t="str">
            <v/>
          </cell>
          <cell r="E1216" t="str">
            <v>TJ/25-26/184-CS</v>
          </cell>
          <cell r="F1216" t="str">
            <v>P5,P1</v>
          </cell>
          <cell r="G1216">
            <v>0</v>
          </cell>
          <cell r="H1216">
            <v>6</v>
          </cell>
          <cell r="I1216" t="str">
            <v>Yes</v>
          </cell>
          <cell r="J1216" t="str">
            <v/>
          </cell>
          <cell r="K1216" t="str">
            <v>No</v>
          </cell>
          <cell r="L1216" t="str">
            <v/>
          </cell>
          <cell r="M1216" t="str">
            <v/>
          </cell>
          <cell r="N1216" t="str">
            <v>Spool</v>
          </cell>
          <cell r="O1216">
            <v>0</v>
          </cell>
          <cell r="P1216">
            <v>0</v>
          </cell>
          <cell r="Q1216" t="str">
            <v>CS</v>
          </cell>
          <cell r="R1216">
            <v>1</v>
          </cell>
          <cell r="S1216">
            <v>1</v>
          </cell>
          <cell r="T1216">
            <v>101.55362</v>
          </cell>
          <cell r="U1216">
            <v>101.55362</v>
          </cell>
        </row>
        <row r="1217">
          <cell r="B1217" t="str">
            <v>V17551-PIND-0038-06</v>
          </cell>
          <cell r="C1217" t="str">
            <v>PROD/25-26/07356</v>
          </cell>
          <cell r="D1217" t="str">
            <v/>
          </cell>
          <cell r="E1217" t="str">
            <v>TJ/25-26/184-CS</v>
          </cell>
          <cell r="F1217" t="str">
            <v>P5,P1</v>
          </cell>
          <cell r="G1217">
            <v>0</v>
          </cell>
          <cell r="H1217">
            <v>6</v>
          </cell>
          <cell r="I1217" t="str">
            <v>Yes</v>
          </cell>
          <cell r="J1217" t="str">
            <v/>
          </cell>
          <cell r="K1217" t="str">
            <v>No</v>
          </cell>
          <cell r="L1217" t="str">
            <v/>
          </cell>
          <cell r="M1217" t="str">
            <v/>
          </cell>
          <cell r="N1217" t="str">
            <v>Spool</v>
          </cell>
          <cell r="O1217">
            <v>0</v>
          </cell>
          <cell r="P1217">
            <v>0</v>
          </cell>
          <cell r="Q1217" t="str">
            <v>CS</v>
          </cell>
          <cell r="R1217">
            <v>1</v>
          </cell>
          <cell r="S1217">
            <v>1</v>
          </cell>
          <cell r="T1217">
            <v>144.76316</v>
          </cell>
          <cell r="U1217">
            <v>144.76316</v>
          </cell>
        </row>
        <row r="1218">
          <cell r="B1218" t="str">
            <v>V17551-PIND-0040-06</v>
          </cell>
          <cell r="C1218" t="str">
            <v>PROD/25-26/07357</v>
          </cell>
          <cell r="D1218" t="str">
            <v/>
          </cell>
          <cell r="E1218" t="str">
            <v>TJ/25-26/184-CS</v>
          </cell>
          <cell r="F1218" t="str">
            <v>P5,P1</v>
          </cell>
          <cell r="G1218">
            <v>0</v>
          </cell>
          <cell r="H1218">
            <v>6</v>
          </cell>
          <cell r="I1218" t="str">
            <v>Yes</v>
          </cell>
          <cell r="J1218" t="str">
            <v/>
          </cell>
          <cell r="K1218" t="str">
            <v>No</v>
          </cell>
          <cell r="L1218" t="str">
            <v/>
          </cell>
          <cell r="M1218" t="str">
            <v/>
          </cell>
          <cell r="N1218" t="str">
            <v>Spool</v>
          </cell>
          <cell r="O1218">
            <v>0</v>
          </cell>
          <cell r="P1218">
            <v>0</v>
          </cell>
          <cell r="Q1218" t="str">
            <v>CS</v>
          </cell>
          <cell r="R1218">
            <v>1</v>
          </cell>
          <cell r="S1218">
            <v>1</v>
          </cell>
          <cell r="T1218">
            <v>187.9727</v>
          </cell>
          <cell r="U1218">
            <v>187.9727</v>
          </cell>
        </row>
        <row r="1219">
          <cell r="B1219" t="str">
            <v>V17551-PIND-0042-06</v>
          </cell>
          <cell r="C1219" t="str">
            <v>PROD/25-26/07358</v>
          </cell>
          <cell r="D1219" t="str">
            <v/>
          </cell>
          <cell r="E1219" t="str">
            <v>TJ/25-26/184-CS</v>
          </cell>
          <cell r="F1219" t="str">
            <v>P5,P1</v>
          </cell>
          <cell r="G1219">
            <v>0</v>
          </cell>
          <cell r="H1219">
            <v>6</v>
          </cell>
          <cell r="I1219" t="str">
            <v>Yes</v>
          </cell>
          <cell r="J1219" t="str">
            <v/>
          </cell>
          <cell r="K1219" t="str">
            <v>No</v>
          </cell>
          <cell r="L1219" t="str">
            <v/>
          </cell>
          <cell r="M1219" t="str">
            <v/>
          </cell>
          <cell r="N1219" t="str">
            <v>Spool</v>
          </cell>
          <cell r="O1219">
            <v>0</v>
          </cell>
          <cell r="P1219">
            <v>0</v>
          </cell>
          <cell r="Q1219" t="str">
            <v>CS</v>
          </cell>
          <cell r="R1219">
            <v>1</v>
          </cell>
          <cell r="S1219">
            <v>1</v>
          </cell>
          <cell r="T1219">
            <v>231.15397999999999</v>
          </cell>
          <cell r="U1219">
            <v>231.15397999999999</v>
          </cell>
        </row>
        <row r="1220">
          <cell r="B1220" t="str">
            <v>V17551-PIND-0044-06</v>
          </cell>
          <cell r="C1220" t="str">
            <v>PROD/25-26/07359</v>
          </cell>
          <cell r="D1220" t="str">
            <v/>
          </cell>
          <cell r="E1220" t="str">
            <v>TJ/25-26/184-CS</v>
          </cell>
          <cell r="F1220" t="str">
            <v>P5,P1</v>
          </cell>
          <cell r="G1220">
            <v>0</v>
          </cell>
          <cell r="H1220">
            <v>6</v>
          </cell>
          <cell r="I1220" t="str">
            <v>Yes</v>
          </cell>
          <cell r="J1220" t="str">
            <v/>
          </cell>
          <cell r="K1220" t="str">
            <v>No</v>
          </cell>
          <cell r="L1220" t="str">
            <v/>
          </cell>
          <cell r="M1220" t="str">
            <v/>
          </cell>
          <cell r="N1220" t="str">
            <v>Spool</v>
          </cell>
          <cell r="O1220">
            <v>0</v>
          </cell>
          <cell r="P1220">
            <v>0</v>
          </cell>
          <cell r="Q1220" t="str">
            <v>CS</v>
          </cell>
          <cell r="R1220">
            <v>1</v>
          </cell>
          <cell r="S1220">
            <v>1</v>
          </cell>
          <cell r="T1220">
            <v>274.36351999999999</v>
          </cell>
          <cell r="U1220">
            <v>274.36351999999999</v>
          </cell>
        </row>
        <row r="1221">
          <cell r="B1221" t="str">
            <v>V17551-PIND-0046-06</v>
          </cell>
          <cell r="C1221" t="str">
            <v>PROD/25-26/07360</v>
          </cell>
          <cell r="D1221" t="str">
            <v/>
          </cell>
          <cell r="E1221" t="str">
            <v>TJ/25-26/184-CS</v>
          </cell>
          <cell r="F1221" t="str">
            <v>P5,P1</v>
          </cell>
          <cell r="G1221">
            <v>0</v>
          </cell>
          <cell r="H1221">
            <v>6</v>
          </cell>
          <cell r="I1221" t="str">
            <v>Yes</v>
          </cell>
          <cell r="J1221" t="str">
            <v/>
          </cell>
          <cell r="K1221" t="str">
            <v>No</v>
          </cell>
          <cell r="L1221" t="str">
            <v/>
          </cell>
          <cell r="M1221" t="str">
            <v/>
          </cell>
          <cell r="N1221" t="str">
            <v>Spool</v>
          </cell>
          <cell r="O1221">
            <v>0</v>
          </cell>
          <cell r="P1221">
            <v>0</v>
          </cell>
          <cell r="Q1221" t="str">
            <v>CS</v>
          </cell>
          <cell r="R1221">
            <v>1</v>
          </cell>
          <cell r="S1221">
            <v>1</v>
          </cell>
          <cell r="T1221">
            <v>274.36351999999999</v>
          </cell>
          <cell r="U1221">
            <v>274.36351999999999</v>
          </cell>
        </row>
        <row r="1222">
          <cell r="B1222" t="str">
            <v>V17551-PIND-0048-06</v>
          </cell>
          <cell r="C1222" t="str">
            <v>PROD/25-26/07361</v>
          </cell>
          <cell r="D1222" t="str">
            <v/>
          </cell>
          <cell r="E1222" t="str">
            <v>TJ/25-26/184-CS</v>
          </cell>
          <cell r="F1222" t="str">
            <v>P5,P1</v>
          </cell>
          <cell r="G1222">
            <v>0</v>
          </cell>
          <cell r="H1222">
            <v>6</v>
          </cell>
          <cell r="I1222" t="str">
            <v>Yes</v>
          </cell>
          <cell r="J1222" t="str">
            <v/>
          </cell>
          <cell r="K1222" t="str">
            <v>No</v>
          </cell>
          <cell r="L1222" t="str">
            <v/>
          </cell>
          <cell r="M1222" t="str">
            <v/>
          </cell>
          <cell r="N1222" t="str">
            <v>Spool</v>
          </cell>
          <cell r="O1222">
            <v>0</v>
          </cell>
          <cell r="P1222">
            <v>0</v>
          </cell>
          <cell r="Q1222" t="str">
            <v>CS</v>
          </cell>
          <cell r="R1222">
            <v>1</v>
          </cell>
          <cell r="S1222">
            <v>1</v>
          </cell>
          <cell r="T1222">
            <v>231.15397999999999</v>
          </cell>
          <cell r="U1222">
            <v>231.15397999999999</v>
          </cell>
        </row>
        <row r="1223">
          <cell r="B1223" t="str">
            <v>V17551-PIND-0050-06</v>
          </cell>
          <cell r="C1223" t="str">
            <v>PROD/25-26/07362</v>
          </cell>
          <cell r="D1223" t="str">
            <v/>
          </cell>
          <cell r="E1223" t="str">
            <v>TJ/25-26/184-CS</v>
          </cell>
          <cell r="F1223" t="str">
            <v>P5,P1</v>
          </cell>
          <cell r="G1223">
            <v>0</v>
          </cell>
          <cell r="H1223">
            <v>6</v>
          </cell>
          <cell r="I1223" t="str">
            <v>Yes</v>
          </cell>
          <cell r="J1223" t="str">
            <v/>
          </cell>
          <cell r="K1223" t="str">
            <v>No</v>
          </cell>
          <cell r="L1223" t="str">
            <v/>
          </cell>
          <cell r="M1223" t="str">
            <v/>
          </cell>
          <cell r="N1223" t="str">
            <v>Spool</v>
          </cell>
          <cell r="O1223">
            <v>0</v>
          </cell>
          <cell r="P1223">
            <v>0</v>
          </cell>
          <cell r="Q1223" t="str">
            <v>CS</v>
          </cell>
          <cell r="R1223">
            <v>1</v>
          </cell>
          <cell r="S1223">
            <v>1</v>
          </cell>
          <cell r="T1223">
            <v>188.00004060800001</v>
          </cell>
          <cell r="U1223">
            <v>188.00004060800001</v>
          </cell>
        </row>
        <row r="1224">
          <cell r="B1224" t="str">
            <v>V17551-PIND-0052-06</v>
          </cell>
          <cell r="C1224" t="str">
            <v>PROD/25-26/07363</v>
          </cell>
          <cell r="D1224" t="str">
            <v/>
          </cell>
          <cell r="E1224" t="str">
            <v>TJ/25-26/184-CS</v>
          </cell>
          <cell r="F1224" t="str">
            <v>P5,P1</v>
          </cell>
          <cell r="G1224">
            <v>0</v>
          </cell>
          <cell r="H1224">
            <v>6</v>
          </cell>
          <cell r="I1224" t="str">
            <v>Yes</v>
          </cell>
          <cell r="J1224" t="str">
            <v/>
          </cell>
          <cell r="K1224" t="str">
            <v>No</v>
          </cell>
          <cell r="L1224" t="str">
            <v/>
          </cell>
          <cell r="M1224" t="str">
            <v/>
          </cell>
          <cell r="N1224" t="str">
            <v>Spool</v>
          </cell>
          <cell r="O1224">
            <v>0</v>
          </cell>
          <cell r="P1224">
            <v>0</v>
          </cell>
          <cell r="Q1224" t="str">
            <v>CS</v>
          </cell>
          <cell r="R1224">
            <v>1</v>
          </cell>
          <cell r="S1224">
            <v>1</v>
          </cell>
          <cell r="T1224">
            <v>144.76316</v>
          </cell>
          <cell r="U1224">
            <v>144.76316</v>
          </cell>
        </row>
        <row r="1225">
          <cell r="B1225" t="str">
            <v>V17551-PIND-0054-06</v>
          </cell>
          <cell r="C1225" t="str">
            <v>PROD/25-26/07420</v>
          </cell>
          <cell r="D1225" t="str">
            <v/>
          </cell>
          <cell r="E1225" t="str">
            <v>TJ/25-26/184-CS</v>
          </cell>
          <cell r="F1225" t="str">
            <v>P5,P1</v>
          </cell>
          <cell r="G1225">
            <v>0</v>
          </cell>
          <cell r="H1225">
            <v>6</v>
          </cell>
          <cell r="I1225" t="str">
            <v>Yes</v>
          </cell>
          <cell r="J1225" t="str">
            <v/>
          </cell>
          <cell r="K1225" t="str">
            <v>No</v>
          </cell>
          <cell r="L1225" t="str">
            <v/>
          </cell>
          <cell r="M1225" t="str">
            <v/>
          </cell>
          <cell r="N1225" t="str">
            <v>Spool</v>
          </cell>
          <cell r="O1225">
            <v>0</v>
          </cell>
          <cell r="P1225">
            <v>0</v>
          </cell>
          <cell r="Q1225" t="str">
            <v>CS</v>
          </cell>
          <cell r="R1225">
            <v>1</v>
          </cell>
          <cell r="S1225">
            <v>1</v>
          </cell>
          <cell r="T1225">
            <v>101.55362</v>
          </cell>
          <cell r="U1225">
            <v>101.55362</v>
          </cell>
        </row>
        <row r="1226">
          <cell r="B1226" t="str">
            <v>V17551-PIND-0056-06</v>
          </cell>
          <cell r="C1226" t="str">
            <v>PROD/25-26/07421</v>
          </cell>
          <cell r="D1226" t="str">
            <v/>
          </cell>
          <cell r="E1226" t="str">
            <v>TJ/25-26/184-CS</v>
          </cell>
          <cell r="F1226" t="str">
            <v>P5,P1</v>
          </cell>
          <cell r="G1226">
            <v>0</v>
          </cell>
          <cell r="H1226">
            <v>6</v>
          </cell>
          <cell r="I1226" t="str">
            <v>Yes</v>
          </cell>
          <cell r="J1226" t="str">
            <v/>
          </cell>
          <cell r="K1226" t="str">
            <v>No</v>
          </cell>
          <cell r="L1226" t="str">
            <v/>
          </cell>
          <cell r="M1226" t="str">
            <v/>
          </cell>
          <cell r="N1226" t="str">
            <v>Spool</v>
          </cell>
          <cell r="O1226">
            <v>0</v>
          </cell>
          <cell r="P1226">
            <v>0</v>
          </cell>
          <cell r="Q1226" t="str">
            <v>CS</v>
          </cell>
          <cell r="R1226">
            <v>1</v>
          </cell>
          <cell r="S1226">
            <v>1</v>
          </cell>
          <cell r="T1226">
            <v>112.74639999999999</v>
          </cell>
          <cell r="U1226">
            <v>112.74639999999999</v>
          </cell>
        </row>
        <row r="1227">
          <cell r="B1227" t="str">
            <v>V17551-PIND-0058-06</v>
          </cell>
          <cell r="C1227" t="str">
            <v>PROD/25-26/07422</v>
          </cell>
          <cell r="D1227" t="str">
            <v/>
          </cell>
          <cell r="E1227" t="str">
            <v>TJ/25-26/184-CS</v>
          </cell>
          <cell r="F1227" t="str">
            <v>P5,P1</v>
          </cell>
          <cell r="G1227">
            <v>0</v>
          </cell>
          <cell r="H1227">
            <v>6</v>
          </cell>
          <cell r="I1227" t="str">
            <v>Yes</v>
          </cell>
          <cell r="J1227" t="str">
            <v/>
          </cell>
          <cell r="K1227" t="str">
            <v>No</v>
          </cell>
          <cell r="L1227" t="str">
            <v/>
          </cell>
          <cell r="M1227" t="str">
            <v/>
          </cell>
          <cell r="N1227" t="str">
            <v>Spool</v>
          </cell>
          <cell r="O1227">
            <v>0</v>
          </cell>
          <cell r="P1227">
            <v>0</v>
          </cell>
          <cell r="Q1227" t="str">
            <v>CS</v>
          </cell>
          <cell r="R1227">
            <v>1</v>
          </cell>
          <cell r="S1227">
            <v>1</v>
          </cell>
          <cell r="T1227">
            <v>99.831580000000002</v>
          </cell>
          <cell r="U1227">
            <v>99.831580000000002</v>
          </cell>
        </row>
        <row r="1228">
          <cell r="B1228" t="str">
            <v>V17551-PIND-0083-06</v>
          </cell>
          <cell r="C1228" t="str">
            <v>PROD/25-26/12795</v>
          </cell>
          <cell r="D1228" t="str">
            <v>S-5247</v>
          </cell>
          <cell r="E1228" t="str">
            <v>TJ/25-26/184-CS</v>
          </cell>
          <cell r="F1228" t="str">
            <v>P5,P1</v>
          </cell>
          <cell r="G1228">
            <v>0</v>
          </cell>
          <cell r="H1228">
            <v>6</v>
          </cell>
          <cell r="I1228" t="str">
            <v>No</v>
          </cell>
          <cell r="J1228" t="str">
            <v/>
          </cell>
          <cell r="K1228" t="str">
            <v>No</v>
          </cell>
          <cell r="L1228" t="str">
            <v/>
          </cell>
          <cell r="M1228" t="str">
            <v/>
          </cell>
          <cell r="N1228" t="str">
            <v>Spool</v>
          </cell>
          <cell r="O1228">
            <v>0</v>
          </cell>
          <cell r="P1228">
            <v>0</v>
          </cell>
          <cell r="Q1228" t="str">
            <v>CS</v>
          </cell>
          <cell r="R1228">
            <v>1</v>
          </cell>
          <cell r="S1228">
            <v>1</v>
          </cell>
          <cell r="T1228">
            <v>67.318256591999997</v>
          </cell>
          <cell r="U1228">
            <v>67.318256591999997</v>
          </cell>
        </row>
        <row r="1229">
          <cell r="B1229" t="str">
            <v>V17551-PIND-0087-06</v>
          </cell>
          <cell r="C1229" t="str">
            <v>PROD/25-26/06827</v>
          </cell>
          <cell r="D1229" t="str">
            <v>S-5103</v>
          </cell>
          <cell r="E1229" t="str">
            <v>TJ/25-26/184-CS</v>
          </cell>
          <cell r="F1229" t="str">
            <v>P5</v>
          </cell>
          <cell r="G1229">
            <v>0</v>
          </cell>
          <cell r="H1229">
            <v>6</v>
          </cell>
          <cell r="I1229" t="str">
            <v>Yes</v>
          </cell>
          <cell r="J1229" t="str">
            <v/>
          </cell>
          <cell r="K1229" t="str">
            <v>No</v>
          </cell>
          <cell r="L1229" t="str">
            <v/>
          </cell>
          <cell r="M1229" t="str">
            <v/>
          </cell>
          <cell r="N1229" t="str">
            <v>Spool</v>
          </cell>
          <cell r="O1229">
            <v>0</v>
          </cell>
          <cell r="P1229">
            <v>0</v>
          </cell>
          <cell r="Q1229" t="str">
            <v>CS</v>
          </cell>
          <cell r="R1229">
            <v>1</v>
          </cell>
          <cell r="S1229">
            <v>1</v>
          </cell>
          <cell r="T1229">
            <v>370.62619000000001</v>
          </cell>
          <cell r="U1229">
            <v>370.62619000000001</v>
          </cell>
        </row>
        <row r="1230">
          <cell r="B1230" t="str">
            <v>V17551-PIND-0094-06</v>
          </cell>
          <cell r="C1230" t="str">
            <v>PROD/25-26/08079</v>
          </cell>
          <cell r="D1230" t="str">
            <v>S-5125</v>
          </cell>
          <cell r="E1230" t="str">
            <v>TJ/25-26/184-CS</v>
          </cell>
          <cell r="F1230" t="str">
            <v>P5,P1</v>
          </cell>
          <cell r="G1230">
            <v>0</v>
          </cell>
          <cell r="H1230">
            <v>6</v>
          </cell>
          <cell r="I1230" t="str">
            <v>Yes</v>
          </cell>
          <cell r="J1230" t="str">
            <v/>
          </cell>
          <cell r="K1230" t="str">
            <v>No</v>
          </cell>
          <cell r="L1230" t="str">
            <v/>
          </cell>
          <cell r="M1230" t="str">
            <v/>
          </cell>
          <cell r="N1230" t="str">
            <v>Spool</v>
          </cell>
          <cell r="O1230">
            <v>0</v>
          </cell>
          <cell r="P1230">
            <v>0</v>
          </cell>
          <cell r="Q1230" t="str">
            <v>CS</v>
          </cell>
          <cell r="R1230">
            <v>1</v>
          </cell>
          <cell r="S1230">
            <v>1</v>
          </cell>
          <cell r="T1230">
            <v>333.79920318400002</v>
          </cell>
          <cell r="U1230">
            <v>333.79920318400002</v>
          </cell>
        </row>
        <row r="1231">
          <cell r="B1231" t="str">
            <v>V17551-PIND-0105-06</v>
          </cell>
          <cell r="C1231" t="str">
            <v>PROD/25-26/08422</v>
          </cell>
          <cell r="D1231" t="str">
            <v/>
          </cell>
          <cell r="E1231" t="str">
            <v>TJ/25-26/184-CS</v>
          </cell>
          <cell r="F1231" t="str">
            <v>P5</v>
          </cell>
          <cell r="G1231">
            <v>0</v>
          </cell>
          <cell r="H1231">
            <v>6</v>
          </cell>
          <cell r="I1231" t="str">
            <v>Yes</v>
          </cell>
          <cell r="J1231" t="str">
            <v/>
          </cell>
          <cell r="K1231" t="str">
            <v>No</v>
          </cell>
          <cell r="L1231" t="str">
            <v/>
          </cell>
          <cell r="M1231" t="str">
            <v/>
          </cell>
          <cell r="N1231" t="str">
            <v>Spool</v>
          </cell>
          <cell r="O1231">
            <v>0</v>
          </cell>
          <cell r="P1231">
            <v>0</v>
          </cell>
          <cell r="Q1231" t="str">
            <v>CS</v>
          </cell>
          <cell r="R1231">
            <v>1</v>
          </cell>
          <cell r="S1231">
            <v>1</v>
          </cell>
          <cell r="T1231">
            <v>503.89046000000002</v>
          </cell>
          <cell r="U1231">
            <v>503.89046000000002</v>
          </cell>
        </row>
        <row r="1232">
          <cell r="B1232" t="str">
            <v>V17551-PIND-0108-06</v>
          </cell>
          <cell r="C1232" t="str">
            <v>PROD/25-26/13029</v>
          </cell>
          <cell r="D1232" t="str">
            <v>S-5248</v>
          </cell>
          <cell r="E1232" t="str">
            <v>TJ/25-26/184-P11</v>
          </cell>
          <cell r="F1232" t="str">
            <v>P5</v>
          </cell>
          <cell r="G1232">
            <v>0</v>
          </cell>
          <cell r="H1232">
            <v>6</v>
          </cell>
          <cell r="I1232" t="str">
            <v>No</v>
          </cell>
          <cell r="J1232" t="str">
            <v/>
          </cell>
          <cell r="K1232" t="str">
            <v>No</v>
          </cell>
          <cell r="L1232" t="str">
            <v/>
          </cell>
          <cell r="M1232" t="str">
            <v/>
          </cell>
          <cell r="N1232" t="str">
            <v>Spool</v>
          </cell>
          <cell r="O1232">
            <v>0</v>
          </cell>
          <cell r="P1232">
            <v>0</v>
          </cell>
          <cell r="Q1232" t="str">
            <v>P11</v>
          </cell>
          <cell r="R1232">
            <v>1</v>
          </cell>
          <cell r="S1232">
            <v>1</v>
          </cell>
          <cell r="T1232">
            <v>142.38256215999999</v>
          </cell>
          <cell r="U1232">
            <v>142.38256215999999</v>
          </cell>
        </row>
        <row r="1233">
          <cell r="B1233" t="str">
            <v>V17551-PIND-0121-06</v>
          </cell>
          <cell r="C1233" t="str">
            <v>PROD/25-26/08955</v>
          </cell>
          <cell r="D1233" t="str">
            <v/>
          </cell>
          <cell r="E1233" t="str">
            <v>TJ/25-26/184-CS</v>
          </cell>
          <cell r="F1233" t="str">
            <v>P5</v>
          </cell>
          <cell r="G1233">
            <v>0</v>
          </cell>
          <cell r="H1233">
            <v>6</v>
          </cell>
          <cell r="I1233" t="str">
            <v>No</v>
          </cell>
          <cell r="J1233" t="str">
            <v/>
          </cell>
          <cell r="K1233" t="str">
            <v>No</v>
          </cell>
          <cell r="L1233" t="str">
            <v/>
          </cell>
          <cell r="M1233" t="str">
            <v/>
          </cell>
          <cell r="N1233" t="str">
            <v>Spool</v>
          </cell>
          <cell r="O1233">
            <v>0</v>
          </cell>
          <cell r="P1233">
            <v>0</v>
          </cell>
          <cell r="Q1233" t="str">
            <v>CS</v>
          </cell>
          <cell r="R1233">
            <v>1</v>
          </cell>
          <cell r="S1233">
            <v>1</v>
          </cell>
          <cell r="T1233">
            <v>262.89375000000001</v>
          </cell>
          <cell r="U1233">
            <v>262.89375000000001</v>
          </cell>
        </row>
        <row r="1234">
          <cell r="B1234" t="str">
            <v>V17551-PIND-0128-06</v>
          </cell>
          <cell r="C1234" t="str">
            <v>PROD/25-26/06643</v>
          </cell>
          <cell r="D1234" t="str">
            <v>S-5193</v>
          </cell>
          <cell r="E1234" t="str">
            <v>TJ/25-26/184-CS</v>
          </cell>
          <cell r="F1234" t="str">
            <v>P1</v>
          </cell>
          <cell r="G1234">
            <v>0</v>
          </cell>
          <cell r="H1234">
            <v>6</v>
          </cell>
          <cell r="I1234" t="str">
            <v>Yes</v>
          </cell>
          <cell r="J1234" t="str">
            <v/>
          </cell>
          <cell r="K1234" t="str">
            <v>No</v>
          </cell>
          <cell r="L1234" t="str">
            <v/>
          </cell>
          <cell r="M1234" t="str">
            <v/>
          </cell>
          <cell r="N1234" t="str">
            <v>Spool</v>
          </cell>
          <cell r="O1234">
            <v>0</v>
          </cell>
          <cell r="P1234">
            <v>0</v>
          </cell>
          <cell r="Q1234" t="str">
            <v>CS</v>
          </cell>
          <cell r="R1234">
            <v>1</v>
          </cell>
          <cell r="S1234">
            <v>1</v>
          </cell>
          <cell r="T1234">
            <v>293.90721000000002</v>
          </cell>
          <cell r="U1234">
            <v>293.90721000000002</v>
          </cell>
        </row>
        <row r="1235">
          <cell r="B1235" t="str">
            <v>V17551-PIND-0136-06</v>
          </cell>
          <cell r="C1235" t="str">
            <v>PROD/25-26/13028</v>
          </cell>
          <cell r="D1235" t="str">
            <v/>
          </cell>
          <cell r="E1235" t="str">
            <v>TJ/25-26/184-P22</v>
          </cell>
          <cell r="F1235" t="str">
            <v>P5</v>
          </cell>
          <cell r="G1235">
            <v>0</v>
          </cell>
          <cell r="H1235">
            <v>6</v>
          </cell>
          <cell r="I1235" t="str">
            <v>No</v>
          </cell>
          <cell r="J1235" t="str">
            <v/>
          </cell>
          <cell r="K1235" t="str">
            <v>No</v>
          </cell>
          <cell r="L1235" t="str">
            <v/>
          </cell>
          <cell r="M1235" t="str">
            <v/>
          </cell>
          <cell r="N1235" t="str">
            <v>Spool</v>
          </cell>
          <cell r="O1235">
            <v>0</v>
          </cell>
          <cell r="P1235">
            <v>0</v>
          </cell>
          <cell r="Q1235" t="str">
            <v>P22</v>
          </cell>
          <cell r="R1235">
            <v>1</v>
          </cell>
          <cell r="S1235">
            <v>1</v>
          </cell>
          <cell r="T1235">
            <v>82.990250000000003</v>
          </cell>
          <cell r="U1235">
            <v>82.990250000000003</v>
          </cell>
        </row>
        <row r="1236">
          <cell r="B1236" t="str">
            <v>V17551-PIND-0140-06</v>
          </cell>
          <cell r="C1236" t="str">
            <v>PROD/25-26/06823</v>
          </cell>
          <cell r="D1236" t="str">
            <v/>
          </cell>
          <cell r="E1236" t="str">
            <v>TJ/25-26/184-P22</v>
          </cell>
          <cell r="F1236" t="str">
            <v>P5</v>
          </cell>
          <cell r="G1236">
            <v>0</v>
          </cell>
          <cell r="H1236">
            <v>6</v>
          </cell>
          <cell r="I1236" t="str">
            <v>Yes</v>
          </cell>
          <cell r="J1236" t="str">
            <v/>
          </cell>
          <cell r="K1236" t="str">
            <v>No</v>
          </cell>
          <cell r="L1236" t="str">
            <v/>
          </cell>
          <cell r="M1236" t="str">
            <v/>
          </cell>
          <cell r="N1236" t="str">
            <v>Spool</v>
          </cell>
          <cell r="O1236">
            <v>0</v>
          </cell>
          <cell r="P1236">
            <v>0</v>
          </cell>
          <cell r="Q1236" t="str">
            <v>P22</v>
          </cell>
          <cell r="R1236">
            <v>1</v>
          </cell>
          <cell r="S1236">
            <v>1</v>
          </cell>
          <cell r="T1236">
            <v>236.36474999999999</v>
          </cell>
          <cell r="U1236">
            <v>236.36474999999999</v>
          </cell>
        </row>
        <row r="1237">
          <cell r="B1237" t="str">
            <v>V17551-PIND-0141-06</v>
          </cell>
          <cell r="C1237" t="str">
            <v>PROD/25-26/13027</v>
          </cell>
          <cell r="D1237" t="str">
            <v/>
          </cell>
          <cell r="E1237" t="str">
            <v>TJ/25-26/184-P22</v>
          </cell>
          <cell r="F1237" t="str">
            <v>P5</v>
          </cell>
          <cell r="G1237">
            <v>0</v>
          </cell>
          <cell r="H1237">
            <v>6</v>
          </cell>
          <cell r="I1237" t="str">
            <v>No</v>
          </cell>
          <cell r="J1237" t="str">
            <v/>
          </cell>
          <cell r="K1237" t="str">
            <v>No</v>
          </cell>
          <cell r="L1237" t="str">
            <v/>
          </cell>
          <cell r="M1237" t="str">
            <v/>
          </cell>
          <cell r="N1237" t="str">
            <v>Spool</v>
          </cell>
          <cell r="O1237">
            <v>0</v>
          </cell>
          <cell r="P1237">
            <v>0</v>
          </cell>
          <cell r="Q1237" t="str">
            <v>P91</v>
          </cell>
          <cell r="R1237">
            <v>1</v>
          </cell>
          <cell r="S1237">
            <v>1</v>
          </cell>
          <cell r="T1237">
            <v>153.87413000000001</v>
          </cell>
          <cell r="U1237">
            <v>153.87413000000001</v>
          </cell>
        </row>
        <row r="1238">
          <cell r="B1238" t="str">
            <v>V17551-PIND-0145-05</v>
          </cell>
          <cell r="C1238" t="str">
            <v>PROD/25-26/08432</v>
          </cell>
          <cell r="D1238" t="str">
            <v/>
          </cell>
          <cell r="E1238" t="str">
            <v>TJ/25-26/184-CS</v>
          </cell>
          <cell r="F1238" t="str">
            <v>P1</v>
          </cell>
          <cell r="G1238">
            <v>0</v>
          </cell>
          <cell r="H1238">
            <v>6</v>
          </cell>
          <cell r="I1238" t="str">
            <v>Yes</v>
          </cell>
          <cell r="J1238" t="str">
            <v/>
          </cell>
          <cell r="K1238" t="str">
            <v>No</v>
          </cell>
          <cell r="L1238" t="str">
            <v/>
          </cell>
          <cell r="M1238" t="str">
            <v/>
          </cell>
          <cell r="N1238" t="str">
            <v>Spool</v>
          </cell>
          <cell r="O1238">
            <v>0</v>
          </cell>
          <cell r="P1238">
            <v>0</v>
          </cell>
          <cell r="Q1238" t="str">
            <v>CS</v>
          </cell>
          <cell r="R1238">
            <v>1</v>
          </cell>
          <cell r="S1238">
            <v>1</v>
          </cell>
          <cell r="T1238">
            <v>324.47179999999997</v>
          </cell>
          <cell r="U1238">
            <v>324.47179999999997</v>
          </cell>
        </row>
        <row r="1239">
          <cell r="B1239" t="str">
            <v>V17551-PIND-0147-03</v>
          </cell>
          <cell r="C1239" t="str">
            <v>PROD/25-26/08434</v>
          </cell>
          <cell r="D1239" t="str">
            <v>S-5226</v>
          </cell>
          <cell r="E1239" t="str">
            <v>TJ/25-26/184-CS</v>
          </cell>
          <cell r="F1239" t="str">
            <v>P5,P1</v>
          </cell>
          <cell r="G1239">
            <v>0</v>
          </cell>
          <cell r="H1239">
            <v>6</v>
          </cell>
          <cell r="I1239" t="str">
            <v>Yes</v>
          </cell>
          <cell r="J1239" t="str">
            <v/>
          </cell>
          <cell r="K1239" t="str">
            <v>No</v>
          </cell>
          <cell r="L1239" t="str">
            <v/>
          </cell>
          <cell r="M1239" t="str">
            <v/>
          </cell>
          <cell r="N1239" t="str">
            <v>Spool</v>
          </cell>
          <cell r="O1239">
            <v>0</v>
          </cell>
          <cell r="P1239">
            <v>0</v>
          </cell>
          <cell r="Q1239" t="str">
            <v>CS</v>
          </cell>
          <cell r="R1239">
            <v>1</v>
          </cell>
          <cell r="S1239">
            <v>1</v>
          </cell>
          <cell r="T1239">
            <v>299.69740000000002</v>
          </cell>
          <cell r="U1239">
            <v>299.69740000000002</v>
          </cell>
        </row>
        <row r="1240">
          <cell r="B1240" t="str">
            <v>V17551-PIND-0148-06</v>
          </cell>
          <cell r="C1240" t="str">
            <v>PROD/25-26/08435</v>
          </cell>
          <cell r="D1240" t="str">
            <v/>
          </cell>
          <cell r="E1240" t="str">
            <v>TJ/25-26/184-CS</v>
          </cell>
          <cell r="F1240" t="str">
            <v>P5</v>
          </cell>
          <cell r="G1240">
            <v>0</v>
          </cell>
          <cell r="H1240">
            <v>6</v>
          </cell>
          <cell r="I1240" t="str">
            <v>Yes</v>
          </cell>
          <cell r="J1240" t="str">
            <v/>
          </cell>
          <cell r="K1240" t="str">
            <v>No</v>
          </cell>
          <cell r="L1240" t="str">
            <v/>
          </cell>
          <cell r="M1240" t="str">
            <v/>
          </cell>
          <cell r="N1240" t="str">
            <v>Spool</v>
          </cell>
          <cell r="O1240">
            <v>0</v>
          </cell>
          <cell r="P1240">
            <v>0</v>
          </cell>
          <cell r="Q1240" t="str">
            <v>P11</v>
          </cell>
          <cell r="R1240">
            <v>1</v>
          </cell>
          <cell r="S1240">
            <v>1</v>
          </cell>
          <cell r="T1240">
            <v>172.53448</v>
          </cell>
          <cell r="U1240">
            <v>172.53448</v>
          </cell>
        </row>
        <row r="1241">
          <cell r="B1241" t="str">
            <v>V17551-PIND-0149-06</v>
          </cell>
          <cell r="C1241" t="str">
            <v>PROD/25-26/08436</v>
          </cell>
          <cell r="D1241" t="str">
            <v/>
          </cell>
          <cell r="E1241" t="str">
            <v>TJ/25-26/184-CS</v>
          </cell>
          <cell r="F1241" t="str">
            <v>P5</v>
          </cell>
          <cell r="G1241">
            <v>0</v>
          </cell>
          <cell r="H1241">
            <v>6</v>
          </cell>
          <cell r="I1241" t="str">
            <v>Yes</v>
          </cell>
          <cell r="J1241" t="str">
            <v/>
          </cell>
          <cell r="K1241" t="str">
            <v>No</v>
          </cell>
          <cell r="L1241" t="str">
            <v/>
          </cell>
          <cell r="M1241" t="str">
            <v/>
          </cell>
          <cell r="N1241" t="str">
            <v>Spool</v>
          </cell>
          <cell r="O1241">
            <v>0</v>
          </cell>
          <cell r="P1241">
            <v>0</v>
          </cell>
          <cell r="Q1241" t="str">
            <v>P11</v>
          </cell>
          <cell r="R1241">
            <v>1</v>
          </cell>
          <cell r="S1241">
            <v>1</v>
          </cell>
          <cell r="T1241">
            <v>156.80712</v>
          </cell>
          <cell r="U1241">
            <v>156.80712</v>
          </cell>
        </row>
        <row r="1242">
          <cell r="B1242" t="str">
            <v>V17551-PIND-0307-06</v>
          </cell>
          <cell r="C1242" t="str">
            <v>PROD/25-26/13722</v>
          </cell>
          <cell r="D1242" t="str">
            <v/>
          </cell>
          <cell r="E1242" t="str">
            <v>TJ/25-26/184-SS</v>
          </cell>
          <cell r="F1242" t="str">
            <v>P1</v>
          </cell>
          <cell r="G1242">
            <v>0</v>
          </cell>
          <cell r="H1242">
            <v>6</v>
          </cell>
          <cell r="I1242" t="str">
            <v>Yes</v>
          </cell>
          <cell r="J1242" t="str">
            <v/>
          </cell>
          <cell r="K1242" t="str">
            <v>No</v>
          </cell>
          <cell r="L1242" t="str">
            <v/>
          </cell>
          <cell r="M1242" t="str">
            <v/>
          </cell>
          <cell r="N1242" t="str">
            <v>Spool</v>
          </cell>
          <cell r="O1242">
            <v>0</v>
          </cell>
          <cell r="P1242">
            <v>0</v>
          </cell>
          <cell r="Q1242" t="str">
            <v>SS</v>
          </cell>
          <cell r="R1242">
            <v>1</v>
          </cell>
          <cell r="S1242">
            <v>1</v>
          </cell>
          <cell r="T1242">
            <v>12.016310000000001</v>
          </cell>
          <cell r="U1242">
            <v>12.016310000000001</v>
          </cell>
        </row>
        <row r="1243">
          <cell r="B1243" t="str">
            <v>V17551-PIND-0315-06</v>
          </cell>
          <cell r="C1243" t="str">
            <v>PROD/25-26/13730</v>
          </cell>
          <cell r="D1243" t="str">
            <v/>
          </cell>
          <cell r="E1243" t="str">
            <v>TJ/25-26/184-CS</v>
          </cell>
          <cell r="F1243" t="str">
            <v>P5</v>
          </cell>
          <cell r="G1243">
            <v>0</v>
          </cell>
          <cell r="H1243">
            <v>6</v>
          </cell>
          <cell r="I1243" t="str">
            <v>Yes</v>
          </cell>
          <cell r="J1243" t="str">
            <v/>
          </cell>
          <cell r="K1243" t="str">
            <v>No</v>
          </cell>
          <cell r="L1243" t="str">
            <v/>
          </cell>
          <cell r="M1243" t="str">
            <v/>
          </cell>
          <cell r="N1243" t="str">
            <v>Spool</v>
          </cell>
          <cell r="O1243">
            <v>0</v>
          </cell>
          <cell r="P1243">
            <v>0</v>
          </cell>
          <cell r="Q1243" t="str">
            <v>CS</v>
          </cell>
          <cell r="R1243">
            <v>1</v>
          </cell>
          <cell r="S1243">
            <v>1</v>
          </cell>
          <cell r="T1243">
            <v>2.0449199999999998</v>
          </cell>
          <cell r="U1243">
            <v>2.0449199999999998</v>
          </cell>
        </row>
        <row r="1244">
          <cell r="B1244" t="str">
            <v>V17551-PIND-0320-06</v>
          </cell>
          <cell r="C1244" t="str">
            <v>PROD/25-26/13734</v>
          </cell>
          <cell r="D1244" t="str">
            <v/>
          </cell>
          <cell r="E1244" t="str">
            <v>TJ/25-26/184-CS</v>
          </cell>
          <cell r="F1244" t="str">
            <v>P5</v>
          </cell>
          <cell r="G1244">
            <v>0</v>
          </cell>
          <cell r="H1244">
            <v>6</v>
          </cell>
          <cell r="I1244" t="str">
            <v>No</v>
          </cell>
          <cell r="J1244" t="str">
            <v/>
          </cell>
          <cell r="K1244" t="str">
            <v>No</v>
          </cell>
          <cell r="L1244" t="str">
            <v/>
          </cell>
          <cell r="M1244" t="str">
            <v/>
          </cell>
          <cell r="N1244" t="str">
            <v>Spool</v>
          </cell>
          <cell r="O1244">
            <v>0</v>
          </cell>
          <cell r="P1244">
            <v>0</v>
          </cell>
          <cell r="Q1244" t="str">
            <v>CS</v>
          </cell>
          <cell r="R1244">
            <v>1</v>
          </cell>
          <cell r="S1244">
            <v>1</v>
          </cell>
          <cell r="T1244">
            <v>7.9384800000000002</v>
          </cell>
          <cell r="U1244">
            <v>7.9384800000000002</v>
          </cell>
        </row>
        <row r="1245">
          <cell r="B1245" t="str">
            <v>V17551-PIND-0363-06</v>
          </cell>
          <cell r="C1245" t="str">
            <v>PROD/25-26/13774</v>
          </cell>
          <cell r="D1245" t="str">
            <v/>
          </cell>
          <cell r="E1245" t="str">
            <v>TJ/25-26/184-CS</v>
          </cell>
          <cell r="F1245" t="str">
            <v>P5</v>
          </cell>
          <cell r="G1245">
            <v>0</v>
          </cell>
          <cell r="H1245">
            <v>6</v>
          </cell>
          <cell r="I1245" t="str">
            <v>Yes</v>
          </cell>
          <cell r="J1245" t="str">
            <v/>
          </cell>
          <cell r="K1245" t="str">
            <v>No</v>
          </cell>
          <cell r="L1245" t="str">
            <v/>
          </cell>
          <cell r="M1245" t="str">
            <v/>
          </cell>
          <cell r="N1245" t="str">
            <v>Spool</v>
          </cell>
          <cell r="O1245">
            <v>0</v>
          </cell>
          <cell r="P1245">
            <v>0</v>
          </cell>
          <cell r="Q1245" t="str">
            <v>CS</v>
          </cell>
          <cell r="R1245">
            <v>1</v>
          </cell>
          <cell r="S1245">
            <v>1</v>
          </cell>
          <cell r="T1245">
            <v>10.5402</v>
          </cell>
          <cell r="U1245">
            <v>10.5402</v>
          </cell>
        </row>
        <row r="1246">
          <cell r="B1246" t="str">
            <v>V17551-PIND-0399-06</v>
          </cell>
          <cell r="C1246" t="str">
            <v>PROD/25-26/13806</v>
          </cell>
          <cell r="D1246" t="str">
            <v/>
          </cell>
          <cell r="E1246" t="str">
            <v>TJ/25-26/184-CS</v>
          </cell>
          <cell r="F1246" t="str">
            <v>P5</v>
          </cell>
          <cell r="G1246">
            <v>0</v>
          </cell>
          <cell r="H1246">
            <v>6</v>
          </cell>
          <cell r="I1246" t="str">
            <v>Yes</v>
          </cell>
          <cell r="J1246" t="str">
            <v/>
          </cell>
          <cell r="K1246" t="str">
            <v>No</v>
          </cell>
          <cell r="L1246" t="str">
            <v/>
          </cell>
          <cell r="M1246" t="str">
            <v/>
          </cell>
          <cell r="N1246" t="str">
            <v>Spool</v>
          </cell>
          <cell r="O1246">
            <v>0</v>
          </cell>
          <cell r="P1246">
            <v>0</v>
          </cell>
          <cell r="Q1246" t="str">
            <v>CS</v>
          </cell>
          <cell r="R1246">
            <v>1</v>
          </cell>
          <cell r="S1246">
            <v>1</v>
          </cell>
          <cell r="T1246">
            <v>4.2161999999999997</v>
          </cell>
          <cell r="U1246">
            <v>4.2161999999999997</v>
          </cell>
        </row>
        <row r="1247">
          <cell r="B1247" t="str">
            <v>V17551-PIND-0401-06</v>
          </cell>
          <cell r="C1247" t="str">
            <v>PROD/25-26/14093</v>
          </cell>
          <cell r="D1247" t="str">
            <v/>
          </cell>
          <cell r="E1247" t="str">
            <v>TJ/25-26/184-CS</v>
          </cell>
          <cell r="F1247" t="str">
            <v>P5</v>
          </cell>
          <cell r="G1247">
            <v>0</v>
          </cell>
          <cell r="H1247">
            <v>6</v>
          </cell>
          <cell r="I1247" t="str">
            <v>Yes</v>
          </cell>
          <cell r="J1247" t="str">
            <v/>
          </cell>
          <cell r="K1247" t="str">
            <v>No</v>
          </cell>
          <cell r="L1247" t="str">
            <v/>
          </cell>
          <cell r="M1247" t="str">
            <v/>
          </cell>
          <cell r="N1247" t="str">
            <v>Spool</v>
          </cell>
          <cell r="O1247">
            <v>0</v>
          </cell>
          <cell r="P1247">
            <v>0</v>
          </cell>
          <cell r="Q1247" t="str">
            <v>CS</v>
          </cell>
          <cell r="R1247">
            <v>1</v>
          </cell>
          <cell r="S1247">
            <v>1</v>
          </cell>
          <cell r="T1247">
            <v>57.365679999999998</v>
          </cell>
          <cell r="U1247">
            <v>57.365679999999998</v>
          </cell>
        </row>
        <row r="1248">
          <cell r="B1248" t="str">
            <v>V17551-PIND-0403-06</v>
          </cell>
          <cell r="C1248" t="str">
            <v>PROD/25-26/13810</v>
          </cell>
          <cell r="D1248" t="str">
            <v/>
          </cell>
          <cell r="E1248" t="str">
            <v>TJ/25-26/184-P11</v>
          </cell>
          <cell r="F1248" t="str">
            <v>P5</v>
          </cell>
          <cell r="G1248">
            <v>0</v>
          </cell>
          <cell r="H1248">
            <v>6</v>
          </cell>
          <cell r="I1248" t="str">
            <v>Yes</v>
          </cell>
          <cell r="J1248" t="str">
            <v/>
          </cell>
          <cell r="K1248" t="str">
            <v>No</v>
          </cell>
          <cell r="L1248" t="str">
            <v/>
          </cell>
          <cell r="M1248" t="str">
            <v/>
          </cell>
          <cell r="N1248" t="str">
            <v>Spool</v>
          </cell>
          <cell r="O1248">
            <v>0</v>
          </cell>
          <cell r="P1248">
            <v>0</v>
          </cell>
          <cell r="Q1248" t="str">
            <v>P11</v>
          </cell>
          <cell r="R1248">
            <v>1</v>
          </cell>
          <cell r="S1248">
            <v>1</v>
          </cell>
          <cell r="T1248">
            <v>3.8979200000000001</v>
          </cell>
          <cell r="U1248">
            <v>3.8979200000000001</v>
          </cell>
        </row>
        <row r="1249">
          <cell r="B1249" t="str">
            <v>V17551-PIND-0404-06</v>
          </cell>
          <cell r="C1249" t="str">
            <v>PROD/25-26/13811</v>
          </cell>
          <cell r="D1249" t="str">
            <v/>
          </cell>
          <cell r="E1249" t="str">
            <v>TJ/25-26/184-CS</v>
          </cell>
          <cell r="F1249" t="str">
            <v>P5</v>
          </cell>
          <cell r="G1249">
            <v>0</v>
          </cell>
          <cell r="H1249">
            <v>6</v>
          </cell>
          <cell r="I1249" t="str">
            <v>Yes</v>
          </cell>
          <cell r="J1249" t="str">
            <v/>
          </cell>
          <cell r="K1249" t="str">
            <v>No</v>
          </cell>
          <cell r="L1249" t="str">
            <v/>
          </cell>
          <cell r="M1249" t="str">
            <v/>
          </cell>
          <cell r="N1249" t="str">
            <v>Spool</v>
          </cell>
          <cell r="O1249">
            <v>0</v>
          </cell>
          <cell r="P1249">
            <v>0</v>
          </cell>
          <cell r="Q1249" t="str">
            <v>CS</v>
          </cell>
          <cell r="R1249">
            <v>1</v>
          </cell>
          <cell r="S1249">
            <v>1</v>
          </cell>
          <cell r="T1249">
            <v>14.9922</v>
          </cell>
          <cell r="U1249">
            <v>14.9922</v>
          </cell>
        </row>
        <row r="1250">
          <cell r="B1250" t="str">
            <v>V17551-PIND-0424-06</v>
          </cell>
          <cell r="C1250" t="str">
            <v>PROD/25-26/13827</v>
          </cell>
          <cell r="D1250" t="str">
            <v/>
          </cell>
          <cell r="E1250" t="str">
            <v>TJ/25-26/184-CS</v>
          </cell>
          <cell r="F1250" t="str">
            <v>P5</v>
          </cell>
          <cell r="G1250">
            <v>0</v>
          </cell>
          <cell r="H1250">
            <v>6</v>
          </cell>
          <cell r="I1250" t="str">
            <v>Yes</v>
          </cell>
          <cell r="J1250" t="str">
            <v/>
          </cell>
          <cell r="K1250" t="str">
            <v>No</v>
          </cell>
          <cell r="L1250" t="str">
            <v/>
          </cell>
          <cell r="M1250" t="str">
            <v/>
          </cell>
          <cell r="N1250" t="str">
            <v>Spool</v>
          </cell>
          <cell r="O1250">
            <v>0</v>
          </cell>
          <cell r="P1250">
            <v>0</v>
          </cell>
          <cell r="Q1250" t="str">
            <v>CS</v>
          </cell>
          <cell r="R1250">
            <v>1</v>
          </cell>
          <cell r="S1250">
            <v>1</v>
          </cell>
          <cell r="T1250">
            <v>20.645800000000001</v>
          </cell>
          <cell r="U1250">
            <v>20.645800000000001</v>
          </cell>
        </row>
        <row r="1251">
          <cell r="B1251" t="str">
            <v>V17551-PIND-0437-06</v>
          </cell>
          <cell r="C1251" t="str">
            <v>PROD/25-26/13840</v>
          </cell>
          <cell r="D1251" t="str">
            <v/>
          </cell>
          <cell r="E1251" t="str">
            <v>TJ/25-26/184-CS</v>
          </cell>
          <cell r="F1251" t="str">
            <v>P5</v>
          </cell>
          <cell r="G1251">
            <v>0</v>
          </cell>
          <cell r="H1251">
            <v>6</v>
          </cell>
          <cell r="I1251" t="str">
            <v>Yes</v>
          </cell>
          <cell r="J1251" t="str">
            <v/>
          </cell>
          <cell r="K1251" t="str">
            <v>No</v>
          </cell>
          <cell r="L1251" t="str">
            <v/>
          </cell>
          <cell r="M1251" t="str">
            <v/>
          </cell>
          <cell r="N1251" t="str">
            <v>Spool</v>
          </cell>
          <cell r="O1251">
            <v>0</v>
          </cell>
          <cell r="P1251">
            <v>0</v>
          </cell>
          <cell r="Q1251" t="str">
            <v>CS</v>
          </cell>
          <cell r="R1251">
            <v>1</v>
          </cell>
          <cell r="S1251">
            <v>1</v>
          </cell>
          <cell r="T1251">
            <v>7.7755999999999998</v>
          </cell>
          <cell r="U1251">
            <v>7.7755999999999998</v>
          </cell>
        </row>
        <row r="1252">
          <cell r="B1252" t="str">
            <v>V17551-PIND-0447-06</v>
          </cell>
          <cell r="C1252" t="str">
            <v>PROD/25-26/13850</v>
          </cell>
          <cell r="D1252" t="str">
            <v/>
          </cell>
          <cell r="E1252" t="str">
            <v>TJ/25-26/184-CS</v>
          </cell>
          <cell r="F1252" t="str">
            <v>P5</v>
          </cell>
          <cell r="G1252">
            <v>0</v>
          </cell>
          <cell r="H1252">
            <v>6</v>
          </cell>
          <cell r="I1252" t="str">
            <v>Yes</v>
          </cell>
          <cell r="J1252" t="str">
            <v/>
          </cell>
          <cell r="K1252" t="str">
            <v>No</v>
          </cell>
          <cell r="L1252" t="str">
            <v/>
          </cell>
          <cell r="M1252" t="str">
            <v/>
          </cell>
          <cell r="N1252" t="str">
            <v>Spool</v>
          </cell>
          <cell r="O1252">
            <v>0</v>
          </cell>
          <cell r="P1252">
            <v>0</v>
          </cell>
          <cell r="Q1252" t="str">
            <v>CS</v>
          </cell>
          <cell r="R1252">
            <v>1</v>
          </cell>
          <cell r="S1252">
            <v>1</v>
          </cell>
          <cell r="T1252">
            <v>13.78884</v>
          </cell>
          <cell r="U1252">
            <v>13.78884</v>
          </cell>
        </row>
        <row r="1253">
          <cell r="B1253" t="str">
            <v>V17551-PIND-0491-06</v>
          </cell>
          <cell r="C1253" t="str">
            <v>PROD/25-26/13886</v>
          </cell>
          <cell r="D1253" t="str">
            <v/>
          </cell>
          <cell r="E1253" t="str">
            <v>TJ/25-26/184-P22</v>
          </cell>
          <cell r="F1253" t="str">
            <v>P5</v>
          </cell>
          <cell r="G1253">
            <v>0</v>
          </cell>
          <cell r="H1253">
            <v>6</v>
          </cell>
          <cell r="I1253" t="str">
            <v>Yes</v>
          </cell>
          <cell r="J1253" t="str">
            <v/>
          </cell>
          <cell r="K1253" t="str">
            <v>No</v>
          </cell>
          <cell r="L1253" t="str">
            <v/>
          </cell>
          <cell r="M1253" t="str">
            <v/>
          </cell>
          <cell r="N1253" t="str">
            <v>Spool</v>
          </cell>
          <cell r="O1253">
            <v>0</v>
          </cell>
          <cell r="P1253">
            <v>0</v>
          </cell>
          <cell r="Q1253" t="str">
            <v>P22</v>
          </cell>
          <cell r="R1253">
            <v>1</v>
          </cell>
          <cell r="S1253">
            <v>1</v>
          </cell>
          <cell r="T1253">
            <v>3.8782000000000001</v>
          </cell>
          <cell r="U1253">
            <v>3.8782000000000001</v>
          </cell>
        </row>
        <row r="1254">
          <cell r="B1254" t="str">
            <v>V17551-PIND-0496-06</v>
          </cell>
          <cell r="C1254" t="str">
            <v>PROD/25-26/13891</v>
          </cell>
          <cell r="D1254" t="str">
            <v/>
          </cell>
          <cell r="E1254" t="str">
            <v>TJ/25-26/184-CS</v>
          </cell>
          <cell r="F1254" t="str">
            <v>P5</v>
          </cell>
          <cell r="G1254">
            <v>0</v>
          </cell>
          <cell r="H1254">
            <v>6</v>
          </cell>
          <cell r="I1254" t="str">
            <v>Yes</v>
          </cell>
          <cell r="J1254" t="str">
            <v/>
          </cell>
          <cell r="K1254" t="str">
            <v>No</v>
          </cell>
          <cell r="L1254" t="str">
            <v/>
          </cell>
          <cell r="M1254" t="str">
            <v/>
          </cell>
          <cell r="N1254" t="str">
            <v>Spool</v>
          </cell>
          <cell r="O1254">
            <v>0</v>
          </cell>
          <cell r="P1254">
            <v>0</v>
          </cell>
          <cell r="Q1254" t="str">
            <v>CS</v>
          </cell>
          <cell r="R1254">
            <v>1</v>
          </cell>
          <cell r="S1254">
            <v>1</v>
          </cell>
          <cell r="T1254">
            <v>2.41092</v>
          </cell>
          <cell r="U1254">
            <v>2.41092</v>
          </cell>
        </row>
        <row r="1255">
          <cell r="B1255" t="str">
            <v>V17551-PIND-0499-06</v>
          </cell>
          <cell r="C1255" t="str">
            <v>PROD/25-26/13894</v>
          </cell>
          <cell r="D1255" t="str">
            <v/>
          </cell>
          <cell r="E1255" t="str">
            <v>TJ/25-26/184-CS</v>
          </cell>
          <cell r="F1255" t="str">
            <v>P5</v>
          </cell>
          <cell r="G1255">
            <v>0</v>
          </cell>
          <cell r="H1255">
            <v>6</v>
          </cell>
          <cell r="I1255" t="str">
            <v>Yes</v>
          </cell>
          <cell r="J1255" t="str">
            <v/>
          </cell>
          <cell r="K1255" t="str">
            <v>No</v>
          </cell>
          <cell r="L1255" t="str">
            <v/>
          </cell>
          <cell r="M1255" t="str">
            <v/>
          </cell>
          <cell r="N1255" t="str">
            <v>Spool</v>
          </cell>
          <cell r="O1255">
            <v>0</v>
          </cell>
          <cell r="P1255">
            <v>0</v>
          </cell>
          <cell r="Q1255" t="str">
            <v>CS</v>
          </cell>
          <cell r="R1255">
            <v>1</v>
          </cell>
          <cell r="S1255">
            <v>1</v>
          </cell>
          <cell r="T1255">
            <v>19.713239999999999</v>
          </cell>
          <cell r="U1255">
            <v>19.713239999999999</v>
          </cell>
        </row>
        <row r="1256">
          <cell r="B1256" t="str">
            <v>V17551-PIND-0501-06</v>
          </cell>
          <cell r="C1256" t="str">
            <v>PROD/25-26/13896</v>
          </cell>
          <cell r="D1256" t="str">
            <v/>
          </cell>
          <cell r="E1256" t="str">
            <v>TJ/25-26/184-CS</v>
          </cell>
          <cell r="F1256" t="str">
            <v>P5</v>
          </cell>
          <cell r="G1256">
            <v>0</v>
          </cell>
          <cell r="H1256">
            <v>6</v>
          </cell>
          <cell r="I1256" t="str">
            <v>Yes</v>
          </cell>
          <cell r="J1256" t="str">
            <v/>
          </cell>
          <cell r="K1256" t="str">
            <v>No</v>
          </cell>
          <cell r="L1256" t="str">
            <v/>
          </cell>
          <cell r="M1256" t="str">
            <v/>
          </cell>
          <cell r="N1256" t="str">
            <v>Spool</v>
          </cell>
          <cell r="O1256">
            <v>0</v>
          </cell>
          <cell r="P1256">
            <v>0</v>
          </cell>
          <cell r="Q1256" t="str">
            <v>CS</v>
          </cell>
          <cell r="R1256">
            <v>1</v>
          </cell>
          <cell r="S1256">
            <v>1</v>
          </cell>
          <cell r="T1256">
            <v>4.3063200000000004</v>
          </cell>
          <cell r="U1256">
            <v>4.3063200000000004</v>
          </cell>
        </row>
        <row r="1257">
          <cell r="B1257" t="str">
            <v>V17551-PIND-0528-06</v>
          </cell>
          <cell r="C1257" t="str">
            <v>PROD/25-26/13923</v>
          </cell>
          <cell r="D1257" t="str">
            <v/>
          </cell>
          <cell r="E1257" t="str">
            <v>TJ/25-26/184-91</v>
          </cell>
          <cell r="F1257" t="str">
            <v>P1</v>
          </cell>
          <cell r="G1257">
            <v>0</v>
          </cell>
          <cell r="H1257">
            <v>6</v>
          </cell>
          <cell r="I1257" t="str">
            <v>Yes</v>
          </cell>
          <cell r="J1257" t="str">
            <v/>
          </cell>
          <cell r="K1257" t="str">
            <v>No</v>
          </cell>
          <cell r="L1257" t="str">
            <v/>
          </cell>
          <cell r="M1257" t="str">
            <v/>
          </cell>
          <cell r="N1257" t="str">
            <v>Spool</v>
          </cell>
          <cell r="O1257">
            <v>0</v>
          </cell>
          <cell r="P1257">
            <v>0</v>
          </cell>
          <cell r="Q1257" t="str">
            <v>CS</v>
          </cell>
          <cell r="R1257">
            <v>1</v>
          </cell>
          <cell r="S1257">
            <v>1</v>
          </cell>
          <cell r="T1257">
            <v>17.7454</v>
          </cell>
          <cell r="U1257">
            <v>17.7454</v>
          </cell>
        </row>
        <row r="1258">
          <cell r="B1258" t="str">
            <v>V17551-PIND-0529-06</v>
          </cell>
          <cell r="C1258" t="str">
            <v>PROD/25-26/13924</v>
          </cell>
          <cell r="D1258" t="str">
            <v/>
          </cell>
          <cell r="E1258" t="str">
            <v>TJ/25-26/184-CS</v>
          </cell>
          <cell r="F1258" t="str">
            <v>P1</v>
          </cell>
          <cell r="G1258">
            <v>0</v>
          </cell>
          <cell r="H1258">
            <v>6</v>
          </cell>
          <cell r="I1258" t="str">
            <v>Yes</v>
          </cell>
          <cell r="J1258" t="str">
            <v/>
          </cell>
          <cell r="K1258" t="str">
            <v>No</v>
          </cell>
          <cell r="L1258" t="str">
            <v/>
          </cell>
          <cell r="M1258" t="str">
            <v/>
          </cell>
          <cell r="N1258" t="str">
            <v>Spool</v>
          </cell>
          <cell r="O1258">
            <v>0</v>
          </cell>
          <cell r="P1258">
            <v>0</v>
          </cell>
          <cell r="Q1258" t="str">
            <v>CS</v>
          </cell>
          <cell r="R1258">
            <v>1</v>
          </cell>
          <cell r="S1258">
            <v>1</v>
          </cell>
          <cell r="T1258">
            <v>12.664960000000001</v>
          </cell>
          <cell r="U1258">
            <v>12.664960000000001</v>
          </cell>
        </row>
        <row r="1259">
          <cell r="B1259" t="str">
            <v>V17551-PIND-0557-06</v>
          </cell>
          <cell r="C1259" t="str">
            <v>PROD/25-26/13941</v>
          </cell>
          <cell r="D1259" t="str">
            <v/>
          </cell>
          <cell r="E1259" t="str">
            <v>TJ/25-26/184-CS</v>
          </cell>
          <cell r="F1259" t="str">
            <v>P5</v>
          </cell>
          <cell r="G1259">
            <v>0</v>
          </cell>
          <cell r="H1259">
            <v>6</v>
          </cell>
          <cell r="I1259" t="str">
            <v>Yes</v>
          </cell>
          <cell r="J1259" t="str">
            <v/>
          </cell>
          <cell r="K1259" t="str">
            <v>No</v>
          </cell>
          <cell r="L1259" t="str">
            <v/>
          </cell>
          <cell r="M1259" t="str">
            <v/>
          </cell>
          <cell r="N1259" t="str">
            <v>Spool</v>
          </cell>
          <cell r="O1259">
            <v>0</v>
          </cell>
          <cell r="P1259">
            <v>0</v>
          </cell>
          <cell r="Q1259" t="str">
            <v>CS</v>
          </cell>
          <cell r="R1259">
            <v>1</v>
          </cell>
          <cell r="S1259">
            <v>1</v>
          </cell>
          <cell r="T1259">
            <v>14.70036</v>
          </cell>
          <cell r="U1259">
            <v>14.70036</v>
          </cell>
        </row>
        <row r="1260">
          <cell r="B1260" t="str">
            <v>V17551-PIND-0574-12</v>
          </cell>
          <cell r="C1260" t="str">
            <v>PROD/25-26/13952</v>
          </cell>
          <cell r="D1260" t="str">
            <v/>
          </cell>
          <cell r="E1260" t="str">
            <v>TJ/25-26/184-CS</v>
          </cell>
          <cell r="F1260" t="str">
            <v>P5</v>
          </cell>
          <cell r="G1260">
            <v>0</v>
          </cell>
          <cell r="H1260">
            <v>6</v>
          </cell>
          <cell r="I1260" t="str">
            <v>Yes</v>
          </cell>
          <cell r="J1260" t="str">
            <v/>
          </cell>
          <cell r="K1260" t="str">
            <v>No</v>
          </cell>
          <cell r="L1260" t="str">
            <v/>
          </cell>
          <cell r="M1260" t="str">
            <v/>
          </cell>
          <cell r="N1260" t="str">
            <v>Spool</v>
          </cell>
          <cell r="O1260">
            <v>0</v>
          </cell>
          <cell r="P1260">
            <v>0</v>
          </cell>
          <cell r="Q1260" t="str">
            <v>CS</v>
          </cell>
          <cell r="R1260">
            <v>1</v>
          </cell>
          <cell r="S1260">
            <v>1</v>
          </cell>
          <cell r="T1260">
            <v>30.488880000000002</v>
          </cell>
          <cell r="U1260">
            <v>30.488880000000002</v>
          </cell>
        </row>
        <row r="1261">
          <cell r="B1261" t="str">
            <v>V17551-PIND-0575-11</v>
          </cell>
          <cell r="C1261" t="str">
            <v>PROD/25-26/13953</v>
          </cell>
          <cell r="D1261" t="str">
            <v/>
          </cell>
          <cell r="E1261" t="str">
            <v>TJ/25-26/184-CS</v>
          </cell>
          <cell r="F1261" t="str">
            <v>P5</v>
          </cell>
          <cell r="G1261">
            <v>0</v>
          </cell>
          <cell r="H1261">
            <v>6</v>
          </cell>
          <cell r="I1261" t="str">
            <v>Yes</v>
          </cell>
          <cell r="J1261" t="str">
            <v/>
          </cell>
          <cell r="K1261" t="str">
            <v>No</v>
          </cell>
          <cell r="L1261" t="str">
            <v/>
          </cell>
          <cell r="M1261" t="str">
            <v/>
          </cell>
          <cell r="N1261" t="str">
            <v>Spool</v>
          </cell>
          <cell r="O1261">
            <v>0</v>
          </cell>
          <cell r="P1261">
            <v>0</v>
          </cell>
          <cell r="Q1261" t="str">
            <v>CS</v>
          </cell>
          <cell r="R1261">
            <v>1</v>
          </cell>
          <cell r="S1261">
            <v>1</v>
          </cell>
          <cell r="T1261">
            <v>12.3422</v>
          </cell>
          <cell r="U1261">
            <v>12.3422</v>
          </cell>
        </row>
        <row r="1262">
          <cell r="B1262" t="str">
            <v>SIP-1119-01</v>
          </cell>
          <cell r="C1262" t="str">
            <v>PROD/25-26/13713</v>
          </cell>
          <cell r="D1262" t="str">
            <v/>
          </cell>
          <cell r="E1262" t="str">
            <v>TJ/25-26/184-CS</v>
          </cell>
          <cell r="F1262" t="str">
            <v>P1</v>
          </cell>
          <cell r="G1262">
            <v>0</v>
          </cell>
          <cell r="H1262">
            <v>7</v>
          </cell>
          <cell r="I1262" t="str">
            <v>Yes</v>
          </cell>
          <cell r="J1262" t="str">
            <v/>
          </cell>
          <cell r="K1262" t="str">
            <v>No</v>
          </cell>
          <cell r="L1262" t="str">
            <v/>
          </cell>
          <cell r="M1262" t="str">
            <v/>
          </cell>
          <cell r="N1262" t="str">
            <v>Spool</v>
          </cell>
          <cell r="O1262">
            <v>0</v>
          </cell>
          <cell r="P1262">
            <v>0</v>
          </cell>
          <cell r="Q1262" t="str">
            <v>CS</v>
          </cell>
          <cell r="R1262">
            <v>1</v>
          </cell>
          <cell r="S1262">
            <v>1</v>
          </cell>
          <cell r="T1262">
            <v>4.1683300000000001</v>
          </cell>
          <cell r="U1262">
            <v>4.1683300000000001</v>
          </cell>
        </row>
        <row r="1263">
          <cell r="B1263" t="str">
            <v>V17551-PIND-0036-07</v>
          </cell>
          <cell r="C1263" t="str">
            <v>PROD/25-26/07355</v>
          </cell>
          <cell r="D1263" t="str">
            <v/>
          </cell>
          <cell r="E1263" t="str">
            <v>TJ/25-26/184-CS</v>
          </cell>
          <cell r="F1263" t="str">
            <v>P5,P1</v>
          </cell>
          <cell r="G1263">
            <v>0</v>
          </cell>
          <cell r="H1263">
            <v>7</v>
          </cell>
          <cell r="I1263" t="str">
            <v>Yes</v>
          </cell>
          <cell r="J1263" t="str">
            <v/>
          </cell>
          <cell r="K1263" t="str">
            <v>No</v>
          </cell>
          <cell r="L1263" t="str">
            <v/>
          </cell>
          <cell r="M1263" t="str">
            <v/>
          </cell>
          <cell r="N1263" t="str">
            <v>Spool</v>
          </cell>
          <cell r="O1263">
            <v>0</v>
          </cell>
          <cell r="P1263">
            <v>0</v>
          </cell>
          <cell r="Q1263" t="str">
            <v>CS</v>
          </cell>
          <cell r="R1263">
            <v>1</v>
          </cell>
          <cell r="S1263">
            <v>1</v>
          </cell>
          <cell r="T1263">
            <v>125.66122</v>
          </cell>
          <cell r="U1263">
            <v>125.66122</v>
          </cell>
        </row>
        <row r="1264">
          <cell r="B1264" t="str">
            <v>V17551-PIND-0038-07</v>
          </cell>
          <cell r="C1264" t="str">
            <v>PROD/25-26/07356</v>
          </cell>
          <cell r="D1264" t="str">
            <v/>
          </cell>
          <cell r="E1264" t="str">
            <v>TJ/25-26/184-CS</v>
          </cell>
          <cell r="F1264" t="str">
            <v>P5,P1</v>
          </cell>
          <cell r="G1264">
            <v>0</v>
          </cell>
          <cell r="H1264">
            <v>7</v>
          </cell>
          <cell r="I1264" t="str">
            <v>Yes</v>
          </cell>
          <cell r="J1264" t="str">
            <v/>
          </cell>
          <cell r="K1264" t="str">
            <v>No</v>
          </cell>
          <cell r="L1264" t="str">
            <v/>
          </cell>
          <cell r="M1264" t="str">
            <v/>
          </cell>
          <cell r="N1264" t="str">
            <v>Spool</v>
          </cell>
          <cell r="O1264">
            <v>0</v>
          </cell>
          <cell r="P1264">
            <v>0</v>
          </cell>
          <cell r="Q1264" t="str">
            <v>CS</v>
          </cell>
          <cell r="R1264">
            <v>1</v>
          </cell>
          <cell r="S1264">
            <v>1</v>
          </cell>
          <cell r="T1264">
            <v>145.89856</v>
          </cell>
          <cell r="U1264">
            <v>145.89856</v>
          </cell>
        </row>
        <row r="1265">
          <cell r="B1265" t="str">
            <v>V17551-PIND-0040-07</v>
          </cell>
          <cell r="C1265" t="str">
            <v>PROD/25-26/07357</v>
          </cell>
          <cell r="D1265" t="str">
            <v/>
          </cell>
          <cell r="E1265" t="str">
            <v>TJ/25-26/184-CS</v>
          </cell>
          <cell r="F1265" t="str">
            <v>P5,P1</v>
          </cell>
          <cell r="G1265">
            <v>0</v>
          </cell>
          <cell r="H1265">
            <v>7</v>
          </cell>
          <cell r="I1265" t="str">
            <v>Yes</v>
          </cell>
          <cell r="J1265" t="str">
            <v/>
          </cell>
          <cell r="K1265" t="str">
            <v>No</v>
          </cell>
          <cell r="L1265" t="str">
            <v/>
          </cell>
          <cell r="M1265" t="str">
            <v/>
          </cell>
          <cell r="N1265" t="str">
            <v>Spool</v>
          </cell>
          <cell r="O1265">
            <v>0</v>
          </cell>
          <cell r="P1265">
            <v>0</v>
          </cell>
          <cell r="Q1265" t="str">
            <v>CS</v>
          </cell>
          <cell r="R1265">
            <v>1</v>
          </cell>
          <cell r="S1265">
            <v>1</v>
          </cell>
          <cell r="T1265">
            <v>158.81338</v>
          </cell>
          <cell r="U1265">
            <v>158.81338</v>
          </cell>
        </row>
        <row r="1266">
          <cell r="B1266" t="str">
            <v>V17551-PIND-0042-07</v>
          </cell>
          <cell r="C1266" t="str">
            <v>PROD/25-26/07358</v>
          </cell>
          <cell r="D1266" t="str">
            <v/>
          </cell>
          <cell r="E1266" t="str">
            <v>TJ/25-26/184-CS</v>
          </cell>
          <cell r="F1266" t="str">
            <v>P5,P1</v>
          </cell>
          <cell r="G1266">
            <v>0</v>
          </cell>
          <cell r="H1266">
            <v>7</v>
          </cell>
          <cell r="I1266" t="str">
            <v>Yes</v>
          </cell>
          <cell r="J1266" t="str">
            <v/>
          </cell>
          <cell r="K1266" t="str">
            <v>No</v>
          </cell>
          <cell r="L1266" t="str">
            <v/>
          </cell>
          <cell r="M1266" t="str">
            <v/>
          </cell>
          <cell r="N1266" t="str">
            <v>Spool</v>
          </cell>
          <cell r="O1266">
            <v>0</v>
          </cell>
          <cell r="P1266">
            <v>0</v>
          </cell>
          <cell r="Q1266" t="str">
            <v>CS</v>
          </cell>
          <cell r="R1266">
            <v>1</v>
          </cell>
          <cell r="S1266">
            <v>1</v>
          </cell>
          <cell r="T1266">
            <v>171.75646</v>
          </cell>
          <cell r="U1266">
            <v>171.75646</v>
          </cell>
        </row>
        <row r="1267">
          <cell r="B1267" t="str">
            <v>V17551-PIND-0044-07</v>
          </cell>
          <cell r="C1267" t="str">
            <v>PROD/25-26/07359</v>
          </cell>
          <cell r="D1267" t="str">
            <v/>
          </cell>
          <cell r="E1267" t="str">
            <v>TJ/25-26/184-CS</v>
          </cell>
          <cell r="F1267" t="str">
            <v>P5,P1</v>
          </cell>
          <cell r="G1267">
            <v>0</v>
          </cell>
          <cell r="H1267">
            <v>7</v>
          </cell>
          <cell r="I1267" t="str">
            <v>Yes</v>
          </cell>
          <cell r="J1267" t="str">
            <v/>
          </cell>
          <cell r="K1267" t="str">
            <v>No</v>
          </cell>
          <cell r="L1267" t="str">
            <v/>
          </cell>
          <cell r="M1267" t="str">
            <v/>
          </cell>
          <cell r="N1267" t="str">
            <v>Spool</v>
          </cell>
          <cell r="O1267">
            <v>0</v>
          </cell>
          <cell r="P1267">
            <v>0</v>
          </cell>
          <cell r="Q1267" t="str">
            <v>CS</v>
          </cell>
          <cell r="R1267">
            <v>1</v>
          </cell>
          <cell r="S1267">
            <v>1</v>
          </cell>
          <cell r="T1267">
            <v>184.64302000000001</v>
          </cell>
          <cell r="U1267">
            <v>184.64302000000001</v>
          </cell>
        </row>
        <row r="1268">
          <cell r="B1268" t="str">
            <v>V17551-PIND-0046-07</v>
          </cell>
          <cell r="C1268" t="str">
            <v>PROD/25-26/07360</v>
          </cell>
          <cell r="D1268" t="str">
            <v/>
          </cell>
          <cell r="E1268" t="str">
            <v>TJ/25-26/184-CS</v>
          </cell>
          <cell r="F1268" t="str">
            <v>P5,P1</v>
          </cell>
          <cell r="G1268">
            <v>0</v>
          </cell>
          <cell r="H1268">
            <v>7</v>
          </cell>
          <cell r="I1268" t="str">
            <v>Yes</v>
          </cell>
          <cell r="J1268" t="str">
            <v/>
          </cell>
          <cell r="K1268" t="str">
            <v>No</v>
          </cell>
          <cell r="L1268" t="str">
            <v/>
          </cell>
          <cell r="M1268" t="str">
            <v/>
          </cell>
          <cell r="N1268" t="str">
            <v>Spool</v>
          </cell>
          <cell r="O1268">
            <v>0</v>
          </cell>
          <cell r="P1268">
            <v>0</v>
          </cell>
          <cell r="Q1268" t="str">
            <v>CS</v>
          </cell>
          <cell r="R1268">
            <v>1</v>
          </cell>
          <cell r="S1268">
            <v>1</v>
          </cell>
          <cell r="T1268">
            <v>183.50470000000001</v>
          </cell>
          <cell r="U1268">
            <v>183.50470000000001</v>
          </cell>
        </row>
        <row r="1269">
          <cell r="B1269" t="str">
            <v>V17551-PIND-0048-07</v>
          </cell>
          <cell r="C1269" t="str">
            <v>PROD/25-26/07361</v>
          </cell>
          <cell r="D1269" t="str">
            <v/>
          </cell>
          <cell r="E1269" t="str">
            <v>TJ/25-26/184-CS</v>
          </cell>
          <cell r="F1269" t="str">
            <v>P5,P1</v>
          </cell>
          <cell r="G1269">
            <v>0</v>
          </cell>
          <cell r="H1269">
            <v>7</v>
          </cell>
          <cell r="I1269" t="str">
            <v>Yes</v>
          </cell>
          <cell r="J1269" t="str">
            <v/>
          </cell>
          <cell r="K1269" t="str">
            <v>No</v>
          </cell>
          <cell r="L1269" t="str">
            <v/>
          </cell>
          <cell r="M1269" t="str">
            <v/>
          </cell>
          <cell r="N1269" t="str">
            <v>Spool</v>
          </cell>
          <cell r="O1269">
            <v>0</v>
          </cell>
          <cell r="P1269">
            <v>0</v>
          </cell>
          <cell r="Q1269" t="str">
            <v>CS</v>
          </cell>
          <cell r="R1269">
            <v>1</v>
          </cell>
          <cell r="S1269">
            <v>1</v>
          </cell>
          <cell r="T1269">
            <v>170.58987999999999</v>
          </cell>
          <cell r="U1269">
            <v>170.58987999999999</v>
          </cell>
        </row>
        <row r="1270">
          <cell r="B1270" t="str">
            <v>V17551-PIND-0050-07</v>
          </cell>
          <cell r="C1270" t="str">
            <v>PROD/25-26/07362</v>
          </cell>
          <cell r="D1270" t="str">
            <v/>
          </cell>
          <cell r="E1270" t="str">
            <v>TJ/25-26/184-CS</v>
          </cell>
          <cell r="F1270" t="str">
            <v>P5,P1</v>
          </cell>
          <cell r="G1270">
            <v>0</v>
          </cell>
          <cell r="H1270">
            <v>7</v>
          </cell>
          <cell r="I1270" t="str">
            <v>Yes</v>
          </cell>
          <cell r="J1270" t="str">
            <v/>
          </cell>
          <cell r="K1270" t="str">
            <v>No</v>
          </cell>
          <cell r="L1270" t="str">
            <v/>
          </cell>
          <cell r="M1270" t="str">
            <v/>
          </cell>
          <cell r="N1270" t="str">
            <v>Spool</v>
          </cell>
          <cell r="O1270">
            <v>0</v>
          </cell>
          <cell r="P1270">
            <v>0</v>
          </cell>
          <cell r="Q1270" t="str">
            <v>CS</v>
          </cell>
          <cell r="R1270">
            <v>1</v>
          </cell>
          <cell r="S1270">
            <v>1</v>
          </cell>
          <cell r="T1270">
            <v>157.72366719999999</v>
          </cell>
          <cell r="U1270">
            <v>157.72366719999999</v>
          </cell>
        </row>
        <row r="1271">
          <cell r="B1271" t="str">
            <v>V17551-PIND-0052-07</v>
          </cell>
          <cell r="C1271" t="str">
            <v>PROD/25-26/07363</v>
          </cell>
          <cell r="D1271" t="str">
            <v/>
          </cell>
          <cell r="E1271" t="str">
            <v>TJ/25-26/184-CS</v>
          </cell>
          <cell r="F1271" t="str">
            <v>P5,P1</v>
          </cell>
          <cell r="G1271">
            <v>0</v>
          </cell>
          <cell r="H1271">
            <v>7</v>
          </cell>
          <cell r="I1271" t="str">
            <v>Yes</v>
          </cell>
          <cell r="J1271" t="str">
            <v/>
          </cell>
          <cell r="K1271" t="str">
            <v>No</v>
          </cell>
          <cell r="L1271" t="str">
            <v/>
          </cell>
          <cell r="M1271" t="str">
            <v/>
          </cell>
          <cell r="N1271" t="str">
            <v>Spool</v>
          </cell>
          <cell r="O1271">
            <v>0</v>
          </cell>
          <cell r="P1271">
            <v>0</v>
          </cell>
          <cell r="Q1271" t="str">
            <v>CS</v>
          </cell>
          <cell r="R1271">
            <v>1</v>
          </cell>
          <cell r="S1271">
            <v>1</v>
          </cell>
          <cell r="T1271">
            <v>144.76024000000001</v>
          </cell>
          <cell r="U1271">
            <v>144.76024000000001</v>
          </cell>
        </row>
        <row r="1272">
          <cell r="B1272" t="str">
            <v>V17551-PIND-0054-07</v>
          </cell>
          <cell r="C1272" t="str">
            <v>PROD/25-26/07420</v>
          </cell>
          <cell r="D1272" t="str">
            <v/>
          </cell>
          <cell r="E1272" t="str">
            <v>TJ/25-26/184-CS</v>
          </cell>
          <cell r="F1272" t="str">
            <v>P5,P1</v>
          </cell>
          <cell r="G1272">
            <v>0</v>
          </cell>
          <cell r="H1272">
            <v>7</v>
          </cell>
          <cell r="I1272" t="str">
            <v>Yes</v>
          </cell>
          <cell r="J1272" t="str">
            <v/>
          </cell>
          <cell r="K1272" t="str">
            <v>No</v>
          </cell>
          <cell r="L1272" t="str">
            <v/>
          </cell>
          <cell r="M1272" t="str">
            <v/>
          </cell>
          <cell r="N1272" t="str">
            <v>Spool</v>
          </cell>
          <cell r="O1272">
            <v>0</v>
          </cell>
          <cell r="P1272">
            <v>0</v>
          </cell>
          <cell r="Q1272" t="str">
            <v>CS</v>
          </cell>
          <cell r="R1272">
            <v>1</v>
          </cell>
          <cell r="S1272">
            <v>1</v>
          </cell>
          <cell r="T1272">
            <v>125.66122</v>
          </cell>
          <cell r="U1272">
            <v>125.66122</v>
          </cell>
        </row>
        <row r="1273">
          <cell r="B1273" t="str">
            <v>V17551-PIND-0087-07</v>
          </cell>
          <cell r="C1273" t="str">
            <v>PROD/25-26/08078</v>
          </cell>
          <cell r="D1273" t="str">
            <v>S-5104</v>
          </cell>
          <cell r="E1273" t="str">
            <v>TJ/25-26/184-CS</v>
          </cell>
          <cell r="F1273" t="str">
            <v>P5</v>
          </cell>
          <cell r="G1273">
            <v>0</v>
          </cell>
          <cell r="H1273">
            <v>7</v>
          </cell>
          <cell r="I1273" t="str">
            <v>Yes</v>
          </cell>
          <cell r="J1273" t="str">
            <v/>
          </cell>
          <cell r="K1273" t="str">
            <v>No</v>
          </cell>
          <cell r="L1273" t="str">
            <v/>
          </cell>
          <cell r="M1273" t="str">
            <v/>
          </cell>
          <cell r="N1273" t="str">
            <v>Spool</v>
          </cell>
          <cell r="O1273">
            <v>0</v>
          </cell>
          <cell r="P1273">
            <v>0</v>
          </cell>
          <cell r="Q1273" t="str">
            <v>CS</v>
          </cell>
          <cell r="R1273">
            <v>1</v>
          </cell>
          <cell r="S1273">
            <v>1</v>
          </cell>
          <cell r="T1273">
            <v>190.80914999999999</v>
          </cell>
          <cell r="U1273">
            <v>190.80914999999999</v>
          </cell>
        </row>
        <row r="1274">
          <cell r="B1274" t="str">
            <v>V17551-PIND-0128-07</v>
          </cell>
          <cell r="C1274" t="str">
            <v>PROD/25-26/07454</v>
          </cell>
          <cell r="D1274" t="str">
            <v>S-5194</v>
          </cell>
          <cell r="E1274" t="str">
            <v>TJ/25-26/184-CS</v>
          </cell>
          <cell r="F1274" t="str">
            <v>P1,P1</v>
          </cell>
          <cell r="G1274">
            <v>0</v>
          </cell>
          <cell r="H1274">
            <v>7</v>
          </cell>
          <cell r="I1274" t="str">
            <v>Yes</v>
          </cell>
          <cell r="J1274" t="str">
            <v/>
          </cell>
          <cell r="K1274" t="str">
            <v>No</v>
          </cell>
          <cell r="L1274" t="str">
            <v/>
          </cell>
          <cell r="M1274" t="str">
            <v/>
          </cell>
          <cell r="N1274" t="str">
            <v>Spool</v>
          </cell>
          <cell r="O1274">
            <v>0</v>
          </cell>
          <cell r="P1274">
            <v>0</v>
          </cell>
          <cell r="Q1274" t="str">
            <v>CS</v>
          </cell>
          <cell r="R1274">
            <v>1</v>
          </cell>
          <cell r="S1274">
            <v>1</v>
          </cell>
          <cell r="T1274">
            <v>1005.697680608</v>
          </cell>
          <cell r="U1274">
            <v>1005.697680608</v>
          </cell>
        </row>
        <row r="1275">
          <cell r="B1275" t="str">
            <v>V17551-PIND-0136-07</v>
          </cell>
          <cell r="C1275" t="str">
            <v>PROD/25-26/13028</v>
          </cell>
          <cell r="D1275" t="str">
            <v/>
          </cell>
          <cell r="E1275" t="str">
            <v>TJ/25-26/184-P22</v>
          </cell>
          <cell r="F1275" t="str">
            <v>P5</v>
          </cell>
          <cell r="G1275">
            <v>0</v>
          </cell>
          <cell r="H1275">
            <v>7</v>
          </cell>
          <cell r="I1275" t="str">
            <v>No</v>
          </cell>
          <cell r="J1275" t="str">
            <v/>
          </cell>
          <cell r="K1275" t="str">
            <v>No</v>
          </cell>
          <cell r="L1275" t="str">
            <v/>
          </cell>
          <cell r="M1275" t="str">
            <v/>
          </cell>
          <cell r="N1275" t="str">
            <v>Spool</v>
          </cell>
          <cell r="O1275">
            <v>0</v>
          </cell>
          <cell r="P1275">
            <v>0</v>
          </cell>
          <cell r="Q1275" t="str">
            <v>P22</v>
          </cell>
          <cell r="R1275">
            <v>1</v>
          </cell>
          <cell r="S1275">
            <v>1</v>
          </cell>
          <cell r="T1275">
            <v>82.990250000000003</v>
          </cell>
          <cell r="U1275">
            <v>82.990250000000003</v>
          </cell>
        </row>
        <row r="1276">
          <cell r="B1276" t="str">
            <v>V17551-PIND-0140-07</v>
          </cell>
          <cell r="C1276" t="str">
            <v>PROD/25-26/06823</v>
          </cell>
          <cell r="D1276" t="str">
            <v/>
          </cell>
          <cell r="E1276" t="str">
            <v>TJ/25-26/184-P22</v>
          </cell>
          <cell r="F1276" t="str">
            <v>P5</v>
          </cell>
          <cell r="G1276">
            <v>0</v>
          </cell>
          <cell r="H1276">
            <v>7</v>
          </cell>
          <cell r="I1276" t="str">
            <v>Yes</v>
          </cell>
          <cell r="J1276" t="str">
            <v/>
          </cell>
          <cell r="K1276" t="str">
            <v>No</v>
          </cell>
          <cell r="L1276" t="str">
            <v/>
          </cell>
          <cell r="M1276" t="str">
            <v/>
          </cell>
          <cell r="N1276" t="str">
            <v>Spool</v>
          </cell>
          <cell r="O1276">
            <v>0</v>
          </cell>
          <cell r="P1276">
            <v>0</v>
          </cell>
          <cell r="Q1276" t="str">
            <v>P22</v>
          </cell>
          <cell r="R1276">
            <v>1</v>
          </cell>
          <cell r="S1276">
            <v>1</v>
          </cell>
          <cell r="T1276">
            <v>236.36474999999999</v>
          </cell>
          <cell r="U1276">
            <v>236.36474999999999</v>
          </cell>
        </row>
        <row r="1277">
          <cell r="B1277" t="str">
            <v>V17551-PIND-0141-07</v>
          </cell>
          <cell r="C1277" t="str">
            <v>PROD/25-26/13027</v>
          </cell>
          <cell r="D1277" t="str">
            <v/>
          </cell>
          <cell r="E1277" t="str">
            <v>TJ/25-26/184-P22</v>
          </cell>
          <cell r="F1277" t="str">
            <v>P5</v>
          </cell>
          <cell r="G1277">
            <v>0</v>
          </cell>
          <cell r="H1277">
            <v>7</v>
          </cell>
          <cell r="I1277" t="str">
            <v>No</v>
          </cell>
          <cell r="J1277" t="str">
            <v/>
          </cell>
          <cell r="K1277" t="str">
            <v>No</v>
          </cell>
          <cell r="L1277" t="str">
            <v/>
          </cell>
          <cell r="M1277" t="str">
            <v/>
          </cell>
          <cell r="N1277" t="str">
            <v>Spool</v>
          </cell>
          <cell r="O1277">
            <v>0</v>
          </cell>
          <cell r="P1277">
            <v>0</v>
          </cell>
          <cell r="Q1277" t="str">
            <v>P91</v>
          </cell>
          <cell r="R1277">
            <v>1</v>
          </cell>
          <cell r="S1277">
            <v>1</v>
          </cell>
          <cell r="T1277">
            <v>153.87413000000001</v>
          </cell>
          <cell r="U1277">
            <v>153.87413000000001</v>
          </cell>
        </row>
        <row r="1278">
          <cell r="B1278" t="str">
            <v>V17551-PIND-0145-06</v>
          </cell>
          <cell r="C1278" t="str">
            <v>PROD/25-26/08432</v>
          </cell>
          <cell r="D1278" t="str">
            <v/>
          </cell>
          <cell r="E1278" t="str">
            <v>TJ/25-26/184-CS</v>
          </cell>
          <cell r="F1278" t="str">
            <v>P1</v>
          </cell>
          <cell r="G1278">
            <v>0</v>
          </cell>
          <cell r="H1278">
            <v>7</v>
          </cell>
          <cell r="I1278" t="str">
            <v>Yes</v>
          </cell>
          <cell r="J1278" t="str">
            <v/>
          </cell>
          <cell r="K1278" t="str">
            <v>No</v>
          </cell>
          <cell r="L1278" t="str">
            <v/>
          </cell>
          <cell r="M1278" t="str">
            <v/>
          </cell>
          <cell r="N1278" t="str">
            <v>Spool</v>
          </cell>
          <cell r="O1278">
            <v>0</v>
          </cell>
          <cell r="P1278">
            <v>0</v>
          </cell>
          <cell r="Q1278" t="str">
            <v>CS</v>
          </cell>
          <cell r="R1278">
            <v>1</v>
          </cell>
          <cell r="S1278">
            <v>1</v>
          </cell>
          <cell r="T1278">
            <v>311.39537999999999</v>
          </cell>
          <cell r="U1278">
            <v>311.39537999999999</v>
          </cell>
        </row>
        <row r="1279">
          <cell r="B1279" t="str">
            <v>V17551-PIND-0147-02</v>
          </cell>
          <cell r="C1279" t="str">
            <v>PROD/25-26/08434</v>
          </cell>
          <cell r="D1279" t="str">
            <v>S-5227</v>
          </cell>
          <cell r="E1279" t="str">
            <v>TJ/25-26/184-CS</v>
          </cell>
          <cell r="F1279" t="str">
            <v>P5,P1</v>
          </cell>
          <cell r="G1279">
            <v>0</v>
          </cell>
          <cell r="H1279">
            <v>7</v>
          </cell>
          <cell r="I1279" t="str">
            <v>Yes</v>
          </cell>
          <cell r="J1279" t="str">
            <v/>
          </cell>
          <cell r="K1279" t="str">
            <v>No</v>
          </cell>
          <cell r="L1279" t="str">
            <v/>
          </cell>
          <cell r="M1279" t="str">
            <v/>
          </cell>
          <cell r="N1279" t="str">
            <v>Spool</v>
          </cell>
          <cell r="O1279">
            <v>0</v>
          </cell>
          <cell r="P1279">
            <v>0</v>
          </cell>
          <cell r="Q1279" t="str">
            <v>CS</v>
          </cell>
          <cell r="R1279">
            <v>1</v>
          </cell>
          <cell r="S1279">
            <v>1</v>
          </cell>
          <cell r="T1279">
            <v>126.617355152</v>
          </cell>
          <cell r="U1279">
            <v>126.617355152</v>
          </cell>
        </row>
        <row r="1280">
          <cell r="B1280" t="str">
            <v>V17551-PIND-0148-07</v>
          </cell>
          <cell r="C1280" t="str">
            <v>PROD/25-26/12820</v>
          </cell>
          <cell r="D1280" t="str">
            <v/>
          </cell>
          <cell r="E1280" t="str">
            <v>TJ/25-26/184-CS</v>
          </cell>
          <cell r="F1280" t="str">
            <v>P5,P1</v>
          </cell>
          <cell r="G1280">
            <v>0</v>
          </cell>
          <cell r="H1280">
            <v>7</v>
          </cell>
          <cell r="I1280" t="str">
            <v>No</v>
          </cell>
          <cell r="J1280" t="str">
            <v/>
          </cell>
          <cell r="K1280" t="str">
            <v>No</v>
          </cell>
          <cell r="L1280" t="str">
            <v/>
          </cell>
          <cell r="M1280" t="str">
            <v/>
          </cell>
          <cell r="N1280" t="str">
            <v>Spool</v>
          </cell>
          <cell r="O1280">
            <v>0</v>
          </cell>
          <cell r="P1280">
            <v>0</v>
          </cell>
          <cell r="Q1280" t="str">
            <v>CS</v>
          </cell>
          <cell r="R1280">
            <v>1</v>
          </cell>
          <cell r="S1280">
            <v>1</v>
          </cell>
          <cell r="T1280">
            <v>54.981046591999998</v>
          </cell>
          <cell r="U1280">
            <v>54.981046591999998</v>
          </cell>
        </row>
        <row r="1281">
          <cell r="B1281" t="str">
            <v>V17551-PIND-0315-07</v>
          </cell>
          <cell r="C1281" t="str">
            <v>PROD/25-26/13730</v>
          </cell>
          <cell r="D1281" t="str">
            <v/>
          </cell>
          <cell r="E1281" t="str">
            <v>TJ/25-26/184-CS</v>
          </cell>
          <cell r="F1281" t="str">
            <v>P5</v>
          </cell>
          <cell r="G1281">
            <v>0</v>
          </cell>
          <cell r="H1281">
            <v>7</v>
          </cell>
          <cell r="I1281" t="str">
            <v>Yes</v>
          </cell>
          <cell r="J1281" t="str">
            <v/>
          </cell>
          <cell r="K1281" t="str">
            <v>No</v>
          </cell>
          <cell r="L1281" t="str">
            <v/>
          </cell>
          <cell r="M1281" t="str">
            <v/>
          </cell>
          <cell r="N1281" t="str">
            <v>Spool</v>
          </cell>
          <cell r="O1281">
            <v>0</v>
          </cell>
          <cell r="P1281">
            <v>0</v>
          </cell>
          <cell r="Q1281" t="str">
            <v>CS</v>
          </cell>
          <cell r="R1281">
            <v>1</v>
          </cell>
          <cell r="S1281">
            <v>1</v>
          </cell>
          <cell r="T1281">
            <v>21.617239999999999</v>
          </cell>
          <cell r="U1281">
            <v>21.617239999999999</v>
          </cell>
        </row>
        <row r="1282">
          <cell r="B1282" t="str">
            <v>V17551-PIND-0363-07</v>
          </cell>
          <cell r="C1282" t="str">
            <v>PROD/25-26/13774</v>
          </cell>
          <cell r="D1282" t="str">
            <v/>
          </cell>
          <cell r="E1282" t="str">
            <v>TJ/25-26/184-CS</v>
          </cell>
          <cell r="F1282" t="str">
            <v>P5</v>
          </cell>
          <cell r="G1282">
            <v>0</v>
          </cell>
          <cell r="H1282">
            <v>7</v>
          </cell>
          <cell r="I1282" t="str">
            <v>Yes</v>
          </cell>
          <cell r="J1282" t="str">
            <v/>
          </cell>
          <cell r="K1282" t="str">
            <v>No</v>
          </cell>
          <cell r="L1282" t="str">
            <v/>
          </cell>
          <cell r="M1282" t="str">
            <v/>
          </cell>
          <cell r="N1282" t="str">
            <v>Spool</v>
          </cell>
          <cell r="O1282">
            <v>0</v>
          </cell>
          <cell r="P1282">
            <v>0</v>
          </cell>
          <cell r="Q1282" t="str">
            <v>CS</v>
          </cell>
          <cell r="R1282">
            <v>1</v>
          </cell>
          <cell r="S1282">
            <v>1</v>
          </cell>
          <cell r="T1282">
            <v>17.744759999999999</v>
          </cell>
          <cell r="U1282">
            <v>17.744759999999999</v>
          </cell>
        </row>
        <row r="1283">
          <cell r="B1283" t="str">
            <v>V17551-PIND-0437-07</v>
          </cell>
          <cell r="C1283" t="str">
            <v>PROD/25-26/13840</v>
          </cell>
          <cell r="D1283" t="str">
            <v/>
          </cell>
          <cell r="E1283" t="str">
            <v>TJ/25-26/184-CS</v>
          </cell>
          <cell r="F1283" t="str">
            <v>P5</v>
          </cell>
          <cell r="G1283">
            <v>0</v>
          </cell>
          <cell r="H1283">
            <v>7</v>
          </cell>
          <cell r="I1283" t="str">
            <v>Yes</v>
          </cell>
          <cell r="J1283" t="str">
            <v/>
          </cell>
          <cell r="K1283" t="str">
            <v>No</v>
          </cell>
          <cell r="L1283" t="str">
            <v/>
          </cell>
          <cell r="M1283" t="str">
            <v/>
          </cell>
          <cell r="N1283" t="str">
            <v>Spool</v>
          </cell>
          <cell r="O1283">
            <v>0</v>
          </cell>
          <cell r="P1283">
            <v>0</v>
          </cell>
          <cell r="Q1283" t="str">
            <v>CS</v>
          </cell>
          <cell r="R1283">
            <v>1</v>
          </cell>
          <cell r="S1283">
            <v>1</v>
          </cell>
          <cell r="T1283">
            <v>3.0506000000000002</v>
          </cell>
          <cell r="U1283">
            <v>3.0506000000000002</v>
          </cell>
        </row>
        <row r="1284">
          <cell r="B1284" t="str">
            <v>V17551-PIND-0499-07</v>
          </cell>
          <cell r="C1284" t="str">
            <v>PROD/25-26/13894</v>
          </cell>
          <cell r="D1284" t="str">
            <v/>
          </cell>
          <cell r="E1284" t="str">
            <v>TJ/25-26/184-CS</v>
          </cell>
          <cell r="F1284" t="str">
            <v>P5</v>
          </cell>
          <cell r="G1284">
            <v>0</v>
          </cell>
          <cell r="H1284">
            <v>7</v>
          </cell>
          <cell r="I1284" t="str">
            <v>Yes</v>
          </cell>
          <cell r="J1284" t="str">
            <v/>
          </cell>
          <cell r="K1284" t="str">
            <v>No</v>
          </cell>
          <cell r="L1284" t="str">
            <v/>
          </cell>
          <cell r="M1284" t="str">
            <v/>
          </cell>
          <cell r="N1284" t="str">
            <v>Spool</v>
          </cell>
          <cell r="O1284">
            <v>0</v>
          </cell>
          <cell r="P1284">
            <v>0</v>
          </cell>
          <cell r="Q1284" t="str">
            <v>CS</v>
          </cell>
          <cell r="R1284">
            <v>1</v>
          </cell>
          <cell r="S1284">
            <v>1</v>
          </cell>
          <cell r="T1284">
            <v>22.396920000000001</v>
          </cell>
          <cell r="U1284">
            <v>22.396920000000001</v>
          </cell>
        </row>
        <row r="1285">
          <cell r="B1285" t="str">
            <v>V17551-PIND-0557-07</v>
          </cell>
          <cell r="C1285" t="str">
            <v>PROD/25-26/13941</v>
          </cell>
          <cell r="D1285" t="str">
            <v/>
          </cell>
          <cell r="E1285" t="str">
            <v>TJ/25-26/184-CS</v>
          </cell>
          <cell r="F1285" t="str">
            <v>P5</v>
          </cell>
          <cell r="G1285">
            <v>0</v>
          </cell>
          <cell r="H1285">
            <v>7</v>
          </cell>
          <cell r="I1285" t="str">
            <v>Yes</v>
          </cell>
          <cell r="J1285" t="str">
            <v/>
          </cell>
          <cell r="K1285" t="str">
            <v>No</v>
          </cell>
          <cell r="L1285" t="str">
            <v/>
          </cell>
          <cell r="M1285" t="str">
            <v/>
          </cell>
          <cell r="N1285" t="str">
            <v>Spool</v>
          </cell>
          <cell r="O1285">
            <v>0</v>
          </cell>
          <cell r="P1285">
            <v>0</v>
          </cell>
          <cell r="Q1285" t="str">
            <v>CS</v>
          </cell>
          <cell r="R1285">
            <v>1</v>
          </cell>
          <cell r="S1285">
            <v>1</v>
          </cell>
          <cell r="T1285">
            <v>4.2809999999999997</v>
          </cell>
          <cell r="U1285">
            <v>4.2809999999999997</v>
          </cell>
        </row>
        <row r="1286">
          <cell r="B1286" t="str">
            <v>V17551-PIND-0575-12</v>
          </cell>
          <cell r="C1286" t="str">
            <v>PROD/25-26/13953</v>
          </cell>
          <cell r="D1286" t="str">
            <v/>
          </cell>
          <cell r="E1286" t="str">
            <v>TJ/25-26/184-CS</v>
          </cell>
          <cell r="F1286" t="str">
            <v>P5</v>
          </cell>
          <cell r="G1286">
            <v>0</v>
          </cell>
          <cell r="H1286">
            <v>7</v>
          </cell>
          <cell r="I1286" t="str">
            <v>Yes</v>
          </cell>
          <cell r="J1286" t="str">
            <v/>
          </cell>
          <cell r="K1286" t="str">
            <v>No</v>
          </cell>
          <cell r="L1286" t="str">
            <v/>
          </cell>
          <cell r="M1286" t="str">
            <v/>
          </cell>
          <cell r="N1286" t="str">
            <v>Spool</v>
          </cell>
          <cell r="O1286">
            <v>0</v>
          </cell>
          <cell r="P1286">
            <v>0</v>
          </cell>
          <cell r="Q1286" t="str">
            <v>CS</v>
          </cell>
          <cell r="R1286">
            <v>1</v>
          </cell>
          <cell r="S1286">
            <v>1</v>
          </cell>
          <cell r="T1286">
            <v>28.97044</v>
          </cell>
          <cell r="U1286">
            <v>28.97044</v>
          </cell>
        </row>
        <row r="1287">
          <cell r="B1287" t="str">
            <v>SIP-1120-01</v>
          </cell>
          <cell r="C1287" t="str">
            <v>PROD/25-26/13713</v>
          </cell>
          <cell r="D1287" t="str">
            <v/>
          </cell>
          <cell r="E1287" t="str">
            <v>TJ/25-26/184-CS</v>
          </cell>
          <cell r="F1287" t="str">
            <v>P1</v>
          </cell>
          <cell r="G1287">
            <v>0</v>
          </cell>
          <cell r="H1287">
            <v>8</v>
          </cell>
          <cell r="I1287" t="str">
            <v>Yes</v>
          </cell>
          <cell r="J1287" t="str">
            <v/>
          </cell>
          <cell r="K1287" t="str">
            <v>No</v>
          </cell>
          <cell r="L1287" t="str">
            <v/>
          </cell>
          <cell r="M1287" t="str">
            <v/>
          </cell>
          <cell r="N1287" t="str">
            <v>Spool</v>
          </cell>
          <cell r="O1287">
            <v>0</v>
          </cell>
          <cell r="P1287">
            <v>0</v>
          </cell>
          <cell r="Q1287" t="str">
            <v>CS</v>
          </cell>
          <cell r="R1287">
            <v>1</v>
          </cell>
          <cell r="S1287">
            <v>1</v>
          </cell>
          <cell r="T1287">
            <v>4.1683300000000001</v>
          </cell>
          <cell r="U1287">
            <v>4.1683300000000001</v>
          </cell>
        </row>
        <row r="1288">
          <cell r="B1288" t="str">
            <v>V17551-PIND-0087-08</v>
          </cell>
          <cell r="C1288" t="str">
            <v>PROD/25-26/06827</v>
          </cell>
          <cell r="D1288" t="str">
            <v>S-5105</v>
          </cell>
          <cell r="E1288" t="str">
            <v>TJ/25-26/184-CS</v>
          </cell>
          <cell r="F1288" t="str">
            <v>P5</v>
          </cell>
          <cell r="G1288">
            <v>0</v>
          </cell>
          <cell r="H1288">
            <v>8</v>
          </cell>
          <cell r="I1288" t="str">
            <v>Yes</v>
          </cell>
          <cell r="J1288" t="str">
            <v/>
          </cell>
          <cell r="K1288" t="str">
            <v>No</v>
          </cell>
          <cell r="L1288" t="str">
            <v/>
          </cell>
          <cell r="M1288" t="str">
            <v/>
          </cell>
          <cell r="N1288" t="str">
            <v>Spool</v>
          </cell>
          <cell r="O1288">
            <v>0</v>
          </cell>
          <cell r="P1288">
            <v>0</v>
          </cell>
          <cell r="Q1288" t="str">
            <v>CS</v>
          </cell>
          <cell r="R1288">
            <v>1</v>
          </cell>
          <cell r="S1288">
            <v>1</v>
          </cell>
          <cell r="T1288">
            <v>370.62619000000001</v>
          </cell>
          <cell r="U1288">
            <v>370.62619000000001</v>
          </cell>
        </row>
        <row r="1289">
          <cell r="B1289" t="str">
            <v>V17551-PIND-0136-08</v>
          </cell>
          <cell r="C1289" t="str">
            <v>PROD/25-26/13028</v>
          </cell>
          <cell r="D1289" t="str">
            <v/>
          </cell>
          <cell r="E1289" t="str">
            <v>TJ/25-26/184-P22</v>
          </cell>
          <cell r="F1289" t="str">
            <v>P5</v>
          </cell>
          <cell r="G1289">
            <v>0</v>
          </cell>
          <cell r="H1289">
            <v>8</v>
          </cell>
          <cell r="I1289" t="str">
            <v>No</v>
          </cell>
          <cell r="J1289" t="str">
            <v/>
          </cell>
          <cell r="K1289" t="str">
            <v>No</v>
          </cell>
          <cell r="L1289" t="str">
            <v/>
          </cell>
          <cell r="M1289" t="str">
            <v/>
          </cell>
          <cell r="N1289" t="str">
            <v>Spool</v>
          </cell>
          <cell r="O1289">
            <v>0</v>
          </cell>
          <cell r="P1289">
            <v>0</v>
          </cell>
          <cell r="Q1289" t="str">
            <v>P22</v>
          </cell>
          <cell r="R1289">
            <v>1</v>
          </cell>
          <cell r="S1289">
            <v>1</v>
          </cell>
          <cell r="T1289">
            <v>82.990250000000003</v>
          </cell>
          <cell r="U1289">
            <v>82.990250000000003</v>
          </cell>
        </row>
        <row r="1290">
          <cell r="B1290" t="str">
            <v>V17551-PIND-0140-08</v>
          </cell>
          <cell r="C1290" t="str">
            <v>PROD/25-26/06823</v>
          </cell>
          <cell r="D1290" t="str">
            <v>S-5217</v>
          </cell>
          <cell r="E1290" t="str">
            <v>TJ/25-26/184-P22</v>
          </cell>
          <cell r="F1290" t="str">
            <v>P5</v>
          </cell>
          <cell r="G1290">
            <v>0</v>
          </cell>
          <cell r="H1290">
            <v>8</v>
          </cell>
          <cell r="I1290" t="str">
            <v>Yes</v>
          </cell>
          <cell r="J1290" t="str">
            <v/>
          </cell>
          <cell r="K1290" t="str">
            <v>No</v>
          </cell>
          <cell r="L1290" t="str">
            <v/>
          </cell>
          <cell r="M1290" t="str">
            <v/>
          </cell>
          <cell r="N1290" t="str">
            <v>Spool</v>
          </cell>
          <cell r="O1290">
            <v>0</v>
          </cell>
          <cell r="P1290">
            <v>0</v>
          </cell>
          <cell r="Q1290" t="str">
            <v>P22</v>
          </cell>
          <cell r="R1290">
            <v>1</v>
          </cell>
          <cell r="S1290">
            <v>1</v>
          </cell>
          <cell r="T1290">
            <v>326.45492000000002</v>
          </cell>
          <cell r="U1290">
            <v>326.45492000000002</v>
          </cell>
        </row>
        <row r="1291">
          <cell r="B1291" t="str">
            <v>V17551-PIND-0141-08</v>
          </cell>
          <cell r="C1291" t="str">
            <v>PROD/25-26/13027</v>
          </cell>
          <cell r="D1291" t="str">
            <v/>
          </cell>
          <cell r="E1291" t="str">
            <v>TJ/25-26/184-P22</v>
          </cell>
          <cell r="F1291" t="str">
            <v>P5</v>
          </cell>
          <cell r="G1291">
            <v>0</v>
          </cell>
          <cell r="H1291">
            <v>8</v>
          </cell>
          <cell r="I1291" t="str">
            <v>No</v>
          </cell>
          <cell r="J1291" t="str">
            <v/>
          </cell>
          <cell r="K1291" t="str">
            <v>No</v>
          </cell>
          <cell r="L1291" t="str">
            <v/>
          </cell>
          <cell r="M1291" t="str">
            <v/>
          </cell>
          <cell r="N1291" t="str">
            <v>Spool</v>
          </cell>
          <cell r="O1291">
            <v>0</v>
          </cell>
          <cell r="P1291">
            <v>0</v>
          </cell>
          <cell r="Q1291" t="str">
            <v>P91</v>
          </cell>
          <cell r="R1291">
            <v>1</v>
          </cell>
          <cell r="S1291">
            <v>1</v>
          </cell>
          <cell r="T1291">
            <v>153.87413000000001</v>
          </cell>
          <cell r="U1291">
            <v>153.87413000000001</v>
          </cell>
        </row>
        <row r="1292">
          <cell r="B1292" t="str">
            <v>V17551-PIND-0147-01</v>
          </cell>
          <cell r="C1292" t="str">
            <v>PROD/25-26/14205</v>
          </cell>
          <cell r="D1292" t="str">
            <v>S-5228</v>
          </cell>
          <cell r="E1292" t="str">
            <v>TJ/25-26/184-CS</v>
          </cell>
          <cell r="F1292" t="str">
            <v>P5,P1</v>
          </cell>
          <cell r="G1292">
            <v>0</v>
          </cell>
          <cell r="H1292">
            <v>8</v>
          </cell>
          <cell r="I1292" t="str">
            <v>Yes</v>
          </cell>
          <cell r="J1292" t="str">
            <v/>
          </cell>
          <cell r="K1292" t="str">
            <v>No</v>
          </cell>
          <cell r="L1292" t="str">
            <v/>
          </cell>
          <cell r="M1292" t="str">
            <v/>
          </cell>
          <cell r="N1292" t="str">
            <v>Spool</v>
          </cell>
          <cell r="O1292">
            <v>0</v>
          </cell>
          <cell r="P1292">
            <v>0</v>
          </cell>
          <cell r="Q1292" t="str">
            <v>CS</v>
          </cell>
          <cell r="R1292">
            <v>1</v>
          </cell>
          <cell r="S1292">
            <v>1</v>
          </cell>
          <cell r="T1292">
            <v>586.49514515199996</v>
          </cell>
          <cell r="U1292">
            <v>586.49514515199996</v>
          </cell>
        </row>
        <row r="1293">
          <cell r="B1293" t="str">
            <v>V17551-PIND-0315-08</v>
          </cell>
          <cell r="C1293" t="str">
            <v>PROD/25-26/14518</v>
          </cell>
          <cell r="D1293" t="str">
            <v/>
          </cell>
          <cell r="E1293" t="str">
            <v>TJ/25-26/184-CS</v>
          </cell>
          <cell r="F1293" t="str">
            <v>P5</v>
          </cell>
          <cell r="G1293">
            <v>0</v>
          </cell>
          <cell r="H1293">
            <v>8</v>
          </cell>
          <cell r="I1293" t="str">
            <v>No</v>
          </cell>
          <cell r="J1293" t="str">
            <v/>
          </cell>
          <cell r="K1293" t="str">
            <v>No</v>
          </cell>
          <cell r="L1293" t="str">
            <v/>
          </cell>
          <cell r="M1293" t="str">
            <v/>
          </cell>
          <cell r="N1293" t="str">
            <v>Spool</v>
          </cell>
          <cell r="O1293">
            <v>0</v>
          </cell>
          <cell r="P1293">
            <v>0</v>
          </cell>
          <cell r="Q1293" t="str">
            <v>CS</v>
          </cell>
          <cell r="R1293">
            <v>1</v>
          </cell>
          <cell r="S1293">
            <v>1</v>
          </cell>
          <cell r="T1293">
            <v>38.352519999999998</v>
          </cell>
          <cell r="U1293">
            <v>38.352519999999998</v>
          </cell>
        </row>
        <row r="1294">
          <cell r="B1294" t="str">
            <v>V17551-PIND-0363-08</v>
          </cell>
          <cell r="C1294" t="str">
            <v>PROD/25-26/13774</v>
          </cell>
          <cell r="D1294" t="str">
            <v/>
          </cell>
          <cell r="E1294" t="str">
            <v>TJ/25-26/184-CS</v>
          </cell>
          <cell r="F1294" t="str">
            <v>P5</v>
          </cell>
          <cell r="G1294">
            <v>0</v>
          </cell>
          <cell r="H1294">
            <v>8</v>
          </cell>
          <cell r="I1294" t="str">
            <v>Yes</v>
          </cell>
          <cell r="J1294" t="str">
            <v/>
          </cell>
          <cell r="K1294" t="str">
            <v>No</v>
          </cell>
          <cell r="L1294" t="str">
            <v/>
          </cell>
          <cell r="M1294" t="str">
            <v/>
          </cell>
          <cell r="N1294" t="str">
            <v>Spool</v>
          </cell>
          <cell r="O1294">
            <v>0</v>
          </cell>
          <cell r="P1294">
            <v>0</v>
          </cell>
          <cell r="Q1294" t="str">
            <v>CS</v>
          </cell>
          <cell r="R1294">
            <v>1</v>
          </cell>
          <cell r="S1294">
            <v>1</v>
          </cell>
          <cell r="T1294">
            <v>1.2219599999999999</v>
          </cell>
          <cell r="U1294">
            <v>1.2219599999999999</v>
          </cell>
        </row>
        <row r="1295">
          <cell r="B1295" t="str">
            <v>V17551-PIND-0499-08</v>
          </cell>
          <cell r="C1295" t="str">
            <v>PROD/25-26/13894</v>
          </cell>
          <cell r="D1295" t="str">
            <v/>
          </cell>
          <cell r="E1295" t="str">
            <v>TJ/25-26/184-CS</v>
          </cell>
          <cell r="F1295" t="str">
            <v>P5</v>
          </cell>
          <cell r="G1295">
            <v>0</v>
          </cell>
          <cell r="H1295">
            <v>8</v>
          </cell>
          <cell r="I1295" t="str">
            <v>Yes</v>
          </cell>
          <cell r="J1295" t="str">
            <v/>
          </cell>
          <cell r="K1295" t="str">
            <v>No</v>
          </cell>
          <cell r="L1295" t="str">
            <v/>
          </cell>
          <cell r="M1295" t="str">
            <v/>
          </cell>
          <cell r="N1295" t="str">
            <v>Spool</v>
          </cell>
          <cell r="O1295">
            <v>0</v>
          </cell>
          <cell r="P1295">
            <v>0</v>
          </cell>
          <cell r="Q1295" t="str">
            <v>CS</v>
          </cell>
          <cell r="R1295">
            <v>1</v>
          </cell>
          <cell r="S1295">
            <v>1</v>
          </cell>
          <cell r="T1295">
            <v>16.9878</v>
          </cell>
          <cell r="U1295">
            <v>16.9878</v>
          </cell>
        </row>
        <row r="1296">
          <cell r="B1296" t="str">
            <v>SIP-1146-01</v>
          </cell>
          <cell r="C1296" t="str">
            <v>PROD/25-26/13713</v>
          </cell>
          <cell r="D1296" t="str">
            <v/>
          </cell>
          <cell r="E1296" t="str">
            <v>TJ/25-26/184-CS</v>
          </cell>
          <cell r="F1296" t="str">
            <v>P1</v>
          </cell>
          <cell r="G1296">
            <v>0</v>
          </cell>
          <cell r="H1296">
            <v>9</v>
          </cell>
          <cell r="I1296" t="str">
            <v>Yes</v>
          </cell>
          <cell r="J1296" t="str">
            <v/>
          </cell>
          <cell r="K1296" t="str">
            <v>No</v>
          </cell>
          <cell r="L1296" t="str">
            <v/>
          </cell>
          <cell r="M1296" t="str">
            <v/>
          </cell>
          <cell r="N1296" t="str">
            <v>Spool</v>
          </cell>
          <cell r="O1296">
            <v>0</v>
          </cell>
          <cell r="P1296">
            <v>0</v>
          </cell>
          <cell r="Q1296" t="str">
            <v>CS</v>
          </cell>
          <cell r="R1296">
            <v>1</v>
          </cell>
          <cell r="S1296">
            <v>1</v>
          </cell>
          <cell r="T1296">
            <v>4.04833</v>
          </cell>
          <cell r="U1296">
            <v>4.04833</v>
          </cell>
        </row>
        <row r="1297">
          <cell r="B1297" t="str">
            <v>V17551-PIND-0087-09</v>
          </cell>
          <cell r="C1297" t="str">
            <v>PROD/25-26/08078</v>
          </cell>
          <cell r="D1297" t="str">
            <v>S-5106</v>
          </cell>
          <cell r="E1297" t="str">
            <v>TJ/25-26/184-CS</v>
          </cell>
          <cell r="F1297" t="str">
            <v>P5</v>
          </cell>
          <cell r="G1297">
            <v>0</v>
          </cell>
          <cell r="H1297">
            <v>9</v>
          </cell>
          <cell r="I1297" t="str">
            <v>Yes</v>
          </cell>
          <cell r="J1297" t="str">
            <v/>
          </cell>
          <cell r="K1297" t="str">
            <v>No</v>
          </cell>
          <cell r="L1297" t="str">
            <v/>
          </cell>
          <cell r="M1297" t="str">
            <v/>
          </cell>
          <cell r="N1297" t="str">
            <v>Spool</v>
          </cell>
          <cell r="O1297">
            <v>0</v>
          </cell>
          <cell r="P1297">
            <v>0</v>
          </cell>
          <cell r="Q1297" t="str">
            <v>CS</v>
          </cell>
          <cell r="R1297">
            <v>1</v>
          </cell>
          <cell r="S1297">
            <v>1</v>
          </cell>
          <cell r="T1297">
            <v>190.80914999999999</v>
          </cell>
          <cell r="U1297">
            <v>190.80914999999999</v>
          </cell>
        </row>
        <row r="1298">
          <cell r="B1298" t="str">
            <v>V17551-PIND-0136-09</v>
          </cell>
          <cell r="C1298" t="str">
            <v>PROD/25-26/13028</v>
          </cell>
          <cell r="D1298" t="str">
            <v/>
          </cell>
          <cell r="E1298" t="str">
            <v>TJ/25-26/184-P22</v>
          </cell>
          <cell r="F1298" t="str">
            <v>P5</v>
          </cell>
          <cell r="G1298">
            <v>0</v>
          </cell>
          <cell r="H1298">
            <v>9</v>
          </cell>
          <cell r="I1298" t="str">
            <v>No</v>
          </cell>
          <cell r="J1298" t="str">
            <v/>
          </cell>
          <cell r="K1298" t="str">
            <v>No</v>
          </cell>
          <cell r="L1298" t="str">
            <v/>
          </cell>
          <cell r="M1298" t="str">
            <v/>
          </cell>
          <cell r="N1298" t="str">
            <v>Spool</v>
          </cell>
          <cell r="O1298">
            <v>0</v>
          </cell>
          <cell r="P1298">
            <v>0</v>
          </cell>
          <cell r="Q1298" t="str">
            <v>P22</v>
          </cell>
          <cell r="R1298">
            <v>1</v>
          </cell>
          <cell r="S1298">
            <v>1</v>
          </cell>
          <cell r="T1298">
            <v>82.990250000000003</v>
          </cell>
          <cell r="U1298">
            <v>82.990250000000003</v>
          </cell>
        </row>
        <row r="1299">
          <cell r="B1299" t="str">
            <v>V17551-PIND-0140-09</v>
          </cell>
          <cell r="C1299" t="str">
            <v>PROD/25-26/06823</v>
          </cell>
          <cell r="D1299" t="str">
            <v>S-5218</v>
          </cell>
          <cell r="E1299" t="str">
            <v>TJ/25-26/184-P22</v>
          </cell>
          <cell r="F1299" t="str">
            <v>P5</v>
          </cell>
          <cell r="G1299">
            <v>0</v>
          </cell>
          <cell r="H1299">
            <v>9</v>
          </cell>
          <cell r="I1299" t="str">
            <v>Yes</v>
          </cell>
          <cell r="J1299" t="str">
            <v/>
          </cell>
          <cell r="K1299" t="str">
            <v>No</v>
          </cell>
          <cell r="L1299" t="str">
            <v/>
          </cell>
          <cell r="M1299" t="str">
            <v/>
          </cell>
          <cell r="N1299" t="str">
            <v>Spool</v>
          </cell>
          <cell r="O1299">
            <v>0</v>
          </cell>
          <cell r="P1299">
            <v>0</v>
          </cell>
          <cell r="Q1299" t="str">
            <v>P22</v>
          </cell>
          <cell r="R1299">
            <v>1</v>
          </cell>
          <cell r="S1299">
            <v>1</v>
          </cell>
          <cell r="T1299">
            <v>326.45492000000002</v>
          </cell>
          <cell r="U1299">
            <v>326.45492000000002</v>
          </cell>
        </row>
        <row r="1300">
          <cell r="B1300" t="str">
            <v>V17551-PIND-0141-09</v>
          </cell>
          <cell r="C1300" t="str">
            <v>PROD/25-26/13027</v>
          </cell>
          <cell r="D1300" t="str">
            <v/>
          </cell>
          <cell r="E1300" t="str">
            <v>TJ/25-26/184-P22</v>
          </cell>
          <cell r="F1300" t="str">
            <v>P5</v>
          </cell>
          <cell r="G1300">
            <v>0</v>
          </cell>
          <cell r="H1300">
            <v>9</v>
          </cell>
          <cell r="I1300" t="str">
            <v>No</v>
          </cell>
          <cell r="J1300" t="str">
            <v/>
          </cell>
          <cell r="K1300" t="str">
            <v>No</v>
          </cell>
          <cell r="L1300" t="str">
            <v/>
          </cell>
          <cell r="M1300" t="str">
            <v/>
          </cell>
          <cell r="N1300" t="str">
            <v>Spool</v>
          </cell>
          <cell r="O1300">
            <v>0</v>
          </cell>
          <cell r="P1300">
            <v>0</v>
          </cell>
          <cell r="Q1300" t="str">
            <v>P91</v>
          </cell>
          <cell r="R1300">
            <v>1</v>
          </cell>
          <cell r="S1300">
            <v>1</v>
          </cell>
          <cell r="T1300">
            <v>153.87413000000001</v>
          </cell>
          <cell r="U1300">
            <v>153.87413000000001</v>
          </cell>
        </row>
        <row r="1301">
          <cell r="B1301" t="str">
            <v>V17551-PIND-0499-09</v>
          </cell>
          <cell r="C1301" t="str">
            <v>PROD/25-26/13894</v>
          </cell>
          <cell r="D1301" t="str">
            <v/>
          </cell>
          <cell r="E1301" t="str">
            <v>TJ/25-26/184-CS</v>
          </cell>
          <cell r="F1301" t="str">
            <v>P5</v>
          </cell>
          <cell r="G1301">
            <v>0</v>
          </cell>
          <cell r="H1301">
            <v>9</v>
          </cell>
          <cell r="I1301" t="str">
            <v>Yes</v>
          </cell>
          <cell r="J1301" t="str">
            <v/>
          </cell>
          <cell r="K1301" t="str">
            <v>No</v>
          </cell>
          <cell r="L1301" t="str">
            <v/>
          </cell>
          <cell r="M1301" t="str">
            <v/>
          </cell>
          <cell r="N1301" t="str">
            <v>Spool</v>
          </cell>
          <cell r="O1301">
            <v>0</v>
          </cell>
          <cell r="P1301">
            <v>0</v>
          </cell>
          <cell r="Q1301" t="str">
            <v>CS</v>
          </cell>
          <cell r="R1301">
            <v>1</v>
          </cell>
          <cell r="S1301">
            <v>1</v>
          </cell>
          <cell r="T1301">
            <v>7.94496</v>
          </cell>
          <cell r="U1301">
            <v>7.94496</v>
          </cell>
        </row>
        <row r="1302">
          <cell r="B1302" t="str">
            <v>SIP-1147-01</v>
          </cell>
          <cell r="C1302" t="str">
            <v>PROD/25-26/13713</v>
          </cell>
          <cell r="D1302" t="str">
            <v/>
          </cell>
          <cell r="E1302" t="str">
            <v>TJ/25-26/184-CS</v>
          </cell>
          <cell r="F1302" t="str">
            <v>P1</v>
          </cell>
          <cell r="G1302">
            <v>0</v>
          </cell>
          <cell r="H1302">
            <v>10</v>
          </cell>
          <cell r="I1302" t="str">
            <v>Yes</v>
          </cell>
          <cell r="J1302" t="str">
            <v/>
          </cell>
          <cell r="K1302" t="str">
            <v>No</v>
          </cell>
          <cell r="L1302" t="str">
            <v/>
          </cell>
          <cell r="M1302" t="str">
            <v/>
          </cell>
          <cell r="N1302" t="str">
            <v>Spool</v>
          </cell>
          <cell r="O1302">
            <v>0</v>
          </cell>
          <cell r="P1302">
            <v>0</v>
          </cell>
          <cell r="Q1302" t="str">
            <v>CS</v>
          </cell>
          <cell r="R1302">
            <v>1</v>
          </cell>
          <cell r="S1302">
            <v>1</v>
          </cell>
          <cell r="T1302">
            <v>4.04833</v>
          </cell>
          <cell r="U1302">
            <v>4.04833</v>
          </cell>
        </row>
        <row r="1303">
          <cell r="B1303" t="str">
            <v>V17551-PIND-0087-10</v>
          </cell>
          <cell r="C1303" t="str">
            <v>PROD/25-26/06827</v>
          </cell>
          <cell r="D1303" t="str">
            <v>S-5107</v>
          </cell>
          <cell r="E1303" t="str">
            <v>TJ/25-26/184-CS</v>
          </cell>
          <cell r="F1303" t="str">
            <v>P5</v>
          </cell>
          <cell r="G1303">
            <v>0</v>
          </cell>
          <cell r="H1303">
            <v>10</v>
          </cell>
          <cell r="I1303" t="str">
            <v>Yes</v>
          </cell>
          <cell r="J1303" t="str">
            <v/>
          </cell>
          <cell r="K1303" t="str">
            <v>No</v>
          </cell>
          <cell r="L1303" t="str">
            <v/>
          </cell>
          <cell r="M1303" t="str">
            <v/>
          </cell>
          <cell r="N1303" t="str">
            <v>Spool</v>
          </cell>
          <cell r="O1303">
            <v>0</v>
          </cell>
          <cell r="P1303">
            <v>0</v>
          </cell>
          <cell r="Q1303" t="str">
            <v>CS</v>
          </cell>
          <cell r="R1303">
            <v>1</v>
          </cell>
          <cell r="S1303">
            <v>1</v>
          </cell>
          <cell r="T1303">
            <v>370.62619000000001</v>
          </cell>
          <cell r="U1303">
            <v>370.62619000000001</v>
          </cell>
        </row>
        <row r="1304">
          <cell r="B1304" t="str">
            <v>V17551-PIND-0136-10</v>
          </cell>
          <cell r="C1304" t="str">
            <v>PROD/25-26/13028</v>
          </cell>
          <cell r="D1304" t="str">
            <v/>
          </cell>
          <cell r="E1304" t="str">
            <v>TJ/25-26/184-P22</v>
          </cell>
          <cell r="F1304" t="str">
            <v>P5</v>
          </cell>
          <cell r="G1304">
            <v>0</v>
          </cell>
          <cell r="H1304">
            <v>10</v>
          </cell>
          <cell r="I1304" t="str">
            <v>No</v>
          </cell>
          <cell r="J1304" t="str">
            <v/>
          </cell>
          <cell r="K1304" t="str">
            <v>No</v>
          </cell>
          <cell r="L1304" t="str">
            <v/>
          </cell>
          <cell r="M1304" t="str">
            <v/>
          </cell>
          <cell r="N1304" t="str">
            <v>Spool</v>
          </cell>
          <cell r="O1304">
            <v>0</v>
          </cell>
          <cell r="P1304">
            <v>0</v>
          </cell>
          <cell r="Q1304" t="str">
            <v>P22</v>
          </cell>
          <cell r="R1304">
            <v>1</v>
          </cell>
          <cell r="S1304">
            <v>1</v>
          </cell>
          <cell r="T1304">
            <v>82.990250000000003</v>
          </cell>
          <cell r="U1304">
            <v>82.990250000000003</v>
          </cell>
        </row>
        <row r="1305">
          <cell r="B1305" t="str">
            <v>V17551-PIND-0140-10</v>
          </cell>
          <cell r="C1305" t="str">
            <v>PROD/25-26/06823</v>
          </cell>
          <cell r="D1305" t="str">
            <v>S-5219</v>
          </cell>
          <cell r="E1305" t="str">
            <v>TJ/25-26/184-P22</v>
          </cell>
          <cell r="F1305" t="str">
            <v>P5</v>
          </cell>
          <cell r="G1305">
            <v>0</v>
          </cell>
          <cell r="H1305">
            <v>10</v>
          </cell>
          <cell r="I1305" t="str">
            <v>Yes</v>
          </cell>
          <cell r="J1305" t="str">
            <v/>
          </cell>
          <cell r="K1305" t="str">
            <v>No</v>
          </cell>
          <cell r="L1305" t="str">
            <v/>
          </cell>
          <cell r="M1305" t="str">
            <v/>
          </cell>
          <cell r="N1305" t="str">
            <v>Spool</v>
          </cell>
          <cell r="O1305">
            <v>0</v>
          </cell>
          <cell r="P1305">
            <v>0</v>
          </cell>
          <cell r="Q1305" t="str">
            <v>P22</v>
          </cell>
          <cell r="R1305">
            <v>1</v>
          </cell>
          <cell r="S1305">
            <v>1</v>
          </cell>
          <cell r="T1305">
            <v>326.45492000000002</v>
          </cell>
          <cell r="U1305">
            <v>326.45492000000002</v>
          </cell>
        </row>
        <row r="1306">
          <cell r="B1306" t="str">
            <v>V17551-PIND-0141-10</v>
          </cell>
          <cell r="C1306" t="str">
            <v>PROD/25-26/13027</v>
          </cell>
          <cell r="D1306" t="str">
            <v/>
          </cell>
          <cell r="E1306" t="str">
            <v>TJ/25-26/184-P22</v>
          </cell>
          <cell r="F1306" t="str">
            <v>P5</v>
          </cell>
          <cell r="G1306">
            <v>0</v>
          </cell>
          <cell r="H1306">
            <v>10</v>
          </cell>
          <cell r="I1306" t="str">
            <v>No</v>
          </cell>
          <cell r="J1306" t="str">
            <v/>
          </cell>
          <cell r="K1306" t="str">
            <v>No</v>
          </cell>
          <cell r="L1306" t="str">
            <v/>
          </cell>
          <cell r="M1306" t="str">
            <v/>
          </cell>
          <cell r="N1306" t="str">
            <v>Spool</v>
          </cell>
          <cell r="O1306">
            <v>0</v>
          </cell>
          <cell r="P1306">
            <v>0</v>
          </cell>
          <cell r="Q1306" t="str">
            <v>P91</v>
          </cell>
          <cell r="R1306">
            <v>1</v>
          </cell>
          <cell r="S1306">
            <v>1</v>
          </cell>
          <cell r="T1306">
            <v>153.87413000000001</v>
          </cell>
          <cell r="U1306">
            <v>153.87413000000001</v>
          </cell>
        </row>
        <row r="1307">
          <cell r="B1307" t="str">
            <v>SLP-1217-01</v>
          </cell>
          <cell r="C1307" t="str">
            <v>PROD/25-26/13713</v>
          </cell>
          <cell r="D1307" t="str">
            <v/>
          </cell>
          <cell r="E1307" t="str">
            <v>TJ/25-26/184-CS</v>
          </cell>
          <cell r="F1307" t="str">
            <v>P1</v>
          </cell>
          <cell r="G1307">
            <v>0</v>
          </cell>
          <cell r="H1307">
            <v>11</v>
          </cell>
          <cell r="I1307" t="str">
            <v>Yes</v>
          </cell>
          <cell r="J1307" t="str">
            <v/>
          </cell>
          <cell r="K1307" t="str">
            <v>No</v>
          </cell>
          <cell r="L1307" t="str">
            <v/>
          </cell>
          <cell r="M1307" t="str">
            <v/>
          </cell>
          <cell r="N1307" t="str">
            <v>Spool</v>
          </cell>
          <cell r="O1307">
            <v>0</v>
          </cell>
          <cell r="P1307">
            <v>0</v>
          </cell>
          <cell r="Q1307" t="str">
            <v>CS</v>
          </cell>
          <cell r="R1307">
            <v>1</v>
          </cell>
          <cell r="S1307">
            <v>1</v>
          </cell>
          <cell r="T1307">
            <v>4.1683300000000001</v>
          </cell>
          <cell r="U1307">
            <v>4.1683300000000001</v>
          </cell>
        </row>
        <row r="1308">
          <cell r="B1308" t="str">
            <v>V17551-PIND-0087-11</v>
          </cell>
          <cell r="C1308" t="str">
            <v>PROD/25-26/08078</v>
          </cell>
          <cell r="D1308" t="str">
            <v>S-5108</v>
          </cell>
          <cell r="E1308" t="str">
            <v>TJ/25-26/184-CS</v>
          </cell>
          <cell r="F1308" t="str">
            <v>P5</v>
          </cell>
          <cell r="G1308">
            <v>0</v>
          </cell>
          <cell r="H1308">
            <v>11</v>
          </cell>
          <cell r="I1308" t="str">
            <v>Yes</v>
          </cell>
          <cell r="J1308" t="str">
            <v/>
          </cell>
          <cell r="K1308" t="str">
            <v>No</v>
          </cell>
          <cell r="L1308" t="str">
            <v/>
          </cell>
          <cell r="M1308" t="str">
            <v/>
          </cell>
          <cell r="N1308" t="str">
            <v>Spool</v>
          </cell>
          <cell r="O1308">
            <v>0</v>
          </cell>
          <cell r="P1308">
            <v>0</v>
          </cell>
          <cell r="Q1308" t="str">
            <v>CS</v>
          </cell>
          <cell r="R1308">
            <v>1</v>
          </cell>
          <cell r="S1308">
            <v>1</v>
          </cell>
          <cell r="T1308">
            <v>190.80914999999999</v>
          </cell>
          <cell r="U1308">
            <v>190.80914999999999</v>
          </cell>
        </row>
        <row r="1309">
          <cell r="B1309" t="str">
            <v>V17551-PIND-0140-11</v>
          </cell>
          <cell r="C1309" t="str">
            <v>PROD/25-26/06823</v>
          </cell>
          <cell r="D1309" t="str">
            <v>S-5220</v>
          </cell>
          <cell r="E1309" t="str">
            <v>TJ/25-26/184-P22</v>
          </cell>
          <cell r="F1309" t="str">
            <v>P5</v>
          </cell>
          <cell r="G1309">
            <v>0</v>
          </cell>
          <cell r="H1309">
            <v>11</v>
          </cell>
          <cell r="I1309" t="str">
            <v>Yes</v>
          </cell>
          <cell r="J1309" t="str">
            <v/>
          </cell>
          <cell r="K1309" t="str">
            <v>No</v>
          </cell>
          <cell r="L1309" t="str">
            <v/>
          </cell>
          <cell r="M1309" t="str">
            <v/>
          </cell>
          <cell r="N1309" t="str">
            <v>Spool</v>
          </cell>
          <cell r="O1309">
            <v>0</v>
          </cell>
          <cell r="P1309">
            <v>0</v>
          </cell>
          <cell r="Q1309" t="str">
            <v>P22</v>
          </cell>
          <cell r="R1309">
            <v>1</v>
          </cell>
          <cell r="S1309">
            <v>1</v>
          </cell>
          <cell r="T1309">
            <v>326.45492000000002</v>
          </cell>
          <cell r="U1309">
            <v>326.45492000000002</v>
          </cell>
        </row>
        <row r="1310">
          <cell r="B1310" t="str">
            <v>SLP-1218-01</v>
          </cell>
          <cell r="C1310" t="str">
            <v>PROD/25-26/13713</v>
          </cell>
          <cell r="D1310" t="str">
            <v/>
          </cell>
          <cell r="E1310" t="str">
            <v>TJ/25-26/184-CS</v>
          </cell>
          <cell r="F1310" t="str">
            <v>P1</v>
          </cell>
          <cell r="G1310">
            <v>0</v>
          </cell>
          <cell r="H1310">
            <v>12</v>
          </cell>
          <cell r="I1310" t="str">
            <v>Yes</v>
          </cell>
          <cell r="J1310" t="str">
            <v/>
          </cell>
          <cell r="K1310" t="str">
            <v>No</v>
          </cell>
          <cell r="L1310" t="str">
            <v/>
          </cell>
          <cell r="M1310" t="str">
            <v/>
          </cell>
          <cell r="N1310" t="str">
            <v>Spool</v>
          </cell>
          <cell r="O1310">
            <v>0</v>
          </cell>
          <cell r="P1310">
            <v>0</v>
          </cell>
          <cell r="Q1310" t="str">
            <v>CS</v>
          </cell>
          <cell r="R1310">
            <v>1</v>
          </cell>
          <cell r="S1310">
            <v>1</v>
          </cell>
          <cell r="T1310">
            <v>4.1683300000000001</v>
          </cell>
          <cell r="U1310">
            <v>4.1683300000000001</v>
          </cell>
        </row>
        <row r="1311">
          <cell r="B1311" t="str">
            <v>V17551-PIND-0087-12</v>
          </cell>
          <cell r="C1311" t="str">
            <v>PROD/25-26/06827</v>
          </cell>
          <cell r="D1311" t="str">
            <v>S-5109</v>
          </cell>
          <cell r="E1311" t="str">
            <v>TJ/25-26/184-CS</v>
          </cell>
          <cell r="F1311" t="str">
            <v>P5</v>
          </cell>
          <cell r="G1311">
            <v>0</v>
          </cell>
          <cell r="H1311">
            <v>12</v>
          </cell>
          <cell r="I1311" t="str">
            <v>Yes</v>
          </cell>
          <cell r="J1311" t="str">
            <v/>
          </cell>
          <cell r="K1311" t="str">
            <v>No</v>
          </cell>
          <cell r="L1311" t="str">
            <v/>
          </cell>
          <cell r="M1311" t="str">
            <v/>
          </cell>
          <cell r="N1311" t="str">
            <v>Spool</v>
          </cell>
          <cell r="O1311">
            <v>0</v>
          </cell>
          <cell r="P1311">
            <v>0</v>
          </cell>
          <cell r="Q1311" t="str">
            <v>CS</v>
          </cell>
          <cell r="R1311">
            <v>1</v>
          </cell>
          <cell r="S1311">
            <v>1</v>
          </cell>
          <cell r="T1311">
            <v>370.62619000000001</v>
          </cell>
          <cell r="U1311">
            <v>370.62619000000001</v>
          </cell>
        </row>
        <row r="1312">
          <cell r="B1312" t="str">
            <v>SLP-1219-01</v>
          </cell>
          <cell r="C1312" t="str">
            <v>PROD/25-26/13713</v>
          </cell>
          <cell r="D1312" t="str">
            <v/>
          </cell>
          <cell r="E1312" t="str">
            <v>TJ/25-26/184-CS</v>
          </cell>
          <cell r="F1312" t="str">
            <v>P1</v>
          </cell>
          <cell r="G1312">
            <v>0</v>
          </cell>
          <cell r="H1312">
            <v>13</v>
          </cell>
          <cell r="I1312" t="str">
            <v>Yes</v>
          </cell>
          <cell r="J1312" t="str">
            <v/>
          </cell>
          <cell r="K1312" t="str">
            <v>No</v>
          </cell>
          <cell r="L1312" t="str">
            <v/>
          </cell>
          <cell r="M1312" t="str">
            <v/>
          </cell>
          <cell r="N1312" t="str">
            <v>Spool</v>
          </cell>
          <cell r="O1312">
            <v>0</v>
          </cell>
          <cell r="P1312">
            <v>0</v>
          </cell>
          <cell r="Q1312" t="str">
            <v>CS</v>
          </cell>
          <cell r="R1312">
            <v>1</v>
          </cell>
          <cell r="S1312">
            <v>1</v>
          </cell>
          <cell r="T1312">
            <v>4.1683300000000001</v>
          </cell>
          <cell r="U1312">
            <v>4.1683300000000001</v>
          </cell>
        </row>
        <row r="1313">
          <cell r="B1313" t="str">
            <v>SLP-1246-01</v>
          </cell>
          <cell r="C1313" t="str">
            <v>PROD/25-26/13713</v>
          </cell>
          <cell r="D1313" t="str">
            <v/>
          </cell>
          <cell r="E1313" t="str">
            <v>TJ/25-26/184-CS</v>
          </cell>
          <cell r="F1313" t="str">
            <v>P1</v>
          </cell>
          <cell r="G1313">
            <v>0</v>
          </cell>
          <cell r="H1313">
            <v>14</v>
          </cell>
          <cell r="I1313" t="str">
            <v>Yes</v>
          </cell>
          <cell r="J1313" t="str">
            <v/>
          </cell>
          <cell r="K1313" t="str">
            <v>No</v>
          </cell>
          <cell r="L1313" t="str">
            <v/>
          </cell>
          <cell r="M1313" t="str">
            <v/>
          </cell>
          <cell r="N1313" t="str">
            <v>Spool</v>
          </cell>
          <cell r="O1313">
            <v>0</v>
          </cell>
          <cell r="P1313">
            <v>0</v>
          </cell>
          <cell r="Q1313" t="str">
            <v>CS</v>
          </cell>
          <cell r="R1313">
            <v>1</v>
          </cell>
          <cell r="S1313">
            <v>1</v>
          </cell>
          <cell r="T1313">
            <v>4.04833</v>
          </cell>
          <cell r="U1313">
            <v>4.04833</v>
          </cell>
        </row>
        <row r="1314">
          <cell r="B1314" t="str">
            <v>SLP-1247-01</v>
          </cell>
          <cell r="C1314" t="str">
            <v>PROD/25-26/13713</v>
          </cell>
          <cell r="D1314" t="str">
            <v/>
          </cell>
          <cell r="E1314" t="str">
            <v>TJ/25-26/184-CS</v>
          </cell>
          <cell r="F1314" t="str">
            <v>P1</v>
          </cell>
          <cell r="G1314">
            <v>0</v>
          </cell>
          <cell r="H1314">
            <v>15</v>
          </cell>
          <cell r="I1314" t="str">
            <v>Yes</v>
          </cell>
          <cell r="J1314" t="str">
            <v/>
          </cell>
          <cell r="K1314" t="str">
            <v>No</v>
          </cell>
          <cell r="L1314" t="str">
            <v/>
          </cell>
          <cell r="M1314" t="str">
            <v/>
          </cell>
          <cell r="N1314" t="str">
            <v>Spool</v>
          </cell>
          <cell r="O1314">
            <v>0</v>
          </cell>
          <cell r="P1314">
            <v>0</v>
          </cell>
          <cell r="Q1314" t="str">
            <v>CS</v>
          </cell>
          <cell r="R1314">
            <v>1</v>
          </cell>
          <cell r="S1314">
            <v>1</v>
          </cell>
          <cell r="T1314">
            <v>4.04833</v>
          </cell>
          <cell r="U1314">
            <v>4.04833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vDataRegion" displayName="NavDataRegion" ref="A2:Q1316" totalsRowShown="0" headerRowDxfId="46" dataDxfId="44" headerRowBorderDxfId="45">
  <autoFilter ref="A2:Q1316" xr:uid="{00000000-0009-0000-0100-000001000000}"/>
  <tableColumns count="17">
    <tableColumn id="1" xr3:uid="{00000000-0010-0000-0000-000001000000}" name="Project Code" dataDxfId="43"/>
    <tableColumn id="3" xr3:uid="{00000000-0010-0000-0000-000003000000}" name="Drawing No." dataDxfId="42"/>
    <tableColumn id="6" xr3:uid="{00000000-0010-0000-0000-000006000000}" name="Spool No" dataDxfId="41"/>
    <tableColumn id="8" xr3:uid="{E96422FD-E1EF-4B17-8554-0AC9475847CF}" name="Vlookup" dataDxfId="40">
      <calculatedColumnFormula>VLOOKUP(C:C,Vlookup!A:A,1,0)</calculatedColumnFormula>
    </tableColumn>
    <tableColumn id="5" xr3:uid="{F0CB85A3-945F-4672-B545-F9136FC1DA58}" name="Box No" dataDxfId="39"/>
    <tableColumn id="7" xr3:uid="{00000000-0010-0000-0000-000007000000}" name="MSN no." dataDxfId="38"/>
    <tableColumn id="9" xr3:uid="{00000000-0010-0000-0000-000009000000}" name="Paint System" dataDxfId="37"/>
    <tableColumn id="17" xr3:uid="{00000000-0010-0000-0000-000011000000}" name="Description" dataDxfId="36"/>
    <tableColumn id="22" xr3:uid="{00000000-0010-0000-0000-000016000000}" name="Total Qty" dataDxfId="35"/>
    <tableColumn id="13" xr3:uid="{A99A28F7-893D-448E-AA65-BFDEE920ACC0}" name="PDI Date" dataDxfId="34"/>
    <tableColumn id="12" xr3:uid="{66CED965-023A-4B1E-9444-881C0008D134}" name="Packing Date" dataDxfId="33"/>
    <tableColumn id="11" xr3:uid="{7CCD99AC-E9CE-4A8A-84E0-B9C0D5F4EED5}" name="Packing Status" dataDxfId="32"/>
    <tableColumn id="10" xr3:uid="{DADC03D6-582B-4DBE-BA3E-E2C56D6C6C0B}" name="Dispatched Date" dataDxfId="31"/>
    <tableColumn id="4" xr3:uid="{8FE56587-4DD8-4B96-BDE9-60C9DB81963F}" name="Total Wt2" dataDxfId="30">
      <calculatedColumnFormula>VLOOKUP(NavDataRegion[[#This Row],[Spool No]],[1]Sheet2!$B:$U,20,0)</calculatedColumnFormula>
    </tableColumn>
    <tableColumn id="25" xr3:uid="{00000000-0010-0000-0000-000019000000}" name="Inch Dia" dataDxfId="29"/>
    <tableColumn id="27" xr3:uid="{00000000-0010-0000-0000-00001B000000}" name="Spool Size" dataDxfId="28"/>
    <tableColumn id="2" xr3:uid="{44611AD7-45BD-4234-A605-88B254D0EC85}" name="REMARK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.bin"/><Relationship Id="rId13" Type="http://schemas.openxmlformats.org/officeDocument/2006/relationships/customProperty" Target="../customProperty12.bin"/><Relationship Id="rId3" Type="http://schemas.openxmlformats.org/officeDocument/2006/relationships/customProperty" Target="../customProperty2.bin"/><Relationship Id="rId7" Type="http://schemas.openxmlformats.org/officeDocument/2006/relationships/customProperty" Target="../customProperty6.bin"/><Relationship Id="rId12" Type="http://schemas.openxmlformats.org/officeDocument/2006/relationships/customProperty" Target="../customProperty11.bin"/><Relationship Id="rId2" Type="http://schemas.openxmlformats.org/officeDocument/2006/relationships/customProperty" Target="../customProperty1.bin"/><Relationship Id="rId16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11" Type="http://schemas.openxmlformats.org/officeDocument/2006/relationships/customProperty" Target="../customProperty10.bin"/><Relationship Id="rId5" Type="http://schemas.openxmlformats.org/officeDocument/2006/relationships/customProperty" Target="../customProperty4.bin"/><Relationship Id="rId15" Type="http://schemas.openxmlformats.org/officeDocument/2006/relationships/customProperty" Target="../customProperty14.bin"/><Relationship Id="rId10" Type="http://schemas.openxmlformats.org/officeDocument/2006/relationships/customProperty" Target="../customProperty9.bin"/><Relationship Id="rId4" Type="http://schemas.openxmlformats.org/officeDocument/2006/relationships/customProperty" Target="../customProperty3.bin"/><Relationship Id="rId9" Type="http://schemas.openxmlformats.org/officeDocument/2006/relationships/customProperty" Target="../customProperty8.bin"/><Relationship Id="rId14" Type="http://schemas.openxmlformats.org/officeDocument/2006/relationships/customProperty" Target="../customProperty13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625"/>
  <sheetViews>
    <sheetView topLeftCell="D1" zoomScale="112" zoomScaleNormal="112" workbookViewId="0">
      <selection activeCell="D2" sqref="A2:XFD2"/>
    </sheetView>
  </sheetViews>
  <sheetFormatPr defaultRowHeight="15"/>
  <cols>
    <col min="1" max="1" width="14.5703125" customWidth="1"/>
    <col min="2" max="2" width="20.7109375" customWidth="1"/>
    <col min="3" max="3" width="21" customWidth="1"/>
    <col min="4" max="4" width="20.140625" customWidth="1"/>
    <col min="5" max="5" width="15.7109375" bestFit="1" customWidth="1"/>
    <col min="6" max="6" width="10.85546875" hidden="1" customWidth="1"/>
    <col min="7" max="7" width="14.7109375" customWidth="1"/>
    <col min="8" max="10" width="14" customWidth="1"/>
    <col min="11" max="11" width="16.85546875" customWidth="1"/>
    <col min="12" max="12" width="18.28515625" customWidth="1"/>
    <col min="13" max="13" width="20.140625" customWidth="1"/>
    <col min="14" max="14" width="12" customWidth="1"/>
    <col min="15" max="15" width="12.5703125" bestFit="1" customWidth="1"/>
    <col min="16" max="16" width="12.28515625" customWidth="1"/>
    <col min="17" max="17" width="13.140625" bestFit="1" customWidth="1"/>
  </cols>
  <sheetData>
    <row r="1" spans="1:17" ht="17.25" customHeight="1">
      <c r="A1" s="28"/>
      <c r="B1" s="28"/>
      <c r="C1" s="28"/>
      <c r="D1" s="28"/>
      <c r="E1" s="28"/>
      <c r="F1" s="28"/>
      <c r="G1" s="28"/>
      <c r="H1" s="28"/>
      <c r="I1" s="28">
        <f>SUBTOTAL(9,NavDataRegion[Total Qty])</f>
        <v>1314</v>
      </c>
      <c r="J1" s="28"/>
      <c r="K1" s="28"/>
      <c r="L1" s="28"/>
      <c r="M1" s="28"/>
      <c r="N1" s="29">
        <f>SUBTOTAL(9,NavDataRegion[Total Wt2])</f>
        <v>255449.13575576697</v>
      </c>
      <c r="O1" s="28"/>
      <c r="P1" s="28"/>
    </row>
    <row r="2" spans="1:17" ht="24.95" customHeight="1">
      <c r="A2" s="1" t="s">
        <v>0</v>
      </c>
      <c r="B2" s="1" t="s">
        <v>1</v>
      </c>
      <c r="C2" s="1" t="s">
        <v>2</v>
      </c>
      <c r="D2" s="1" t="s">
        <v>826</v>
      </c>
      <c r="E2" s="1" t="s">
        <v>827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828</v>
      </c>
      <c r="K2" s="1" t="s">
        <v>829</v>
      </c>
      <c r="L2" s="1" t="s">
        <v>830</v>
      </c>
      <c r="M2" s="1" t="s">
        <v>831</v>
      </c>
      <c r="N2" s="1" t="s">
        <v>1988</v>
      </c>
      <c r="O2" s="1" t="s">
        <v>7</v>
      </c>
      <c r="P2" s="1" t="s">
        <v>8</v>
      </c>
      <c r="Q2" s="21" t="s">
        <v>1952</v>
      </c>
    </row>
    <row r="3" spans="1:17" ht="20.100000000000001" customHeight="1">
      <c r="A3" s="2" t="s">
        <v>9</v>
      </c>
      <c r="B3" s="2" t="s">
        <v>158</v>
      </c>
      <c r="C3" s="2" t="s">
        <v>530</v>
      </c>
      <c r="D3" s="2" t="e">
        <f>VLOOKUP(C:C,Vlookup!A:A,1,0)</f>
        <v>#N/A</v>
      </c>
      <c r="E3" s="2">
        <v>17</v>
      </c>
      <c r="F3" s="2" t="s">
        <v>10</v>
      </c>
      <c r="G3" s="17" t="s">
        <v>25</v>
      </c>
      <c r="H3" s="2" t="s">
        <v>11</v>
      </c>
      <c r="I3" s="2">
        <v>1</v>
      </c>
      <c r="J3" s="5">
        <v>46101</v>
      </c>
      <c r="K3" s="5">
        <v>46104</v>
      </c>
      <c r="L3" s="2" t="s">
        <v>865</v>
      </c>
      <c r="M3" s="5">
        <v>45754</v>
      </c>
      <c r="N3" s="3">
        <f>VLOOKUP(NavDataRegion[[#This Row],[Spool No]],[1]Sheet2!$B:$U,20,0)</f>
        <v>60.38</v>
      </c>
      <c r="O3" s="2">
        <v>0</v>
      </c>
      <c r="P3" s="2">
        <v>4</v>
      </c>
      <c r="Q3" s="20"/>
    </row>
    <row r="4" spans="1:17" ht="20.100000000000001" customHeight="1">
      <c r="A4" s="2" t="s">
        <v>9</v>
      </c>
      <c r="B4" s="2" t="s">
        <v>195</v>
      </c>
      <c r="C4" s="2" t="s">
        <v>549</v>
      </c>
      <c r="D4" s="2" t="e">
        <f>VLOOKUP(C:C,Vlookup!A:A,1,0)</f>
        <v>#N/A</v>
      </c>
      <c r="E4" s="2">
        <v>17</v>
      </c>
      <c r="F4" s="2" t="s">
        <v>10</v>
      </c>
      <c r="G4" s="17" t="s">
        <v>25</v>
      </c>
      <c r="H4" s="2" t="s">
        <v>11</v>
      </c>
      <c r="I4" s="2">
        <v>1</v>
      </c>
      <c r="J4" s="5">
        <v>46101</v>
      </c>
      <c r="K4" s="5">
        <v>46104</v>
      </c>
      <c r="L4" s="2" t="s">
        <v>865</v>
      </c>
      <c r="M4" s="5">
        <v>45754</v>
      </c>
      <c r="N4" s="3">
        <f>VLOOKUP(NavDataRegion[[#This Row],[Spool No]],[1]Sheet2!$B:$U,20,0)</f>
        <v>33</v>
      </c>
      <c r="O4" s="2">
        <v>0</v>
      </c>
      <c r="P4" s="2">
        <v>4</v>
      </c>
      <c r="Q4" s="20"/>
    </row>
    <row r="5" spans="1:17" ht="20.100000000000001" customHeight="1">
      <c r="A5" s="2" t="s">
        <v>9</v>
      </c>
      <c r="B5" s="2" t="s">
        <v>169</v>
      </c>
      <c r="C5" s="2" t="s">
        <v>537</v>
      </c>
      <c r="D5" s="2" t="e">
        <f>VLOOKUP(C:C,Vlookup!A:A,1,0)</f>
        <v>#N/A</v>
      </c>
      <c r="E5" s="2">
        <v>18</v>
      </c>
      <c r="F5" s="2" t="s">
        <v>10</v>
      </c>
      <c r="G5" s="2" t="s">
        <v>16</v>
      </c>
      <c r="H5" s="2" t="s">
        <v>11</v>
      </c>
      <c r="I5" s="2">
        <v>1</v>
      </c>
      <c r="J5" s="5">
        <v>46111</v>
      </c>
      <c r="K5" s="5">
        <v>46113</v>
      </c>
      <c r="L5" s="2" t="s">
        <v>865</v>
      </c>
      <c r="M5" s="5">
        <v>45754</v>
      </c>
      <c r="N5" s="3">
        <f>VLOOKUP(NavDataRegion[[#This Row],[Spool No]],[1]Sheet2!$B:$U,20,0)</f>
        <v>156.84352999999999</v>
      </c>
      <c r="O5" s="2">
        <v>8</v>
      </c>
      <c r="P5" s="2">
        <v>4</v>
      </c>
      <c r="Q5" s="2"/>
    </row>
    <row r="6" spans="1:17" ht="20.100000000000001" customHeight="1">
      <c r="A6" s="2" t="s">
        <v>9</v>
      </c>
      <c r="B6" s="2" t="s">
        <v>347</v>
      </c>
      <c r="C6" s="2" t="s">
        <v>348</v>
      </c>
      <c r="D6" s="2" t="e">
        <f>VLOOKUP(C:C,Vlookup!A:A,1,0)</f>
        <v>#N/A</v>
      </c>
      <c r="E6" s="2">
        <v>5</v>
      </c>
      <c r="F6" s="2" t="s">
        <v>10</v>
      </c>
      <c r="G6" s="2" t="s">
        <v>25</v>
      </c>
      <c r="H6" s="2" t="s">
        <v>11</v>
      </c>
      <c r="I6" s="2">
        <v>1</v>
      </c>
      <c r="J6" s="5">
        <v>46010</v>
      </c>
      <c r="K6" s="5">
        <v>46013</v>
      </c>
      <c r="L6" s="2" t="s">
        <v>865</v>
      </c>
      <c r="M6" s="5">
        <v>46090</v>
      </c>
      <c r="N6" s="3">
        <f>VLOOKUP(NavDataRegion[[#This Row],[Spool No]],[1]Sheet2!$B:$U,20,0)</f>
        <v>2.9470299999999998</v>
      </c>
      <c r="O6" s="2">
        <v>2.5</v>
      </c>
      <c r="P6" s="2">
        <v>2.5</v>
      </c>
      <c r="Q6" s="2"/>
    </row>
    <row r="7" spans="1:17" ht="20.100000000000001" customHeight="1">
      <c r="A7" s="2" t="s">
        <v>9</v>
      </c>
      <c r="B7" s="2" t="s">
        <v>349</v>
      </c>
      <c r="C7" s="2" t="s">
        <v>350</v>
      </c>
      <c r="D7" s="2" t="e">
        <f>VLOOKUP(C:C,Vlookup!A:A,1,0)</f>
        <v>#N/A</v>
      </c>
      <c r="E7" s="2">
        <v>5</v>
      </c>
      <c r="F7" s="2" t="s">
        <v>10</v>
      </c>
      <c r="G7" s="2" t="s">
        <v>25</v>
      </c>
      <c r="H7" s="2" t="s">
        <v>11</v>
      </c>
      <c r="I7" s="2">
        <v>1</v>
      </c>
      <c r="J7" s="5">
        <v>46010</v>
      </c>
      <c r="K7" s="5">
        <v>46013</v>
      </c>
      <c r="L7" s="2" t="s">
        <v>865</v>
      </c>
      <c r="M7" s="5">
        <v>46090</v>
      </c>
      <c r="N7" s="3">
        <f>VLOOKUP(NavDataRegion[[#This Row],[Spool No]],[1]Sheet2!$B:$U,20,0)</f>
        <v>3.39202</v>
      </c>
      <c r="O7" s="2">
        <v>2.5</v>
      </c>
      <c r="P7" s="2">
        <v>2.5</v>
      </c>
      <c r="Q7" s="2"/>
    </row>
    <row r="8" spans="1:17" ht="20.100000000000001" customHeight="1">
      <c r="A8" s="2" t="s">
        <v>9</v>
      </c>
      <c r="B8" s="2" t="s">
        <v>905</v>
      </c>
      <c r="C8" s="2" t="s">
        <v>906</v>
      </c>
      <c r="D8" s="2" t="e">
        <f>VLOOKUP(C:C,Vlookup!A:A,1,0)</f>
        <v>#N/A</v>
      </c>
      <c r="E8" s="2">
        <v>16</v>
      </c>
      <c r="F8" s="17" t="s">
        <v>10</v>
      </c>
      <c r="G8" s="17" t="s">
        <v>281</v>
      </c>
      <c r="H8" s="2" t="s">
        <v>11</v>
      </c>
      <c r="I8" s="2">
        <v>1</v>
      </c>
      <c r="J8" s="5">
        <v>46113</v>
      </c>
      <c r="K8" s="5">
        <v>46118</v>
      </c>
      <c r="L8" s="2" t="s">
        <v>865</v>
      </c>
      <c r="M8" s="5">
        <v>46167</v>
      </c>
      <c r="N8" s="3">
        <f>VLOOKUP(NavDataRegion[[#This Row],[Spool No]],[1]Sheet2!$B:$U,20,0)</f>
        <v>4.2956200000000004</v>
      </c>
      <c r="O8" s="2">
        <v>1.5</v>
      </c>
      <c r="P8" s="2">
        <v>0.5</v>
      </c>
      <c r="Q8" s="2"/>
    </row>
    <row r="9" spans="1:17" ht="20.100000000000001" customHeight="1">
      <c r="A9" s="2" t="s">
        <v>9</v>
      </c>
      <c r="B9" s="2" t="s">
        <v>347</v>
      </c>
      <c r="C9" s="2" t="s">
        <v>490</v>
      </c>
      <c r="D9" s="2" t="e">
        <f>VLOOKUP(C:C,Vlookup!A:A,1,0)</f>
        <v>#N/A</v>
      </c>
      <c r="E9" s="2">
        <v>9</v>
      </c>
      <c r="F9" s="2" t="s">
        <v>10</v>
      </c>
      <c r="G9" s="2" t="s">
        <v>25</v>
      </c>
      <c r="H9" s="2" t="s">
        <v>11</v>
      </c>
      <c r="I9" s="2">
        <v>1</v>
      </c>
      <c r="J9" s="5">
        <v>46049</v>
      </c>
      <c r="K9" s="5">
        <v>46050</v>
      </c>
      <c r="L9" s="2" t="s">
        <v>865</v>
      </c>
      <c r="M9" s="5">
        <v>46091</v>
      </c>
      <c r="N9" s="3">
        <f>VLOOKUP(NavDataRegion[[#This Row],[Spool No]],[1]Sheet2!$B:$U,20,0)</f>
        <v>67.294675760000004</v>
      </c>
      <c r="O9" s="2">
        <v>10.5</v>
      </c>
      <c r="P9" s="2">
        <v>2.5</v>
      </c>
      <c r="Q9" s="2"/>
    </row>
    <row r="10" spans="1:17" ht="20.100000000000001" customHeight="1">
      <c r="A10" s="2" t="s">
        <v>9</v>
      </c>
      <c r="B10" s="2" t="s">
        <v>26</v>
      </c>
      <c r="C10" s="2" t="s">
        <v>27</v>
      </c>
      <c r="D10" s="2" t="e">
        <f>VLOOKUP(C:C,Vlookup!A:A,1,0)</f>
        <v>#N/A</v>
      </c>
      <c r="E10" s="2">
        <v>2</v>
      </c>
      <c r="F10" s="2" t="s">
        <v>10</v>
      </c>
      <c r="G10" s="2" t="s">
        <v>25</v>
      </c>
      <c r="H10" s="2" t="s">
        <v>11</v>
      </c>
      <c r="I10" s="2">
        <v>1</v>
      </c>
      <c r="J10" s="5">
        <v>45981</v>
      </c>
      <c r="K10" s="5">
        <v>45982</v>
      </c>
      <c r="L10" s="2" t="s">
        <v>865</v>
      </c>
      <c r="M10" s="5">
        <v>46090</v>
      </c>
      <c r="N10" s="3">
        <f>VLOOKUP(NavDataRegion[[#This Row],[Spool No]],[1]Sheet2!$B:$U,20,0)</f>
        <v>166.63911999999999</v>
      </c>
      <c r="O10" s="2">
        <v>150</v>
      </c>
      <c r="P10" s="2">
        <v>6</v>
      </c>
      <c r="Q10" s="2"/>
    </row>
    <row r="11" spans="1:17" ht="20.100000000000001" customHeight="1">
      <c r="A11" s="2" t="s">
        <v>9</v>
      </c>
      <c r="B11" s="2" t="s">
        <v>349</v>
      </c>
      <c r="C11" s="2" t="s">
        <v>491</v>
      </c>
      <c r="D11" s="2" t="e">
        <f>VLOOKUP(C:C,Vlookup!A:A,1,0)</f>
        <v>#N/A</v>
      </c>
      <c r="E11" s="2">
        <v>6</v>
      </c>
      <c r="F11" s="2" t="s">
        <v>10</v>
      </c>
      <c r="G11" s="2" t="s">
        <v>25</v>
      </c>
      <c r="H11" s="2" t="s">
        <v>11</v>
      </c>
      <c r="I11" s="2">
        <v>1</v>
      </c>
      <c r="J11" s="5">
        <v>46029</v>
      </c>
      <c r="K11" s="5">
        <v>46029</v>
      </c>
      <c r="L11" s="2" t="s">
        <v>865</v>
      </c>
      <c r="M11" s="5">
        <v>46091</v>
      </c>
      <c r="N11" s="3">
        <f>VLOOKUP(NavDataRegion[[#This Row],[Spool No]],[1]Sheet2!$B:$U,20,0)</f>
        <v>9.6399457599999998</v>
      </c>
      <c r="O11" s="2">
        <v>8</v>
      </c>
      <c r="P11" s="2">
        <v>2.5</v>
      </c>
      <c r="Q11" s="2"/>
    </row>
    <row r="12" spans="1:17" ht="20.100000000000001" customHeight="1">
      <c r="A12" s="2" t="s">
        <v>9</v>
      </c>
      <c r="B12" s="2" t="s">
        <v>1277</v>
      </c>
      <c r="C12" s="2" t="s">
        <v>1278</v>
      </c>
      <c r="D12" s="2" t="e">
        <f>VLOOKUP(C:C,Vlookup!A:A,1,0)</f>
        <v>#N/A</v>
      </c>
      <c r="E12" s="2">
        <v>16</v>
      </c>
      <c r="F12" s="17" t="s">
        <v>10</v>
      </c>
      <c r="G12" s="17" t="s">
        <v>25</v>
      </c>
      <c r="H12" s="2" t="s">
        <v>11</v>
      </c>
      <c r="I12" s="2">
        <v>1</v>
      </c>
      <c r="J12" s="5">
        <v>46113</v>
      </c>
      <c r="K12" s="5">
        <v>46118</v>
      </c>
      <c r="L12" s="2" t="s">
        <v>865</v>
      </c>
      <c r="M12" s="5">
        <v>46167</v>
      </c>
      <c r="N12" s="3">
        <f>VLOOKUP(NavDataRegion[[#This Row],[Spool No]],[1]Sheet2!$B:$U,20,0)</f>
        <v>0.26729999999999998</v>
      </c>
      <c r="O12" s="2">
        <v>0</v>
      </c>
      <c r="P12" s="2">
        <v>0.5</v>
      </c>
      <c r="Q12" s="2"/>
    </row>
    <row r="13" spans="1:17" ht="20.100000000000001" customHeight="1">
      <c r="A13" s="2" t="s">
        <v>9</v>
      </c>
      <c r="B13" s="2" t="s">
        <v>347</v>
      </c>
      <c r="C13" s="2" t="s">
        <v>611</v>
      </c>
      <c r="D13" s="2" t="e">
        <f>VLOOKUP(C:C,Vlookup!A:A,1,0)</f>
        <v>#N/A</v>
      </c>
      <c r="E13" s="2">
        <v>6</v>
      </c>
      <c r="F13" s="2" t="s">
        <v>10</v>
      </c>
      <c r="G13" s="2" t="s">
        <v>25</v>
      </c>
      <c r="H13" s="2" t="s">
        <v>11</v>
      </c>
      <c r="I13" s="2">
        <v>1</v>
      </c>
      <c r="J13" s="5">
        <v>46017</v>
      </c>
      <c r="K13" s="5">
        <v>46027</v>
      </c>
      <c r="L13" s="2" t="s">
        <v>865</v>
      </c>
      <c r="M13" s="5">
        <v>46091</v>
      </c>
      <c r="N13" s="3">
        <f>VLOOKUP(NavDataRegion[[#This Row],[Spool No]],[1]Sheet2!$B:$U,20,0)</f>
        <v>42.520569999999999</v>
      </c>
      <c r="O13" s="2">
        <v>12.5</v>
      </c>
      <c r="P13" s="2">
        <v>2.5</v>
      </c>
      <c r="Q13" s="2"/>
    </row>
    <row r="14" spans="1:17" ht="20.100000000000001" customHeight="1">
      <c r="A14" s="2" t="s">
        <v>9</v>
      </c>
      <c r="B14" s="2" t="s">
        <v>34</v>
      </c>
      <c r="C14" s="2" t="s">
        <v>35</v>
      </c>
      <c r="D14" s="2" t="e">
        <f>VLOOKUP(C:C,Vlookup!A:A,1,0)</f>
        <v>#N/A</v>
      </c>
      <c r="E14" s="2">
        <v>1</v>
      </c>
      <c r="F14" s="2" t="s">
        <v>10</v>
      </c>
      <c r="G14" s="2" t="s">
        <v>25</v>
      </c>
      <c r="H14" s="2" t="s">
        <v>11</v>
      </c>
      <c r="I14" s="2">
        <v>1</v>
      </c>
      <c r="J14" s="5">
        <v>45981</v>
      </c>
      <c r="K14" s="5">
        <v>45982</v>
      </c>
      <c r="L14" s="2" t="s">
        <v>865</v>
      </c>
      <c r="M14" s="5">
        <v>46090</v>
      </c>
      <c r="N14" s="3">
        <f>VLOOKUP(NavDataRegion[[#This Row],[Spool No]],[1]Sheet2!$B:$U,20,0)</f>
        <v>170.67447999999999</v>
      </c>
      <c r="O14" s="2">
        <v>84</v>
      </c>
      <c r="P14" s="2">
        <v>6</v>
      </c>
      <c r="Q14" s="2"/>
    </row>
    <row r="15" spans="1:17" ht="20.100000000000001" customHeight="1">
      <c r="A15" s="2" t="s">
        <v>9</v>
      </c>
      <c r="B15" s="2" t="s">
        <v>349</v>
      </c>
      <c r="C15" s="2" t="s">
        <v>612</v>
      </c>
      <c r="D15" s="2" t="e">
        <f>VLOOKUP(C:C,Vlookup!A:A,1,0)</f>
        <v>#N/A</v>
      </c>
      <c r="E15" s="2">
        <v>5</v>
      </c>
      <c r="F15" s="2" t="s">
        <v>10</v>
      </c>
      <c r="G15" s="2" t="s">
        <v>25</v>
      </c>
      <c r="H15" s="2" t="s">
        <v>11</v>
      </c>
      <c r="I15" s="2">
        <v>1</v>
      </c>
      <c r="J15" s="5">
        <v>46015</v>
      </c>
      <c r="K15" s="5">
        <v>46016</v>
      </c>
      <c r="L15" s="2" t="s">
        <v>865</v>
      </c>
      <c r="M15" s="5">
        <v>46090</v>
      </c>
      <c r="N15" s="3">
        <f>VLOOKUP(NavDataRegion[[#This Row],[Spool No]],[1]Sheet2!$B:$U,20,0)</f>
        <v>97.0976</v>
      </c>
      <c r="O15" s="2">
        <v>5</v>
      </c>
      <c r="P15" s="2">
        <v>2.5</v>
      </c>
      <c r="Q15" s="2"/>
    </row>
    <row r="16" spans="1:17" ht="20.100000000000001" customHeight="1">
      <c r="A16" s="2" t="s">
        <v>9</v>
      </c>
      <c r="B16" s="2" t="s">
        <v>899</v>
      </c>
      <c r="C16" s="2" t="s">
        <v>900</v>
      </c>
      <c r="D16" s="2" t="e">
        <f>VLOOKUP(C:C,Vlookup!A:A,1,0)</f>
        <v>#N/A</v>
      </c>
      <c r="E16" s="2">
        <v>14</v>
      </c>
      <c r="F16" s="17" t="s">
        <v>10</v>
      </c>
      <c r="G16" s="17" t="s">
        <v>25</v>
      </c>
      <c r="H16" s="2" t="s">
        <v>11</v>
      </c>
      <c r="I16" s="2">
        <v>1</v>
      </c>
      <c r="J16" s="5">
        <v>46100</v>
      </c>
      <c r="K16" s="5">
        <v>46101</v>
      </c>
      <c r="L16" s="2" t="s">
        <v>865</v>
      </c>
      <c r="M16" s="5">
        <v>45754</v>
      </c>
      <c r="N16" s="3">
        <f>VLOOKUP(NavDataRegion[[#This Row],[Spool No]],[1]Sheet2!$B:$U,20,0)</f>
        <v>0.96223999999999998</v>
      </c>
      <c r="O16" s="2">
        <v>1</v>
      </c>
      <c r="P16" s="2">
        <v>0.5</v>
      </c>
      <c r="Q16" s="2"/>
    </row>
    <row r="17" spans="1:17" ht="20.100000000000001" customHeight="1">
      <c r="A17" s="2" t="s">
        <v>9</v>
      </c>
      <c r="B17" s="2" t="s">
        <v>1279</v>
      </c>
      <c r="C17" s="2" t="s">
        <v>1280</v>
      </c>
      <c r="D17" s="2" t="e">
        <f>VLOOKUP(C:C,Vlookup!A:A,1,0)</f>
        <v>#N/A</v>
      </c>
      <c r="E17" s="2">
        <v>16</v>
      </c>
      <c r="F17" s="17" t="s">
        <v>10</v>
      </c>
      <c r="G17" s="17" t="s">
        <v>25</v>
      </c>
      <c r="H17" s="2" t="s">
        <v>11</v>
      </c>
      <c r="I17" s="2">
        <v>1</v>
      </c>
      <c r="J17" s="5">
        <v>46113</v>
      </c>
      <c r="K17" s="5">
        <v>46118</v>
      </c>
      <c r="L17" s="2" t="s">
        <v>865</v>
      </c>
      <c r="M17" s="5">
        <v>46167</v>
      </c>
      <c r="N17" s="3">
        <f>VLOOKUP(NavDataRegion[[#This Row],[Spool No]],[1]Sheet2!$B:$U,20,0)</f>
        <v>10.891019999999999</v>
      </c>
      <c r="O17" s="2">
        <v>2.5</v>
      </c>
      <c r="P17" s="2">
        <v>0.5</v>
      </c>
      <c r="Q17" s="2"/>
    </row>
    <row r="18" spans="1:17" ht="20.100000000000001" customHeight="1">
      <c r="A18" s="2" t="s">
        <v>9</v>
      </c>
      <c r="B18" s="2" t="s">
        <v>207</v>
      </c>
      <c r="C18" s="2" t="s">
        <v>208</v>
      </c>
      <c r="D18" s="2" t="e">
        <f>VLOOKUP(C:C,Vlookup!A:A,1,0)</f>
        <v>#N/A</v>
      </c>
      <c r="E18" s="2">
        <v>3</v>
      </c>
      <c r="F18" s="2" t="s">
        <v>209</v>
      </c>
      <c r="G18" s="2" t="s">
        <v>16</v>
      </c>
      <c r="H18" s="2" t="s">
        <v>11</v>
      </c>
      <c r="I18" s="2">
        <v>1</v>
      </c>
      <c r="J18" s="5">
        <v>46003</v>
      </c>
      <c r="K18" s="5">
        <v>46006</v>
      </c>
      <c r="L18" s="2" t="s">
        <v>865</v>
      </c>
      <c r="M18" s="5">
        <v>46090</v>
      </c>
      <c r="N18" s="3">
        <f>VLOOKUP(NavDataRegion[[#This Row],[Spool No]],[1]Sheet2!$B:$U,20,0)</f>
        <v>59.301555151999999</v>
      </c>
      <c r="O18" s="2">
        <v>18.5</v>
      </c>
      <c r="P18" s="2">
        <v>3</v>
      </c>
      <c r="Q18" s="2"/>
    </row>
    <row r="19" spans="1:17" ht="20.100000000000001" customHeight="1">
      <c r="A19" s="2" t="s">
        <v>9</v>
      </c>
      <c r="B19" s="2" t="s">
        <v>210</v>
      </c>
      <c r="C19" s="2" t="s">
        <v>211</v>
      </c>
      <c r="D19" s="2" t="e">
        <f>VLOOKUP(C:C,Vlookup!A:A,1,0)</f>
        <v>#N/A</v>
      </c>
      <c r="E19" s="2">
        <v>3</v>
      </c>
      <c r="F19" s="2" t="s">
        <v>10</v>
      </c>
      <c r="G19" s="2" t="s">
        <v>16</v>
      </c>
      <c r="H19" s="2" t="s">
        <v>11</v>
      </c>
      <c r="I19" s="2">
        <v>1</v>
      </c>
      <c r="J19" s="5">
        <v>45995</v>
      </c>
      <c r="K19" s="5">
        <v>45999</v>
      </c>
      <c r="L19" s="2" t="s">
        <v>865</v>
      </c>
      <c r="M19" s="5">
        <v>46090</v>
      </c>
      <c r="N19" s="3">
        <f>VLOOKUP(NavDataRegion[[#This Row],[Spool No]],[1]Sheet2!$B:$U,20,0)</f>
        <v>24.222290000000001</v>
      </c>
      <c r="O19" s="2">
        <v>6.5</v>
      </c>
      <c r="P19" s="2">
        <v>3</v>
      </c>
      <c r="Q19" s="2"/>
    </row>
    <row r="20" spans="1:17" ht="20.100000000000001" customHeight="1">
      <c r="A20" s="2" t="s">
        <v>9</v>
      </c>
      <c r="B20" s="2" t="s">
        <v>225</v>
      </c>
      <c r="C20" s="2" t="s">
        <v>226</v>
      </c>
      <c r="D20" s="2" t="e">
        <f>VLOOKUP(C:C,Vlookup!A:A,1,0)</f>
        <v>#N/A</v>
      </c>
      <c r="E20" s="2">
        <v>9</v>
      </c>
      <c r="F20" s="2" t="s">
        <v>10</v>
      </c>
      <c r="G20" s="2" t="s">
        <v>16</v>
      </c>
      <c r="H20" s="2" t="s">
        <v>11</v>
      </c>
      <c r="I20" s="2">
        <v>1</v>
      </c>
      <c r="J20" s="5">
        <v>46051</v>
      </c>
      <c r="K20" s="5">
        <v>46055</v>
      </c>
      <c r="L20" s="2" t="s">
        <v>865</v>
      </c>
      <c r="M20" s="5">
        <v>46091</v>
      </c>
      <c r="N20" s="3">
        <f>VLOOKUP(NavDataRegion[[#This Row],[Spool No]],[1]Sheet2!$B:$U,20,0)</f>
        <v>148.184624208</v>
      </c>
      <c r="O20" s="2">
        <v>17.5</v>
      </c>
      <c r="P20" s="2">
        <v>3</v>
      </c>
      <c r="Q20" s="2"/>
    </row>
    <row r="21" spans="1:17" ht="20.100000000000001" customHeight="1">
      <c r="A21" s="2" t="s">
        <v>9</v>
      </c>
      <c r="B21" s="2" t="s">
        <v>293</v>
      </c>
      <c r="C21" s="2" t="s">
        <v>294</v>
      </c>
      <c r="D21" s="2" t="e">
        <f>VLOOKUP(C:C,Vlookup!A:A,1,0)</f>
        <v>#N/A</v>
      </c>
      <c r="E21" s="2">
        <v>7</v>
      </c>
      <c r="F21" s="2" t="s">
        <v>10</v>
      </c>
      <c r="G21" s="2" t="s">
        <v>25</v>
      </c>
      <c r="H21" s="2" t="s">
        <v>11</v>
      </c>
      <c r="I21" s="2">
        <v>1</v>
      </c>
      <c r="J21" s="5">
        <v>46043</v>
      </c>
      <c r="K21" s="5">
        <v>46043</v>
      </c>
      <c r="L21" s="2" t="s">
        <v>865</v>
      </c>
      <c r="M21" s="5">
        <v>46091</v>
      </c>
      <c r="N21" s="3">
        <f>VLOOKUP(NavDataRegion[[#This Row],[Spool No]],[1]Sheet2!$B:$U,20,0)</f>
        <v>21.730170000000001</v>
      </c>
      <c r="O21" s="2">
        <v>21.5</v>
      </c>
      <c r="P21" s="2">
        <v>3</v>
      </c>
      <c r="Q21" s="2"/>
    </row>
    <row r="22" spans="1:17" ht="20.100000000000001" customHeight="1">
      <c r="A22" s="2" t="s">
        <v>9</v>
      </c>
      <c r="B22" s="2" t="s">
        <v>323</v>
      </c>
      <c r="C22" s="2" t="s">
        <v>324</v>
      </c>
      <c r="D22" s="2" t="e">
        <f>VLOOKUP(C:C,Vlookup!A:A,1,0)</f>
        <v>#N/A</v>
      </c>
      <c r="E22" s="2">
        <v>5</v>
      </c>
      <c r="F22" s="2" t="s">
        <v>325</v>
      </c>
      <c r="G22" s="2" t="s">
        <v>25</v>
      </c>
      <c r="H22" s="2" t="s">
        <v>11</v>
      </c>
      <c r="I22" s="2">
        <v>1</v>
      </c>
      <c r="J22" s="5">
        <v>46015</v>
      </c>
      <c r="K22" s="5">
        <v>46016</v>
      </c>
      <c r="L22" s="2" t="s">
        <v>865</v>
      </c>
      <c r="M22" s="5">
        <v>46090</v>
      </c>
      <c r="N22" s="3">
        <f>VLOOKUP(NavDataRegion[[#This Row],[Spool No]],[1]Sheet2!$B:$U,20,0)</f>
        <v>23.0565</v>
      </c>
      <c r="O22" s="2">
        <v>6</v>
      </c>
      <c r="P22" s="2">
        <v>3</v>
      </c>
      <c r="Q22" s="2"/>
    </row>
    <row r="23" spans="1:17" ht="20.100000000000001" customHeight="1">
      <c r="A23" s="2" t="s">
        <v>9</v>
      </c>
      <c r="B23" s="2" t="s">
        <v>54</v>
      </c>
      <c r="C23" s="2" t="s">
        <v>55</v>
      </c>
      <c r="D23" s="2" t="e">
        <f>VLOOKUP(C:C,Vlookup!A:A,1,0)</f>
        <v>#N/A</v>
      </c>
      <c r="E23" s="2">
        <v>1</v>
      </c>
      <c r="F23" s="2" t="s">
        <v>10</v>
      </c>
      <c r="G23" s="2" t="s">
        <v>25</v>
      </c>
      <c r="H23" s="2" t="s">
        <v>11</v>
      </c>
      <c r="I23" s="2">
        <v>1</v>
      </c>
      <c r="J23" s="5">
        <v>45981</v>
      </c>
      <c r="K23" s="5">
        <v>45982</v>
      </c>
      <c r="L23" s="2" t="s">
        <v>865</v>
      </c>
      <c r="M23" s="5">
        <v>46090</v>
      </c>
      <c r="N23" s="3">
        <f>VLOOKUP(NavDataRegion[[#This Row],[Spool No]],[1]Sheet2!$B:$U,20,0)</f>
        <v>170.67447999999999</v>
      </c>
      <c r="O23" s="2">
        <v>84</v>
      </c>
      <c r="P23" s="2">
        <v>6</v>
      </c>
      <c r="Q23" s="2"/>
    </row>
    <row r="24" spans="1:17" ht="20.100000000000001" customHeight="1">
      <c r="A24" s="2" t="s">
        <v>9</v>
      </c>
      <c r="B24" s="2" t="s">
        <v>983</v>
      </c>
      <c r="C24" s="2" t="s">
        <v>984</v>
      </c>
      <c r="D24" s="2" t="e">
        <f>VLOOKUP(C:C,Vlookup!A:A,1,0)</f>
        <v>#N/A</v>
      </c>
      <c r="E24" s="2">
        <v>14</v>
      </c>
      <c r="F24" s="17" t="s">
        <v>10</v>
      </c>
      <c r="G24" s="17" t="s">
        <v>25</v>
      </c>
      <c r="H24" s="2" t="s">
        <v>11</v>
      </c>
      <c r="I24" s="2">
        <v>1</v>
      </c>
      <c r="J24" s="5">
        <v>46105</v>
      </c>
      <c r="K24" s="5">
        <v>46106</v>
      </c>
      <c r="L24" s="2" t="s">
        <v>865</v>
      </c>
      <c r="M24" s="5">
        <v>45754</v>
      </c>
      <c r="N24" s="3">
        <f>VLOOKUP(NavDataRegion[[#This Row],[Spool No]],[1]Sheet2!$B:$U,20,0)</f>
        <v>12.439260000000001</v>
      </c>
      <c r="O24" s="2">
        <v>2.5</v>
      </c>
      <c r="P24" s="2">
        <v>0.5</v>
      </c>
      <c r="Q24" s="2"/>
    </row>
    <row r="25" spans="1:17" ht="20.100000000000001" customHeight="1">
      <c r="A25" s="2" t="s">
        <v>9</v>
      </c>
      <c r="B25" s="2" t="s">
        <v>207</v>
      </c>
      <c r="C25" s="2" t="s">
        <v>420</v>
      </c>
      <c r="D25" s="2" t="e">
        <f>VLOOKUP(C:C,Vlookup!A:A,1,0)</f>
        <v>#N/A</v>
      </c>
      <c r="E25" s="2">
        <v>1</v>
      </c>
      <c r="F25" s="2" t="s">
        <v>421</v>
      </c>
      <c r="G25" s="2" t="s">
        <v>25</v>
      </c>
      <c r="H25" s="2" t="s">
        <v>11</v>
      </c>
      <c r="I25" s="2">
        <v>1</v>
      </c>
      <c r="J25" s="5">
        <v>45975</v>
      </c>
      <c r="K25" s="5">
        <v>45764</v>
      </c>
      <c r="L25" s="2" t="s">
        <v>865</v>
      </c>
      <c r="M25" s="5">
        <v>46090</v>
      </c>
      <c r="N25" s="3">
        <f>VLOOKUP(NavDataRegion[[#This Row],[Spool No]],[1]Sheet2!$B:$U,20,0)</f>
        <v>40.199289999999998</v>
      </c>
      <c r="O25" s="2">
        <v>9</v>
      </c>
      <c r="P25" s="2">
        <v>3</v>
      </c>
      <c r="Q25" s="2"/>
    </row>
    <row r="26" spans="1:17" ht="20.100000000000001" customHeight="1">
      <c r="A26" s="2" t="s">
        <v>9</v>
      </c>
      <c r="B26" s="2" t="s">
        <v>895</v>
      </c>
      <c r="C26" s="2" t="s">
        <v>1457</v>
      </c>
      <c r="D26" s="2" t="e">
        <f>VLOOKUP(C:C,Vlookup!A:A,1,0)</f>
        <v>#N/A</v>
      </c>
      <c r="E26" s="2">
        <v>14</v>
      </c>
      <c r="F26" s="17" t="s">
        <v>10</v>
      </c>
      <c r="G26" s="17" t="s">
        <v>25</v>
      </c>
      <c r="H26" s="2" t="s">
        <v>11</v>
      </c>
      <c r="I26" s="2">
        <v>1</v>
      </c>
      <c r="J26" s="5">
        <v>46098</v>
      </c>
      <c r="K26" s="5">
        <v>46099</v>
      </c>
      <c r="L26" s="2" t="s">
        <v>865</v>
      </c>
      <c r="M26" s="5">
        <v>45754</v>
      </c>
      <c r="N26" s="3">
        <f>VLOOKUP(NavDataRegion[[#This Row],[Spool No]],[1]Sheet2!$B:$U,20,0)</f>
        <v>28.301839999999999</v>
      </c>
      <c r="O26" s="2">
        <v>7</v>
      </c>
      <c r="P26" s="2">
        <v>1</v>
      </c>
      <c r="Q26" s="2"/>
    </row>
    <row r="27" spans="1:17" ht="20.100000000000001" customHeight="1">
      <c r="A27" s="2" t="s">
        <v>9</v>
      </c>
      <c r="B27" s="2" t="s">
        <v>317</v>
      </c>
      <c r="C27" s="2" t="s">
        <v>318</v>
      </c>
      <c r="D27" s="2" t="e">
        <f>VLOOKUP(C:C,Vlookup!A:A,1,0)</f>
        <v>#N/A</v>
      </c>
      <c r="E27" s="2">
        <v>1</v>
      </c>
      <c r="F27" s="2" t="s">
        <v>10</v>
      </c>
      <c r="G27" s="2" t="s">
        <v>281</v>
      </c>
      <c r="H27" s="2" t="s">
        <v>11</v>
      </c>
      <c r="I27" s="2">
        <v>1</v>
      </c>
      <c r="J27" s="5">
        <v>45975</v>
      </c>
      <c r="K27" s="5">
        <v>45764</v>
      </c>
      <c r="L27" s="2" t="s">
        <v>865</v>
      </c>
      <c r="M27" s="5">
        <v>46090</v>
      </c>
      <c r="N27" s="3">
        <f>VLOOKUP(NavDataRegion[[#This Row],[Spool No]],[1]Sheet2!$B:$U,20,0)</f>
        <v>56.857039999999998</v>
      </c>
      <c r="O27" s="2">
        <v>4</v>
      </c>
      <c r="P27" s="2">
        <v>4</v>
      </c>
      <c r="Q27" s="2"/>
    </row>
    <row r="28" spans="1:17" ht="20.100000000000001" customHeight="1">
      <c r="A28" s="2" t="s">
        <v>9</v>
      </c>
      <c r="B28" s="2" t="s">
        <v>225</v>
      </c>
      <c r="C28" s="2" t="s">
        <v>429</v>
      </c>
      <c r="D28" s="2" t="e">
        <f>VLOOKUP(C:C,Vlookup!A:A,1,0)</f>
        <v>#N/A</v>
      </c>
      <c r="E28" s="2">
        <v>6</v>
      </c>
      <c r="F28" s="2" t="s">
        <v>10</v>
      </c>
      <c r="G28" s="2" t="s">
        <v>16</v>
      </c>
      <c r="H28" s="2" t="s">
        <v>11</v>
      </c>
      <c r="I28" s="2">
        <v>1</v>
      </c>
      <c r="J28" s="5">
        <v>46017</v>
      </c>
      <c r="K28" s="5">
        <v>46027</v>
      </c>
      <c r="L28" s="2" t="s">
        <v>865</v>
      </c>
      <c r="M28" s="5">
        <v>46091</v>
      </c>
      <c r="N28" s="3">
        <f>VLOOKUP(NavDataRegion[[#This Row],[Spool No]],[1]Sheet2!$B:$U,20,0)</f>
        <v>142.49666611999999</v>
      </c>
      <c r="O28" s="2">
        <v>9</v>
      </c>
      <c r="P28" s="2">
        <v>3</v>
      </c>
      <c r="Q28" s="2"/>
    </row>
    <row r="29" spans="1:17" ht="20.100000000000001" customHeight="1">
      <c r="A29" s="2" t="s">
        <v>9</v>
      </c>
      <c r="B29" s="2" t="s">
        <v>204</v>
      </c>
      <c r="C29" s="2" t="s">
        <v>418</v>
      </c>
      <c r="D29" s="2" t="e">
        <f>VLOOKUP(C:C,Vlookup!A:A,1,0)</f>
        <v>#N/A</v>
      </c>
      <c r="E29" s="2">
        <v>1</v>
      </c>
      <c r="F29" s="2" t="s">
        <v>419</v>
      </c>
      <c r="G29" s="2" t="s">
        <v>25</v>
      </c>
      <c r="H29" s="2" t="s">
        <v>11</v>
      </c>
      <c r="I29" s="2">
        <v>1</v>
      </c>
      <c r="J29" s="5">
        <v>45975</v>
      </c>
      <c r="K29" s="5">
        <v>45764</v>
      </c>
      <c r="L29" s="2" t="s">
        <v>865</v>
      </c>
      <c r="M29" s="5">
        <v>46090</v>
      </c>
      <c r="N29" s="3">
        <f>VLOOKUP(NavDataRegion[[#This Row],[Spool No]],[1]Sheet2!$B:$U,20,0)</f>
        <v>30.703600000000002</v>
      </c>
      <c r="O29" s="2">
        <v>8</v>
      </c>
      <c r="P29" s="2">
        <v>4</v>
      </c>
      <c r="Q29" s="2"/>
    </row>
    <row r="30" spans="1:17" ht="20.100000000000001" customHeight="1">
      <c r="A30" s="2" t="s">
        <v>9</v>
      </c>
      <c r="B30" s="2" t="s">
        <v>293</v>
      </c>
      <c r="C30" s="2" t="s">
        <v>467</v>
      </c>
      <c r="D30" s="2" t="e">
        <f>VLOOKUP(C:C,Vlookup!A:A,1,0)</f>
        <v>#N/A</v>
      </c>
      <c r="E30" s="2">
        <v>5</v>
      </c>
      <c r="F30" s="2" t="s">
        <v>10</v>
      </c>
      <c r="G30" s="2" t="s">
        <v>16</v>
      </c>
      <c r="H30" s="2" t="s">
        <v>11</v>
      </c>
      <c r="I30" s="2">
        <v>1</v>
      </c>
      <c r="J30" s="5">
        <v>46015</v>
      </c>
      <c r="K30" s="5">
        <v>46016</v>
      </c>
      <c r="L30" s="2" t="s">
        <v>865</v>
      </c>
      <c r="M30" s="5">
        <v>46090</v>
      </c>
      <c r="N30" s="3">
        <f>VLOOKUP(NavDataRegion[[#This Row],[Spool No]],[1]Sheet2!$B:$U,20,0)</f>
        <v>96.110960000000006</v>
      </c>
      <c r="O30" s="2">
        <v>19</v>
      </c>
      <c r="P30" s="2">
        <v>3</v>
      </c>
      <c r="Q30" s="2"/>
    </row>
    <row r="31" spans="1:17" ht="20.100000000000001" customHeight="1">
      <c r="A31" s="2" t="s">
        <v>9</v>
      </c>
      <c r="B31" s="2" t="s">
        <v>70</v>
      </c>
      <c r="C31" s="2" t="s">
        <v>71</v>
      </c>
      <c r="D31" s="2" t="e">
        <f>VLOOKUP(C:C,Vlookup!A:A,1,0)</f>
        <v>#N/A</v>
      </c>
      <c r="E31" s="2">
        <v>2</v>
      </c>
      <c r="F31" s="2" t="s">
        <v>10</v>
      </c>
      <c r="G31" s="2" t="s">
        <v>25</v>
      </c>
      <c r="H31" s="2" t="s">
        <v>11</v>
      </c>
      <c r="I31" s="2">
        <v>1</v>
      </c>
      <c r="J31" s="5">
        <v>45981</v>
      </c>
      <c r="K31" s="5">
        <v>45982</v>
      </c>
      <c r="L31" s="2" t="s">
        <v>865</v>
      </c>
      <c r="M31" s="5">
        <v>46090</v>
      </c>
      <c r="N31" s="3">
        <f>VLOOKUP(NavDataRegion[[#This Row],[Spool No]],[1]Sheet2!$B:$U,20,0)</f>
        <v>170.67447999999999</v>
      </c>
      <c r="O31" s="2">
        <v>84</v>
      </c>
      <c r="P31" s="2">
        <v>6</v>
      </c>
      <c r="Q31" s="2"/>
    </row>
    <row r="32" spans="1:17" ht="20.100000000000001" customHeight="1">
      <c r="A32" s="2" t="s">
        <v>9</v>
      </c>
      <c r="B32" s="2" t="s">
        <v>323</v>
      </c>
      <c r="C32" s="2" t="s">
        <v>480</v>
      </c>
      <c r="D32" s="2" t="e">
        <f>VLOOKUP(C:C,Vlookup!A:A,1,0)</f>
        <v>#N/A</v>
      </c>
      <c r="E32" s="2">
        <v>7</v>
      </c>
      <c r="F32" s="2" t="s">
        <v>481</v>
      </c>
      <c r="G32" s="2" t="s">
        <v>16</v>
      </c>
      <c r="H32" s="2" t="s">
        <v>11</v>
      </c>
      <c r="I32" s="2">
        <v>1</v>
      </c>
      <c r="J32" s="5">
        <v>46043</v>
      </c>
      <c r="K32" s="5">
        <v>46043</v>
      </c>
      <c r="L32" s="2" t="s">
        <v>865</v>
      </c>
      <c r="M32" s="5">
        <v>46091</v>
      </c>
      <c r="N32" s="3">
        <f>VLOOKUP(NavDataRegion[[#This Row],[Spool No]],[1]Sheet2!$B:$U,20,0)</f>
        <v>226.080610304</v>
      </c>
      <c r="O32" s="2">
        <v>16</v>
      </c>
      <c r="P32" s="2">
        <v>3</v>
      </c>
      <c r="Q32" s="2"/>
    </row>
    <row r="33" spans="1:17" ht="20.100000000000001" customHeight="1">
      <c r="A33" s="2" t="s">
        <v>9</v>
      </c>
      <c r="B33" s="2" t="s">
        <v>74</v>
      </c>
      <c r="C33" s="2" t="s">
        <v>75</v>
      </c>
      <c r="D33" s="2" t="e">
        <f>VLOOKUP(C:C,Vlookup!A:A,1,0)</f>
        <v>#N/A</v>
      </c>
      <c r="E33" s="2">
        <v>1</v>
      </c>
      <c r="F33" s="2" t="s">
        <v>10</v>
      </c>
      <c r="G33" s="2" t="s">
        <v>25</v>
      </c>
      <c r="H33" s="2" t="s">
        <v>11</v>
      </c>
      <c r="I33" s="2">
        <v>1</v>
      </c>
      <c r="J33" s="5">
        <v>45981</v>
      </c>
      <c r="K33" s="5">
        <v>45982</v>
      </c>
      <c r="L33" s="2" t="s">
        <v>865</v>
      </c>
      <c r="M33" s="5">
        <v>46090</v>
      </c>
      <c r="N33" s="3">
        <f>VLOOKUP(NavDataRegion[[#This Row],[Spool No]],[1]Sheet2!$B:$U,20,0)</f>
        <v>170.67447999999999</v>
      </c>
      <c r="O33" s="2">
        <v>84</v>
      </c>
      <c r="P33" s="2">
        <v>6</v>
      </c>
      <c r="Q33" s="2"/>
    </row>
    <row r="34" spans="1:17" ht="20.100000000000001" customHeight="1">
      <c r="A34" s="2" t="s">
        <v>9</v>
      </c>
      <c r="B34" s="2" t="s">
        <v>1225</v>
      </c>
      <c r="C34" s="2" t="s">
        <v>1226</v>
      </c>
      <c r="D34" s="2" t="e">
        <f>VLOOKUP(C:C,Vlookup!A:A,1,0)</f>
        <v>#N/A</v>
      </c>
      <c r="E34" s="2">
        <v>14</v>
      </c>
      <c r="F34" s="17" t="s">
        <v>10</v>
      </c>
      <c r="G34" s="17" t="s">
        <v>25</v>
      </c>
      <c r="H34" s="2" t="s">
        <v>11</v>
      </c>
      <c r="I34" s="2">
        <v>1</v>
      </c>
      <c r="J34" s="5">
        <v>46100</v>
      </c>
      <c r="K34" s="5">
        <v>46101</v>
      </c>
      <c r="L34" s="2" t="s">
        <v>865</v>
      </c>
      <c r="M34" s="5">
        <v>45754</v>
      </c>
      <c r="N34" s="3">
        <f>VLOOKUP(NavDataRegion[[#This Row],[Spool No]],[1]Sheet2!$B:$U,20,0)</f>
        <v>3.9689199999999998</v>
      </c>
      <c r="O34" s="2">
        <v>2</v>
      </c>
      <c r="P34" s="2">
        <v>0.5</v>
      </c>
      <c r="Q34" s="2"/>
    </row>
    <row r="35" spans="1:17" ht="20.100000000000001" customHeight="1">
      <c r="A35" s="2" t="s">
        <v>9</v>
      </c>
      <c r="B35" s="2" t="s">
        <v>317</v>
      </c>
      <c r="C35" s="2" t="s">
        <v>478</v>
      </c>
      <c r="D35" s="2" t="e">
        <f>VLOOKUP(C:C,Vlookup!A:A,1,0)</f>
        <v>#N/A</v>
      </c>
      <c r="E35" s="2">
        <v>1</v>
      </c>
      <c r="F35" s="2" t="s">
        <v>10</v>
      </c>
      <c r="G35" s="2" t="s">
        <v>281</v>
      </c>
      <c r="H35" s="2" t="s">
        <v>11</v>
      </c>
      <c r="I35" s="2">
        <v>1</v>
      </c>
      <c r="J35" s="5">
        <v>45975</v>
      </c>
      <c r="K35" s="5">
        <v>45764</v>
      </c>
      <c r="L35" s="2" t="s">
        <v>865</v>
      </c>
      <c r="M35" s="5">
        <v>46090</v>
      </c>
      <c r="N35" s="3">
        <f>VLOOKUP(NavDataRegion[[#This Row],[Spool No]],[1]Sheet2!$B:$U,20,0)</f>
        <v>47.964320000000001</v>
      </c>
      <c r="O35" s="2">
        <v>8</v>
      </c>
      <c r="P35" s="2">
        <v>4</v>
      </c>
      <c r="Q35" s="2"/>
    </row>
    <row r="36" spans="1:17" ht="20.100000000000001" customHeight="1">
      <c r="A36" s="2" t="s">
        <v>9</v>
      </c>
      <c r="B36" s="2" t="s">
        <v>1227</v>
      </c>
      <c r="C36" s="2" t="s">
        <v>1228</v>
      </c>
      <c r="D36" s="2" t="e">
        <f>VLOOKUP(C:C,Vlookup!A:A,1,0)</f>
        <v>#N/A</v>
      </c>
      <c r="E36" s="2">
        <v>14</v>
      </c>
      <c r="F36" s="17" t="s">
        <v>10</v>
      </c>
      <c r="G36" s="17" t="s">
        <v>25</v>
      </c>
      <c r="H36" s="2" t="s">
        <v>11</v>
      </c>
      <c r="I36" s="2">
        <v>1</v>
      </c>
      <c r="J36" s="5">
        <v>46100</v>
      </c>
      <c r="K36" s="5">
        <v>46101</v>
      </c>
      <c r="L36" s="2" t="s">
        <v>865</v>
      </c>
      <c r="M36" s="5">
        <v>45754</v>
      </c>
      <c r="N36" s="3">
        <f>VLOOKUP(NavDataRegion[[#This Row],[Spool No]],[1]Sheet2!$B:$U,20,0)</f>
        <v>0.95672000000000001</v>
      </c>
      <c r="O36" s="2">
        <v>1</v>
      </c>
      <c r="P36" s="2">
        <v>0.5</v>
      </c>
      <c r="Q36" s="2"/>
    </row>
    <row r="37" spans="1:17" ht="20.100000000000001" customHeight="1">
      <c r="A37" s="2" t="s">
        <v>9</v>
      </c>
      <c r="B37" s="2" t="s">
        <v>210</v>
      </c>
      <c r="C37" s="2" t="s">
        <v>554</v>
      </c>
      <c r="D37" s="2" t="e">
        <f>VLOOKUP(C:C,Vlookup!A:A,1,0)</f>
        <v>#N/A</v>
      </c>
      <c r="E37" s="2">
        <v>3</v>
      </c>
      <c r="F37" s="2" t="s">
        <v>10</v>
      </c>
      <c r="G37" s="2" t="s">
        <v>16</v>
      </c>
      <c r="H37" s="2" t="s">
        <v>11</v>
      </c>
      <c r="I37" s="2">
        <v>1</v>
      </c>
      <c r="J37" s="5">
        <v>46003</v>
      </c>
      <c r="K37" s="5">
        <v>46006</v>
      </c>
      <c r="L37" s="2" t="s">
        <v>865</v>
      </c>
      <c r="M37" s="5">
        <v>46090</v>
      </c>
      <c r="N37" s="3">
        <f>VLOOKUP(NavDataRegion[[#This Row],[Spool No]],[1]Sheet2!$B:$U,20,0)</f>
        <v>69.704161744000004</v>
      </c>
      <c r="O37" s="2">
        <v>13</v>
      </c>
      <c r="P37" s="2">
        <v>3</v>
      </c>
      <c r="Q37" s="2"/>
    </row>
    <row r="38" spans="1:17" ht="20.100000000000001" customHeight="1">
      <c r="A38" s="2" t="s">
        <v>9</v>
      </c>
      <c r="B38" s="2" t="s">
        <v>225</v>
      </c>
      <c r="C38" s="2" t="s">
        <v>561</v>
      </c>
      <c r="D38" s="2" t="e">
        <f>VLOOKUP(C:C,Vlookup!A:A,1,0)</f>
        <v>#N/A</v>
      </c>
      <c r="E38" s="2">
        <v>7</v>
      </c>
      <c r="F38" s="2" t="s">
        <v>10</v>
      </c>
      <c r="G38" s="2" t="s">
        <v>16</v>
      </c>
      <c r="H38" s="2" t="s">
        <v>11</v>
      </c>
      <c r="I38" s="2">
        <v>1</v>
      </c>
      <c r="J38" s="5">
        <v>46029</v>
      </c>
      <c r="K38" s="5">
        <v>45665</v>
      </c>
      <c r="L38" s="2" t="s">
        <v>865</v>
      </c>
      <c r="M38" s="5">
        <v>46091</v>
      </c>
      <c r="N38" s="3">
        <f>VLOOKUP(NavDataRegion[[#This Row],[Spool No]],[1]Sheet2!$B:$U,20,0)</f>
        <v>129.03654905600001</v>
      </c>
      <c r="O38" s="2">
        <v>15</v>
      </c>
      <c r="P38" s="2">
        <v>3</v>
      </c>
      <c r="Q38" s="2"/>
    </row>
    <row r="39" spans="1:17" ht="20.100000000000001" customHeight="1">
      <c r="A39" s="2" t="s">
        <v>9</v>
      </c>
      <c r="B39" s="2" t="s">
        <v>86</v>
      </c>
      <c r="C39" s="2" t="s">
        <v>87</v>
      </c>
      <c r="D39" s="2" t="e">
        <f>VLOOKUP(C:C,Vlookup!A:A,1,0)</f>
        <v>#N/A</v>
      </c>
      <c r="E39" s="2">
        <v>1</v>
      </c>
      <c r="F39" s="2" t="s">
        <v>10</v>
      </c>
      <c r="G39" s="2" t="s">
        <v>25</v>
      </c>
      <c r="H39" s="2" t="s">
        <v>11</v>
      </c>
      <c r="I39" s="2">
        <v>1</v>
      </c>
      <c r="J39" s="5">
        <v>45981</v>
      </c>
      <c r="K39" s="5">
        <v>45982</v>
      </c>
      <c r="L39" s="2" t="s">
        <v>865</v>
      </c>
      <c r="M39" s="5">
        <v>46090</v>
      </c>
      <c r="N39" s="3">
        <f>VLOOKUP(NavDataRegion[[#This Row],[Spool No]],[1]Sheet2!$B:$U,20,0)</f>
        <v>170.67447999999999</v>
      </c>
      <c r="O39" s="2">
        <v>84</v>
      </c>
      <c r="P39" s="2">
        <v>6</v>
      </c>
      <c r="Q39" s="2"/>
    </row>
    <row r="40" spans="1:17" ht="20.100000000000001" customHeight="1">
      <c r="A40" s="2" t="s">
        <v>9</v>
      </c>
      <c r="B40" s="2" t="s">
        <v>293</v>
      </c>
      <c r="C40" s="2" t="s">
        <v>596</v>
      </c>
      <c r="D40" s="2" t="e">
        <f>VLOOKUP(C:C,Vlookup!A:A,1,0)</f>
        <v>#N/A</v>
      </c>
      <c r="E40" s="2">
        <v>11</v>
      </c>
      <c r="F40" s="2" t="s">
        <v>10</v>
      </c>
      <c r="G40" s="2" t="s">
        <v>16</v>
      </c>
      <c r="H40" s="2" t="s">
        <v>11</v>
      </c>
      <c r="I40" s="2">
        <v>1</v>
      </c>
      <c r="J40" s="5">
        <v>46064</v>
      </c>
      <c r="K40" s="5">
        <v>46069</v>
      </c>
      <c r="L40" s="2" t="s">
        <v>865</v>
      </c>
      <c r="M40" s="5">
        <v>46105</v>
      </c>
      <c r="N40" s="3">
        <f>VLOOKUP(NavDataRegion[[#This Row],[Spool No]],[1]Sheet2!$B:$U,20,0)</f>
        <v>55.928150000000002</v>
      </c>
      <c r="O40" s="2">
        <v>13</v>
      </c>
      <c r="P40" s="2">
        <v>3</v>
      </c>
      <c r="Q40" s="2"/>
    </row>
    <row r="41" spans="1:17" ht="20.100000000000001" customHeight="1">
      <c r="A41" s="2" t="s">
        <v>9</v>
      </c>
      <c r="B41" s="2" t="s">
        <v>90</v>
      </c>
      <c r="C41" s="2" t="s">
        <v>91</v>
      </c>
      <c r="D41" s="2" t="e">
        <f>VLOOKUP(C:C,Vlookup!A:A,1,0)</f>
        <v>#N/A</v>
      </c>
      <c r="E41" s="2">
        <v>1</v>
      </c>
      <c r="F41" s="2" t="s">
        <v>10</v>
      </c>
      <c r="G41" s="2" t="s">
        <v>25</v>
      </c>
      <c r="H41" s="2" t="s">
        <v>11</v>
      </c>
      <c r="I41" s="2">
        <v>1</v>
      </c>
      <c r="J41" s="5">
        <v>45981</v>
      </c>
      <c r="K41" s="5">
        <v>45982</v>
      </c>
      <c r="L41" s="2" t="s">
        <v>865</v>
      </c>
      <c r="M41" s="5">
        <v>46090</v>
      </c>
      <c r="N41" s="3">
        <f>VLOOKUP(NavDataRegion[[#This Row],[Spool No]],[1]Sheet2!$B:$U,20,0)</f>
        <v>170.67447999999999</v>
      </c>
      <c r="O41" s="2">
        <v>84</v>
      </c>
      <c r="P41" s="2">
        <v>6</v>
      </c>
      <c r="Q41" s="2"/>
    </row>
    <row r="42" spans="1:17" ht="20.100000000000001" customHeight="1">
      <c r="A42" s="2" t="s">
        <v>9</v>
      </c>
      <c r="B42" s="2" t="s">
        <v>323</v>
      </c>
      <c r="C42" s="2" t="s">
        <v>607</v>
      </c>
      <c r="D42" s="2" t="e">
        <f>VLOOKUP(C:C,Vlookup!A:A,1,0)</f>
        <v>#N/A</v>
      </c>
      <c r="E42" s="2">
        <v>7</v>
      </c>
      <c r="F42" s="2" t="s">
        <v>608</v>
      </c>
      <c r="G42" s="2" t="s">
        <v>16</v>
      </c>
      <c r="H42" s="2" t="s">
        <v>11</v>
      </c>
      <c r="I42" s="2">
        <v>1</v>
      </c>
      <c r="J42" s="5">
        <v>46036</v>
      </c>
      <c r="K42" s="5">
        <v>46041</v>
      </c>
      <c r="L42" s="2" t="s">
        <v>865</v>
      </c>
      <c r="M42" s="5">
        <v>46091</v>
      </c>
      <c r="N42" s="3">
        <f>VLOOKUP(NavDataRegion[[#This Row],[Spool No]],[1]Sheet2!$B:$U,20,0)</f>
        <v>171.76552515200001</v>
      </c>
      <c r="O42" s="2">
        <v>22</v>
      </c>
      <c r="P42" s="2">
        <v>3</v>
      </c>
      <c r="Q42" s="2"/>
    </row>
    <row r="43" spans="1:17" ht="20.100000000000001" customHeight="1">
      <c r="A43" s="2" t="s">
        <v>9</v>
      </c>
      <c r="B43" s="2" t="s">
        <v>201</v>
      </c>
      <c r="C43" s="2" t="s">
        <v>550</v>
      </c>
      <c r="D43" s="2" t="e">
        <f>VLOOKUP(C:C,Vlookup!A:A,1,0)</f>
        <v>#N/A</v>
      </c>
      <c r="E43" s="2">
        <v>1</v>
      </c>
      <c r="F43" s="2" t="s">
        <v>551</v>
      </c>
      <c r="G43" s="2" t="s">
        <v>16</v>
      </c>
      <c r="H43" s="2" t="s">
        <v>11</v>
      </c>
      <c r="I43" s="2">
        <v>1</v>
      </c>
      <c r="J43" s="5">
        <v>45975</v>
      </c>
      <c r="K43" s="5">
        <v>45764</v>
      </c>
      <c r="L43" s="2" t="s">
        <v>865</v>
      </c>
      <c r="M43" s="5">
        <v>46090</v>
      </c>
      <c r="N43" s="3">
        <f>VLOOKUP(NavDataRegion[[#This Row],[Spool No]],[1]Sheet2!$B:$U,20,0)</f>
        <v>37.271120000000003</v>
      </c>
      <c r="O43" s="2">
        <v>12</v>
      </c>
      <c r="P43" s="2">
        <v>4</v>
      </c>
      <c r="Q43" s="2"/>
    </row>
    <row r="44" spans="1:17" ht="20.100000000000001" customHeight="1">
      <c r="A44" s="2" t="s">
        <v>9</v>
      </c>
      <c r="B44" s="2" t="s">
        <v>1227</v>
      </c>
      <c r="C44" s="2" t="s">
        <v>1732</v>
      </c>
      <c r="D44" s="2" t="e">
        <f>VLOOKUP(C:C,Vlookup!A:A,1,0)</f>
        <v>#N/A</v>
      </c>
      <c r="E44" s="2">
        <v>14</v>
      </c>
      <c r="F44" s="17" t="s">
        <v>10</v>
      </c>
      <c r="G44" s="17" t="s">
        <v>25</v>
      </c>
      <c r="H44" s="2" t="s">
        <v>11</v>
      </c>
      <c r="I44" s="2">
        <v>1</v>
      </c>
      <c r="J44" s="5">
        <v>46100</v>
      </c>
      <c r="K44" s="5">
        <v>46101</v>
      </c>
      <c r="L44" s="2" t="s">
        <v>865</v>
      </c>
      <c r="M44" s="5">
        <v>45754</v>
      </c>
      <c r="N44" s="3">
        <f>VLOOKUP(NavDataRegion[[#This Row],[Spool No]],[1]Sheet2!$B:$U,20,0)</f>
        <v>4.01424</v>
      </c>
      <c r="O44" s="2">
        <v>2.5</v>
      </c>
      <c r="P44" s="2">
        <v>0.5</v>
      </c>
      <c r="Q44" s="2"/>
    </row>
    <row r="45" spans="1:17" ht="20.100000000000001" customHeight="1">
      <c r="A45" s="2" t="s">
        <v>9</v>
      </c>
      <c r="B45" s="2" t="s">
        <v>98</v>
      </c>
      <c r="C45" s="2" t="s">
        <v>99</v>
      </c>
      <c r="D45" s="2" t="e">
        <f>VLOOKUP(C:C,Vlookup!A:A,1,0)</f>
        <v>#N/A</v>
      </c>
      <c r="E45" s="2">
        <v>1</v>
      </c>
      <c r="F45" s="2" t="s">
        <v>10</v>
      </c>
      <c r="G45" s="2" t="s">
        <v>25</v>
      </c>
      <c r="H45" s="2" t="s">
        <v>11</v>
      </c>
      <c r="I45" s="2">
        <v>1</v>
      </c>
      <c r="J45" s="5">
        <v>45981</v>
      </c>
      <c r="K45" s="5">
        <v>45982</v>
      </c>
      <c r="L45" s="2" t="s">
        <v>865</v>
      </c>
      <c r="M45" s="5">
        <v>46090</v>
      </c>
      <c r="N45" s="3">
        <f>VLOOKUP(NavDataRegion[[#This Row],[Spool No]],[1]Sheet2!$B:$U,20,0)</f>
        <v>170.67447999999999</v>
      </c>
      <c r="O45" s="2">
        <v>84</v>
      </c>
      <c r="P45" s="2">
        <v>6</v>
      </c>
      <c r="Q45" s="2"/>
    </row>
    <row r="46" spans="1:17" ht="20.100000000000001" customHeight="1">
      <c r="A46" s="2" t="s">
        <v>9</v>
      </c>
      <c r="B46" s="2" t="s">
        <v>225</v>
      </c>
      <c r="C46" s="2" t="s">
        <v>664</v>
      </c>
      <c r="D46" s="2" t="e">
        <f>VLOOKUP(C:C,Vlookup!A:A,1,0)</f>
        <v>#N/A</v>
      </c>
      <c r="E46" s="2">
        <v>3</v>
      </c>
      <c r="F46" s="2" t="s">
        <v>10</v>
      </c>
      <c r="G46" s="2" t="s">
        <v>16</v>
      </c>
      <c r="H46" s="2" t="s">
        <v>11</v>
      </c>
      <c r="I46" s="2">
        <v>1</v>
      </c>
      <c r="J46" s="5">
        <v>46003</v>
      </c>
      <c r="K46" s="5">
        <v>46006</v>
      </c>
      <c r="L46" s="2" t="s">
        <v>865</v>
      </c>
      <c r="M46" s="5">
        <v>46090</v>
      </c>
      <c r="N46" s="3">
        <f>VLOOKUP(NavDataRegion[[#This Row],[Spool No]],[1]Sheet2!$B:$U,20,0)</f>
        <v>65.236240304000006</v>
      </c>
      <c r="O46" s="2">
        <v>21</v>
      </c>
      <c r="P46" s="2">
        <v>3</v>
      </c>
      <c r="Q46" s="2"/>
    </row>
    <row r="47" spans="1:17" ht="20.100000000000001" customHeight="1">
      <c r="A47" s="2" t="s">
        <v>9</v>
      </c>
      <c r="B47" s="2" t="s">
        <v>58</v>
      </c>
      <c r="C47" s="2" t="s">
        <v>59</v>
      </c>
      <c r="D47" s="2" t="e">
        <f>VLOOKUP(C:C,Vlookup!A:A,1,0)</f>
        <v>#N/A</v>
      </c>
      <c r="E47" s="2">
        <v>1</v>
      </c>
      <c r="F47" s="2" t="s">
        <v>10</v>
      </c>
      <c r="G47" s="2" t="s">
        <v>25</v>
      </c>
      <c r="H47" s="2" t="s">
        <v>11</v>
      </c>
      <c r="I47" s="2">
        <v>1</v>
      </c>
      <c r="J47" s="5">
        <v>45975</v>
      </c>
      <c r="K47" s="5">
        <v>45764</v>
      </c>
      <c r="L47" s="2" t="s">
        <v>865</v>
      </c>
      <c r="M47" s="5">
        <v>46090</v>
      </c>
      <c r="N47" s="3">
        <f>VLOOKUP(NavDataRegion[[#This Row],[Spool No]],[1]Sheet2!$B:$U,20,0)</f>
        <v>170.67447999999999</v>
      </c>
      <c r="O47" s="2">
        <v>84</v>
      </c>
      <c r="P47" s="2">
        <v>6</v>
      </c>
      <c r="Q47" s="2"/>
    </row>
    <row r="48" spans="1:17" ht="20.100000000000001" customHeight="1">
      <c r="A48" s="2" t="s">
        <v>9</v>
      </c>
      <c r="B48" s="2" t="s">
        <v>323</v>
      </c>
      <c r="C48" s="2" t="s">
        <v>699</v>
      </c>
      <c r="D48" s="2" t="e">
        <f>VLOOKUP(C:C,Vlookup!A:A,1,0)</f>
        <v>#N/A</v>
      </c>
      <c r="E48" s="2">
        <v>7</v>
      </c>
      <c r="F48" s="2" t="s">
        <v>700</v>
      </c>
      <c r="G48" s="2" t="s">
        <v>16</v>
      </c>
      <c r="H48" s="2" t="s">
        <v>11</v>
      </c>
      <c r="I48" s="2">
        <v>1</v>
      </c>
      <c r="J48" s="5">
        <v>46043</v>
      </c>
      <c r="K48" s="5">
        <v>46043</v>
      </c>
      <c r="L48" s="2" t="s">
        <v>865</v>
      </c>
      <c r="M48" s="5">
        <v>46091</v>
      </c>
      <c r="N48" s="3">
        <f>VLOOKUP(NavDataRegion[[#This Row],[Spool No]],[1]Sheet2!$B:$U,20,0)</f>
        <v>268.74160983199999</v>
      </c>
      <c r="O48" s="2">
        <v>19.5</v>
      </c>
      <c r="P48" s="2">
        <v>3</v>
      </c>
      <c r="Q48" s="2"/>
    </row>
    <row r="49" spans="1:17" ht="20.100000000000001" customHeight="1">
      <c r="A49" s="2" t="s">
        <v>9</v>
      </c>
      <c r="B49" s="2" t="s">
        <v>62</v>
      </c>
      <c r="C49" s="2" t="s">
        <v>63</v>
      </c>
      <c r="D49" s="2" t="e">
        <f>VLOOKUP(C:C,Vlookup!A:A,1,0)</f>
        <v>#N/A</v>
      </c>
      <c r="E49" s="2">
        <v>1</v>
      </c>
      <c r="F49" s="2" t="s">
        <v>10</v>
      </c>
      <c r="G49" s="2" t="s">
        <v>25</v>
      </c>
      <c r="H49" s="2" t="s">
        <v>11</v>
      </c>
      <c r="I49" s="2">
        <v>1</v>
      </c>
      <c r="J49" s="5">
        <v>45975</v>
      </c>
      <c r="K49" s="5">
        <v>45764</v>
      </c>
      <c r="L49" s="2" t="s">
        <v>865</v>
      </c>
      <c r="M49" s="5">
        <v>46090</v>
      </c>
      <c r="N49" s="3">
        <f>VLOOKUP(NavDataRegion[[#This Row],[Spool No]],[1]Sheet2!$B:$U,20,0)</f>
        <v>170.67447999999999</v>
      </c>
      <c r="O49" s="2">
        <v>84</v>
      </c>
      <c r="P49" s="2">
        <v>6</v>
      </c>
      <c r="Q49" s="2"/>
    </row>
    <row r="50" spans="1:17" ht="20.100000000000001" customHeight="1">
      <c r="A50" s="2" t="s">
        <v>9</v>
      </c>
      <c r="B50" s="2" t="s">
        <v>923</v>
      </c>
      <c r="C50" s="2" t="s">
        <v>1916</v>
      </c>
      <c r="D50" s="2" t="e">
        <f>VLOOKUP(C:C,Vlookup!A:A,1,0)</f>
        <v>#N/A</v>
      </c>
      <c r="E50" s="2">
        <v>14</v>
      </c>
      <c r="F50" s="17" t="s">
        <v>10</v>
      </c>
      <c r="G50" s="17" t="s">
        <v>25</v>
      </c>
      <c r="H50" s="2" t="s">
        <v>11</v>
      </c>
      <c r="I50" s="2">
        <v>1</v>
      </c>
      <c r="J50" s="5">
        <v>46098</v>
      </c>
      <c r="K50" s="5">
        <v>46099</v>
      </c>
      <c r="L50" s="2" t="s">
        <v>865</v>
      </c>
      <c r="M50" s="5">
        <v>45754</v>
      </c>
      <c r="N50" s="3">
        <f>VLOOKUP(NavDataRegion[[#This Row],[Spool No]],[1]Sheet2!$B:$U,20,0)</f>
        <v>2.0449199999999998</v>
      </c>
      <c r="O50" s="2">
        <v>2</v>
      </c>
      <c r="P50" s="2">
        <v>1</v>
      </c>
      <c r="Q50" s="2"/>
    </row>
    <row r="51" spans="1:17" ht="20.100000000000001" customHeight="1">
      <c r="A51" s="2" t="s">
        <v>9</v>
      </c>
      <c r="B51" s="2" t="s">
        <v>110</v>
      </c>
      <c r="C51" s="2" t="s">
        <v>111</v>
      </c>
      <c r="D51" s="2" t="e">
        <f>VLOOKUP(C:C,Vlookup!A:A,1,0)</f>
        <v>#N/A</v>
      </c>
      <c r="E51" s="2">
        <v>1</v>
      </c>
      <c r="F51" s="2" t="s">
        <v>10</v>
      </c>
      <c r="G51" s="2" t="s">
        <v>25</v>
      </c>
      <c r="H51" s="2" t="s">
        <v>11</v>
      </c>
      <c r="I51" s="2">
        <v>1</v>
      </c>
      <c r="J51" s="5">
        <v>45981</v>
      </c>
      <c r="K51" s="5">
        <v>45982</v>
      </c>
      <c r="L51" s="2" t="s">
        <v>865</v>
      </c>
      <c r="M51" s="5">
        <v>46090</v>
      </c>
      <c r="N51" s="3">
        <f>VLOOKUP(NavDataRegion[[#This Row],[Spool No]],[1]Sheet2!$B:$U,20,0)</f>
        <v>170.67447999999999</v>
      </c>
      <c r="O51" s="2">
        <v>84</v>
      </c>
      <c r="P51" s="2">
        <v>6</v>
      </c>
      <c r="Q51" s="2"/>
    </row>
    <row r="52" spans="1:17" ht="20.100000000000001" customHeight="1">
      <c r="A52" s="2" t="s">
        <v>9</v>
      </c>
      <c r="B52" s="2" t="s">
        <v>225</v>
      </c>
      <c r="C52" s="2" t="s">
        <v>733</v>
      </c>
      <c r="D52" s="2" t="e">
        <f>VLOOKUP(C:C,Vlookup!A:A,1,0)</f>
        <v>#N/A</v>
      </c>
      <c r="E52" s="2">
        <v>4</v>
      </c>
      <c r="F52" s="2" t="s">
        <v>10</v>
      </c>
      <c r="G52" s="2" t="s">
        <v>16</v>
      </c>
      <c r="H52" s="2" t="s">
        <v>11</v>
      </c>
      <c r="I52" s="2">
        <v>1</v>
      </c>
      <c r="J52" s="5">
        <v>46008</v>
      </c>
      <c r="K52" s="5">
        <v>46009</v>
      </c>
      <c r="L52" s="2" t="s">
        <v>865</v>
      </c>
      <c r="M52" s="5">
        <v>46090</v>
      </c>
      <c r="N52" s="3">
        <f>VLOOKUP(NavDataRegion[[#This Row],[Spool No]],[1]Sheet2!$B:$U,20,0)</f>
        <v>63.264760303999999</v>
      </c>
      <c r="O52" s="2">
        <v>21</v>
      </c>
      <c r="P52" s="2">
        <v>3</v>
      </c>
      <c r="Q52" s="2"/>
    </row>
    <row r="53" spans="1:17" ht="20.100000000000001" customHeight="1">
      <c r="A53" s="2" t="s">
        <v>9</v>
      </c>
      <c r="B53" s="2" t="s">
        <v>114</v>
      </c>
      <c r="C53" s="2" t="s">
        <v>115</v>
      </c>
      <c r="D53" s="2" t="e">
        <f>VLOOKUP(C:C,Vlookup!A:A,1,0)</f>
        <v>#N/A</v>
      </c>
      <c r="E53" s="2">
        <v>1</v>
      </c>
      <c r="F53" s="2" t="s">
        <v>10</v>
      </c>
      <c r="G53" s="2" t="s">
        <v>25</v>
      </c>
      <c r="H53" s="2" t="s">
        <v>11</v>
      </c>
      <c r="I53" s="2">
        <v>1</v>
      </c>
      <c r="J53" s="5">
        <v>45981</v>
      </c>
      <c r="K53" s="5">
        <v>45982</v>
      </c>
      <c r="L53" s="2" t="s">
        <v>865</v>
      </c>
      <c r="M53" s="5">
        <v>46090</v>
      </c>
      <c r="N53" s="3">
        <f>VLOOKUP(NavDataRegion[[#This Row],[Spool No]],[1]Sheet2!$B:$U,20,0)</f>
        <v>170.67447999999999</v>
      </c>
      <c r="O53" s="2">
        <v>84</v>
      </c>
      <c r="P53" s="2">
        <v>6</v>
      </c>
      <c r="Q53" s="2"/>
    </row>
    <row r="54" spans="1:17" ht="20.100000000000001" customHeight="1">
      <c r="A54" s="2" t="s">
        <v>9</v>
      </c>
      <c r="B54" s="2" t="s">
        <v>323</v>
      </c>
      <c r="C54" s="2" t="s">
        <v>747</v>
      </c>
      <c r="D54" s="2" t="e">
        <f>VLOOKUP(C:C,Vlookup!A:A,1,0)</f>
        <v>#N/A</v>
      </c>
      <c r="E54" s="2">
        <v>7</v>
      </c>
      <c r="F54" s="2" t="s">
        <v>748</v>
      </c>
      <c r="G54" s="2" t="s">
        <v>16</v>
      </c>
      <c r="H54" s="2" t="s">
        <v>11</v>
      </c>
      <c r="I54" s="2">
        <v>1</v>
      </c>
      <c r="J54" s="5">
        <v>46036</v>
      </c>
      <c r="K54" s="5">
        <v>46041</v>
      </c>
      <c r="L54" s="2" t="s">
        <v>865</v>
      </c>
      <c r="M54" s="5">
        <v>46091</v>
      </c>
      <c r="N54" s="3">
        <f>VLOOKUP(NavDataRegion[[#This Row],[Spool No]],[1]Sheet2!$B:$U,20,0)</f>
        <v>300.44004999999999</v>
      </c>
      <c r="O54" s="2">
        <v>32</v>
      </c>
      <c r="P54" s="2">
        <v>3</v>
      </c>
      <c r="Q54" s="2"/>
    </row>
    <row r="55" spans="1:17" ht="20.100000000000001" customHeight="1">
      <c r="A55" s="2" t="s">
        <v>9</v>
      </c>
      <c r="B55" s="2" t="s">
        <v>1227</v>
      </c>
      <c r="C55" s="2" t="s">
        <v>1894</v>
      </c>
      <c r="D55" s="2" t="e">
        <f>VLOOKUP(C:C,Vlookup!A:A,1,0)</f>
        <v>#N/A</v>
      </c>
      <c r="E55" s="2">
        <v>14</v>
      </c>
      <c r="F55" s="17" t="s">
        <v>10</v>
      </c>
      <c r="G55" s="17" t="s">
        <v>25</v>
      </c>
      <c r="H55" s="2" t="s">
        <v>11</v>
      </c>
      <c r="I55" s="2">
        <v>1</v>
      </c>
      <c r="J55" s="5">
        <v>46100</v>
      </c>
      <c r="K55" s="5">
        <v>46101</v>
      </c>
      <c r="L55" s="2" t="s">
        <v>865</v>
      </c>
      <c r="M55" s="5">
        <v>45754</v>
      </c>
      <c r="N55" s="3">
        <f>VLOOKUP(NavDataRegion[[#This Row],[Spool No]],[1]Sheet2!$B:$U,20,0)</f>
        <v>1.6133999999999999</v>
      </c>
      <c r="O55" s="2">
        <v>2.5</v>
      </c>
      <c r="P55" s="2">
        <v>0.5</v>
      </c>
      <c r="Q55" s="2"/>
    </row>
    <row r="56" spans="1:17" ht="20.100000000000001" customHeight="1">
      <c r="A56" s="2" t="s">
        <v>9</v>
      </c>
      <c r="B56" s="2" t="s">
        <v>323</v>
      </c>
      <c r="C56" s="2" t="s">
        <v>775</v>
      </c>
      <c r="D56" s="2" t="e">
        <f>VLOOKUP(C:C,Vlookup!A:A,1,0)</f>
        <v>#N/A</v>
      </c>
      <c r="E56" s="2">
        <v>8</v>
      </c>
      <c r="F56" s="2" t="s">
        <v>776</v>
      </c>
      <c r="G56" s="2" t="s">
        <v>16</v>
      </c>
      <c r="H56" s="2" t="s">
        <v>11</v>
      </c>
      <c r="I56" s="2">
        <v>1</v>
      </c>
      <c r="J56" s="5">
        <v>46045</v>
      </c>
      <c r="K56" s="5">
        <v>46048</v>
      </c>
      <c r="L56" s="2" t="s">
        <v>865</v>
      </c>
      <c r="M56" s="5">
        <v>46091</v>
      </c>
      <c r="N56" s="3">
        <f>VLOOKUP(NavDataRegion[[#This Row],[Spool No]],[1]Sheet2!$B:$U,20,0)</f>
        <v>299.69740000000002</v>
      </c>
      <c r="O56" s="2">
        <v>25</v>
      </c>
      <c r="P56" s="2">
        <v>3</v>
      </c>
      <c r="Q56" s="2"/>
    </row>
    <row r="57" spans="1:17" ht="20.100000000000001" customHeight="1">
      <c r="A57" s="2" t="s">
        <v>9</v>
      </c>
      <c r="B57" s="2" t="s">
        <v>122</v>
      </c>
      <c r="C57" s="2" t="s">
        <v>123</v>
      </c>
      <c r="D57" s="2" t="e">
        <f>VLOOKUP(C:C,Vlookup!A:A,1,0)</f>
        <v>#N/A</v>
      </c>
      <c r="E57" s="2">
        <v>1</v>
      </c>
      <c r="F57" s="2" t="s">
        <v>10</v>
      </c>
      <c r="G57" s="2" t="s">
        <v>25</v>
      </c>
      <c r="H57" s="2" t="s">
        <v>11</v>
      </c>
      <c r="I57" s="2">
        <v>1</v>
      </c>
      <c r="J57" s="5">
        <v>45981</v>
      </c>
      <c r="K57" s="5">
        <v>45982</v>
      </c>
      <c r="L57" s="2" t="s">
        <v>865</v>
      </c>
      <c r="M57" s="5">
        <v>46090</v>
      </c>
      <c r="N57" s="3">
        <f>VLOOKUP(NavDataRegion[[#This Row],[Spool No]],[1]Sheet2!$B:$U,20,0)</f>
        <v>170.60105999999999</v>
      </c>
      <c r="O57" s="2">
        <v>84</v>
      </c>
      <c r="P57" s="2">
        <v>6</v>
      </c>
      <c r="Q57" s="2"/>
    </row>
    <row r="58" spans="1:17" ht="20.100000000000001" customHeight="1">
      <c r="A58" s="2" t="s">
        <v>9</v>
      </c>
      <c r="B58" s="2" t="s">
        <v>1235</v>
      </c>
      <c r="C58" s="2" t="s">
        <v>1236</v>
      </c>
      <c r="D58" s="2" t="e">
        <f>VLOOKUP(C:C,Vlookup!A:A,1,0)</f>
        <v>#N/A</v>
      </c>
      <c r="E58" s="2">
        <v>16</v>
      </c>
      <c r="F58" s="17" t="s">
        <v>10</v>
      </c>
      <c r="G58" s="17" t="s">
        <v>25</v>
      </c>
      <c r="H58" s="2" t="s">
        <v>11</v>
      </c>
      <c r="I58" s="2">
        <v>1</v>
      </c>
      <c r="J58" s="5">
        <v>46108</v>
      </c>
      <c r="K58" s="5">
        <v>46111</v>
      </c>
      <c r="L58" s="2" t="s">
        <v>865</v>
      </c>
      <c r="M58" s="5">
        <v>46167</v>
      </c>
      <c r="N58" s="3">
        <f>VLOOKUP(NavDataRegion[[#This Row],[Spool No]],[1]Sheet2!$B:$U,20,0)</f>
        <v>1.3380799999999999</v>
      </c>
      <c r="O58" s="2">
        <v>1</v>
      </c>
      <c r="P58" s="2">
        <v>0.5</v>
      </c>
      <c r="Q58" s="2"/>
    </row>
    <row r="59" spans="1:17" ht="20.100000000000001" customHeight="1">
      <c r="A59" s="2" t="s">
        <v>9</v>
      </c>
      <c r="B59" s="2" t="s">
        <v>126</v>
      </c>
      <c r="C59" s="2" t="s">
        <v>127</v>
      </c>
      <c r="D59" s="2" t="e">
        <f>VLOOKUP(C:C,Vlookup!A:A,1,0)</f>
        <v>#N/A</v>
      </c>
      <c r="E59" s="2">
        <v>1</v>
      </c>
      <c r="F59" s="2" t="s">
        <v>10</v>
      </c>
      <c r="G59" s="2" t="s">
        <v>25</v>
      </c>
      <c r="H59" s="2" t="s">
        <v>11</v>
      </c>
      <c r="I59" s="2">
        <v>1</v>
      </c>
      <c r="J59" s="5">
        <v>45981</v>
      </c>
      <c r="K59" s="5">
        <v>45982</v>
      </c>
      <c r="L59" s="2" t="s">
        <v>865</v>
      </c>
      <c r="M59" s="5">
        <v>46090</v>
      </c>
      <c r="N59" s="3">
        <f>VLOOKUP(NavDataRegion[[#This Row],[Spool No]],[1]Sheet2!$B:$U,20,0)</f>
        <v>170.60105999999999</v>
      </c>
      <c r="O59" s="2">
        <v>84</v>
      </c>
      <c r="P59" s="2">
        <v>6</v>
      </c>
      <c r="Q59" s="2"/>
    </row>
    <row r="60" spans="1:17" ht="20.100000000000001" customHeight="1">
      <c r="A60" s="2" t="s">
        <v>9</v>
      </c>
      <c r="B60" s="2" t="s">
        <v>323</v>
      </c>
      <c r="C60" s="2" t="s">
        <v>796</v>
      </c>
      <c r="D60" s="2" t="e">
        <f>VLOOKUP(C:C,Vlookup!A:A,1,0)</f>
        <v>#N/A</v>
      </c>
      <c r="E60" s="2">
        <v>7</v>
      </c>
      <c r="F60" s="2" t="s">
        <v>797</v>
      </c>
      <c r="G60" s="2" t="s">
        <v>16</v>
      </c>
      <c r="H60" s="2" t="s">
        <v>11</v>
      </c>
      <c r="I60" s="2">
        <v>1</v>
      </c>
      <c r="J60" s="5">
        <v>46036</v>
      </c>
      <c r="K60" s="5">
        <v>46041</v>
      </c>
      <c r="L60" s="2" t="s">
        <v>865</v>
      </c>
      <c r="M60" s="5">
        <v>46091</v>
      </c>
      <c r="N60" s="3">
        <f>VLOOKUP(NavDataRegion[[#This Row],[Spool No]],[1]Sheet2!$B:$U,20,0)</f>
        <v>126.617355152</v>
      </c>
      <c r="O60" s="2">
        <v>22.5</v>
      </c>
      <c r="P60" s="2">
        <v>3</v>
      </c>
      <c r="Q60" s="2"/>
    </row>
    <row r="61" spans="1:17" ht="20.100000000000001" customHeight="1">
      <c r="A61" s="2" t="s">
        <v>9</v>
      </c>
      <c r="B61" s="2" t="s">
        <v>130</v>
      </c>
      <c r="C61" s="2" t="s">
        <v>131</v>
      </c>
      <c r="D61" s="2" t="e">
        <f>VLOOKUP(C:C,Vlookup!A:A,1,0)</f>
        <v>#N/A</v>
      </c>
      <c r="E61" s="2">
        <v>1</v>
      </c>
      <c r="F61" s="2" t="s">
        <v>10</v>
      </c>
      <c r="G61" s="2" t="s">
        <v>25</v>
      </c>
      <c r="H61" s="2" t="s">
        <v>11</v>
      </c>
      <c r="I61" s="2">
        <v>1</v>
      </c>
      <c r="J61" s="5">
        <v>45981</v>
      </c>
      <c r="K61" s="5">
        <v>45982</v>
      </c>
      <c r="L61" s="2" t="s">
        <v>865</v>
      </c>
      <c r="M61" s="5">
        <v>46090</v>
      </c>
      <c r="N61" s="3">
        <f>VLOOKUP(NavDataRegion[[#This Row],[Spool No]],[1]Sheet2!$B:$U,20,0)</f>
        <v>170.60105999999999</v>
      </c>
      <c r="O61" s="2">
        <v>84</v>
      </c>
      <c r="P61" s="2">
        <v>6</v>
      </c>
      <c r="Q61" s="2"/>
    </row>
    <row r="62" spans="1:17" ht="20.100000000000001" customHeight="1">
      <c r="A62" s="2" t="s">
        <v>9</v>
      </c>
      <c r="B62" s="2" t="s">
        <v>929</v>
      </c>
      <c r="C62" s="2" t="s">
        <v>930</v>
      </c>
      <c r="D62" s="2" t="e">
        <f>VLOOKUP(C:C,Vlookup!A:A,1,0)</f>
        <v>#N/A</v>
      </c>
      <c r="E62" s="2">
        <v>14</v>
      </c>
      <c r="F62" s="17" t="s">
        <v>10</v>
      </c>
      <c r="G62" s="17" t="s">
        <v>25</v>
      </c>
      <c r="H62" s="2" t="s">
        <v>11</v>
      </c>
      <c r="I62" s="2">
        <v>1</v>
      </c>
      <c r="J62" s="5">
        <v>46098</v>
      </c>
      <c r="K62" s="5">
        <v>46099</v>
      </c>
      <c r="L62" s="2" t="s">
        <v>865</v>
      </c>
      <c r="M62" s="5">
        <v>45754</v>
      </c>
      <c r="N62" s="3">
        <f>VLOOKUP(NavDataRegion[[#This Row],[Spool No]],[1]Sheet2!$B:$U,20,0)</f>
        <v>17.787600000000001</v>
      </c>
      <c r="O62" s="2">
        <v>5.25</v>
      </c>
      <c r="P62" s="2">
        <v>0.75</v>
      </c>
      <c r="Q62" s="2"/>
    </row>
    <row r="63" spans="1:17" ht="20.100000000000001" customHeight="1">
      <c r="A63" s="2" t="s">
        <v>9</v>
      </c>
      <c r="B63" s="2" t="s">
        <v>134</v>
      </c>
      <c r="C63" s="2" t="s">
        <v>135</v>
      </c>
      <c r="D63" s="2" t="e">
        <f>VLOOKUP(C:C,Vlookup!A:A,1,0)</f>
        <v>#N/A</v>
      </c>
      <c r="E63" s="2">
        <v>2</v>
      </c>
      <c r="F63" s="2" t="s">
        <v>10</v>
      </c>
      <c r="G63" s="2" t="s">
        <v>25</v>
      </c>
      <c r="H63" s="2" t="s">
        <v>11</v>
      </c>
      <c r="I63" s="2">
        <v>1</v>
      </c>
      <c r="J63" s="5">
        <v>45981</v>
      </c>
      <c r="K63" s="5">
        <v>45982</v>
      </c>
      <c r="L63" s="2" t="s">
        <v>865</v>
      </c>
      <c r="M63" s="5">
        <v>46090</v>
      </c>
      <c r="N63" s="3">
        <f>VLOOKUP(NavDataRegion[[#This Row],[Spool No]],[1]Sheet2!$B:$U,20,0)</f>
        <v>170.60105999999999</v>
      </c>
      <c r="O63" s="2">
        <v>84</v>
      </c>
      <c r="P63" s="2">
        <v>6</v>
      </c>
      <c r="Q63" s="2"/>
    </row>
    <row r="64" spans="1:17" ht="20.100000000000001" customHeight="1">
      <c r="A64" s="2" t="s">
        <v>9</v>
      </c>
      <c r="B64" s="2" t="s">
        <v>1229</v>
      </c>
      <c r="C64" s="2" t="s">
        <v>1230</v>
      </c>
      <c r="D64" s="2" t="e">
        <f>VLOOKUP(C:C,Vlookup!A:A,1,0)</f>
        <v>#N/A</v>
      </c>
      <c r="E64" s="2">
        <v>14</v>
      </c>
      <c r="F64" s="17" t="s">
        <v>10</v>
      </c>
      <c r="G64" s="17" t="s">
        <v>25</v>
      </c>
      <c r="H64" s="2" t="s">
        <v>11</v>
      </c>
      <c r="I64" s="2">
        <v>1</v>
      </c>
      <c r="J64" s="5">
        <v>46100</v>
      </c>
      <c r="K64" s="5">
        <v>46101</v>
      </c>
      <c r="L64" s="2" t="s">
        <v>865</v>
      </c>
      <c r="M64" s="5">
        <v>45754</v>
      </c>
      <c r="N64" s="3">
        <f>VLOOKUP(NavDataRegion[[#This Row],[Spool No]],[1]Sheet2!$B:$U,20,0)</f>
        <v>0.95996000000000004</v>
      </c>
      <c r="O64" s="2">
        <v>1</v>
      </c>
      <c r="P64" s="2">
        <v>0.5</v>
      </c>
      <c r="Q64" s="2"/>
    </row>
    <row r="65" spans="1:17" ht="20.100000000000001" customHeight="1">
      <c r="A65" s="2" t="s">
        <v>9</v>
      </c>
      <c r="B65" s="2" t="s">
        <v>138</v>
      </c>
      <c r="C65" s="2" t="s">
        <v>139</v>
      </c>
      <c r="D65" s="2" t="e">
        <f>VLOOKUP(C:C,Vlookup!A:A,1,0)</f>
        <v>#N/A</v>
      </c>
      <c r="E65" s="2">
        <v>2</v>
      </c>
      <c r="F65" s="2" t="s">
        <v>10</v>
      </c>
      <c r="G65" s="2" t="s">
        <v>25</v>
      </c>
      <c r="H65" s="2" t="s">
        <v>11</v>
      </c>
      <c r="I65" s="2">
        <v>1</v>
      </c>
      <c r="J65" s="5">
        <v>45981</v>
      </c>
      <c r="K65" s="5">
        <v>45982</v>
      </c>
      <c r="L65" s="2" t="s">
        <v>865</v>
      </c>
      <c r="M65" s="5">
        <v>46090</v>
      </c>
      <c r="N65" s="3">
        <f>VLOOKUP(NavDataRegion[[#This Row],[Spool No]],[1]Sheet2!$B:$U,20,0)</f>
        <v>170.60105999999999</v>
      </c>
      <c r="O65" s="2">
        <v>84</v>
      </c>
      <c r="P65" s="2">
        <v>6</v>
      </c>
      <c r="Q65" s="2"/>
    </row>
    <row r="66" spans="1:17" ht="20.100000000000001" customHeight="1">
      <c r="A66" s="2" t="s">
        <v>9</v>
      </c>
      <c r="B66" s="2" t="s">
        <v>1229</v>
      </c>
      <c r="C66" s="2" t="s">
        <v>1733</v>
      </c>
      <c r="D66" s="2" t="e">
        <f>VLOOKUP(C:C,Vlookup!A:A,1,0)</f>
        <v>#N/A</v>
      </c>
      <c r="E66" s="2">
        <v>14</v>
      </c>
      <c r="F66" s="17" t="s">
        <v>10</v>
      </c>
      <c r="G66" s="17" t="s">
        <v>25</v>
      </c>
      <c r="H66" s="2" t="s">
        <v>11</v>
      </c>
      <c r="I66" s="2">
        <v>1</v>
      </c>
      <c r="J66" s="5">
        <v>46100</v>
      </c>
      <c r="K66" s="5">
        <v>46101</v>
      </c>
      <c r="L66" s="2" t="s">
        <v>865</v>
      </c>
      <c r="M66" s="5">
        <v>45754</v>
      </c>
      <c r="N66" s="3">
        <f>VLOOKUP(NavDataRegion[[#This Row],[Spool No]],[1]Sheet2!$B:$U,20,0)</f>
        <v>4.2183599999999997</v>
      </c>
      <c r="O66" s="2">
        <v>2.5</v>
      </c>
      <c r="P66" s="2">
        <v>0.5</v>
      </c>
      <c r="Q66" s="2"/>
    </row>
    <row r="67" spans="1:17" ht="20.100000000000001" customHeight="1">
      <c r="A67" s="2" t="s">
        <v>9</v>
      </c>
      <c r="B67" s="2" t="s">
        <v>1229</v>
      </c>
      <c r="C67" s="2" t="s">
        <v>1895</v>
      </c>
      <c r="D67" s="2" t="e">
        <f>VLOOKUP(C:C,Vlookup!A:A,1,0)</f>
        <v>#N/A</v>
      </c>
      <c r="E67" s="2">
        <v>14</v>
      </c>
      <c r="F67" s="17" t="s">
        <v>10</v>
      </c>
      <c r="G67" s="17" t="s">
        <v>25</v>
      </c>
      <c r="H67" s="2" t="s">
        <v>11</v>
      </c>
      <c r="I67" s="2">
        <v>1</v>
      </c>
      <c r="J67" s="5">
        <v>46100</v>
      </c>
      <c r="K67" s="5">
        <v>46101</v>
      </c>
      <c r="L67" s="2" t="s">
        <v>865</v>
      </c>
      <c r="M67" s="5">
        <v>45754</v>
      </c>
      <c r="N67" s="3">
        <f>VLOOKUP(NavDataRegion[[#This Row],[Spool No]],[1]Sheet2!$B:$U,20,0)</f>
        <v>2.2192400000000001</v>
      </c>
      <c r="O67" s="2">
        <v>3.5</v>
      </c>
      <c r="P67" s="2">
        <v>0.5</v>
      </c>
      <c r="Q67" s="2"/>
    </row>
    <row r="68" spans="1:17" ht="20.100000000000001" customHeight="1">
      <c r="A68" s="2" t="s">
        <v>9</v>
      </c>
      <c r="B68" s="2" t="s">
        <v>1231</v>
      </c>
      <c r="C68" s="2" t="s">
        <v>1734</v>
      </c>
      <c r="D68" s="2" t="e">
        <f>VLOOKUP(C:C,Vlookup!A:A,1,0)</f>
        <v>#N/A</v>
      </c>
      <c r="E68" s="2">
        <v>14</v>
      </c>
      <c r="F68" s="17" t="s">
        <v>10</v>
      </c>
      <c r="G68" s="17" t="s">
        <v>25</v>
      </c>
      <c r="H68" s="2" t="s">
        <v>11</v>
      </c>
      <c r="I68" s="2">
        <v>1</v>
      </c>
      <c r="J68" s="5">
        <v>46100</v>
      </c>
      <c r="K68" s="5">
        <v>46101</v>
      </c>
      <c r="L68" s="2" t="s">
        <v>865</v>
      </c>
      <c r="M68" s="5">
        <v>45754</v>
      </c>
      <c r="N68" s="3">
        <f>VLOOKUP(NavDataRegion[[#This Row],[Spool No]],[1]Sheet2!$B:$U,20,0)</f>
        <v>3.22688</v>
      </c>
      <c r="O68" s="2">
        <v>3.5</v>
      </c>
      <c r="P68" s="2">
        <v>0.5</v>
      </c>
      <c r="Q68" s="2"/>
    </row>
    <row r="69" spans="1:17" ht="20.100000000000001" customHeight="1">
      <c r="A69" s="2" t="s">
        <v>9</v>
      </c>
      <c r="B69" s="2" t="s">
        <v>901</v>
      </c>
      <c r="C69" s="2" t="s">
        <v>1458</v>
      </c>
      <c r="D69" s="2" t="e">
        <f>VLOOKUP(C:C,Vlookup!A:A,1,0)</f>
        <v>#N/A</v>
      </c>
      <c r="E69" s="2">
        <v>14</v>
      </c>
      <c r="F69" s="17" t="s">
        <v>10</v>
      </c>
      <c r="G69" s="17" t="s">
        <v>281</v>
      </c>
      <c r="H69" s="2" t="s">
        <v>11</v>
      </c>
      <c r="I69" s="2">
        <v>1</v>
      </c>
      <c r="J69" s="5">
        <v>46101</v>
      </c>
      <c r="K69" s="5">
        <v>46104</v>
      </c>
      <c r="L69" s="2" t="s">
        <v>865</v>
      </c>
      <c r="M69" s="5">
        <v>45754</v>
      </c>
      <c r="N69" s="3">
        <f>VLOOKUP(NavDataRegion[[#This Row],[Spool No]],[1]Sheet2!$B:$U,20,0)</f>
        <v>4.2506000000000004</v>
      </c>
      <c r="O69" s="2">
        <v>3</v>
      </c>
      <c r="P69" s="2">
        <v>0.75</v>
      </c>
      <c r="Q69" s="2"/>
    </row>
    <row r="70" spans="1:17" ht="20.100000000000001" customHeight="1">
      <c r="A70" s="2" t="s">
        <v>9</v>
      </c>
      <c r="B70" s="2" t="s">
        <v>191</v>
      </c>
      <c r="C70" s="2" t="s">
        <v>656</v>
      </c>
      <c r="D70" s="2" t="e">
        <f>VLOOKUP(C:C,Vlookup!A:A,1,0)</f>
        <v>#N/A</v>
      </c>
      <c r="E70" s="2">
        <v>18</v>
      </c>
      <c r="F70" s="2" t="s">
        <v>657</v>
      </c>
      <c r="G70" s="2" t="s">
        <v>16</v>
      </c>
      <c r="H70" s="2" t="s">
        <v>11</v>
      </c>
      <c r="I70" s="2">
        <v>1</v>
      </c>
      <c r="J70" s="5">
        <v>46111</v>
      </c>
      <c r="K70" s="5">
        <v>46113</v>
      </c>
      <c r="L70" s="2" t="s">
        <v>865</v>
      </c>
      <c r="M70" s="5">
        <v>45754</v>
      </c>
      <c r="N70" s="3">
        <f>VLOOKUP(NavDataRegion[[#This Row],[Spool No]],[1]Sheet2!$B:$U,20,0)</f>
        <v>884.99515659199994</v>
      </c>
      <c r="O70" s="2">
        <v>44</v>
      </c>
      <c r="P70" s="2">
        <v>4</v>
      </c>
      <c r="Q70" s="2"/>
    </row>
    <row r="71" spans="1:17" ht="20.100000000000001" customHeight="1">
      <c r="A71" s="2" t="s">
        <v>9</v>
      </c>
      <c r="B71" s="2" t="s">
        <v>1267</v>
      </c>
      <c r="C71" s="2" t="s">
        <v>1268</v>
      </c>
      <c r="D71" s="2" t="e">
        <f>VLOOKUP(C:C,Vlookup!A:A,1,0)</f>
        <v>#N/A</v>
      </c>
      <c r="E71" s="2">
        <v>14</v>
      </c>
      <c r="F71" s="17" t="s">
        <v>10</v>
      </c>
      <c r="G71" s="17" t="s">
        <v>25</v>
      </c>
      <c r="H71" s="2" t="s">
        <v>11</v>
      </c>
      <c r="I71" s="2">
        <v>1</v>
      </c>
      <c r="J71" s="5">
        <v>46105</v>
      </c>
      <c r="K71" s="5">
        <v>46106</v>
      </c>
      <c r="L71" s="2" t="s">
        <v>865</v>
      </c>
      <c r="M71" s="5">
        <v>45754</v>
      </c>
      <c r="N71" s="3">
        <f>VLOOKUP(NavDataRegion[[#This Row],[Spool No]],[1]Sheet2!$B:$U,20,0)</f>
        <v>2.2575400000000001</v>
      </c>
      <c r="O71" s="2">
        <v>2</v>
      </c>
      <c r="P71" s="2">
        <v>0.5</v>
      </c>
      <c r="Q71" s="2"/>
    </row>
    <row r="72" spans="1:17" ht="20.100000000000001" customHeight="1">
      <c r="A72" s="2" t="s">
        <v>9</v>
      </c>
      <c r="B72" s="2" t="s">
        <v>144</v>
      </c>
      <c r="C72" s="2" t="s">
        <v>644</v>
      </c>
      <c r="D72" s="2" t="e">
        <f>VLOOKUP(C:C,Vlookup!A:A,1,0)</f>
        <v>#N/A</v>
      </c>
      <c r="E72" s="2">
        <v>1</v>
      </c>
      <c r="F72" s="2" t="s">
        <v>10</v>
      </c>
      <c r="G72" s="2" t="s">
        <v>25</v>
      </c>
      <c r="H72" s="2" t="s">
        <v>11</v>
      </c>
      <c r="I72" s="2">
        <v>1</v>
      </c>
      <c r="J72" s="5">
        <v>45981</v>
      </c>
      <c r="K72" s="5">
        <v>45982</v>
      </c>
      <c r="L72" s="2" t="s">
        <v>865</v>
      </c>
      <c r="M72" s="5">
        <v>46090</v>
      </c>
      <c r="N72" s="3">
        <f>VLOOKUP(NavDataRegion[[#This Row],[Spool No]],[1]Sheet2!$B:$U,20,0)</f>
        <v>44.668759999999999</v>
      </c>
      <c r="O72" s="2">
        <v>18</v>
      </c>
      <c r="P72" s="2">
        <v>6</v>
      </c>
      <c r="Q72" s="2"/>
    </row>
    <row r="73" spans="1:17" ht="20.100000000000001" customHeight="1">
      <c r="A73" s="2" t="s">
        <v>9</v>
      </c>
      <c r="B73" s="2" t="s">
        <v>1269</v>
      </c>
      <c r="C73" s="2" t="s">
        <v>1270</v>
      </c>
      <c r="D73" s="2" t="e">
        <f>VLOOKUP(C:C,Vlookup!A:A,1,0)</f>
        <v>#N/A</v>
      </c>
      <c r="E73" s="2">
        <v>16</v>
      </c>
      <c r="F73" s="17" t="s">
        <v>10</v>
      </c>
      <c r="G73" s="17" t="s">
        <v>25</v>
      </c>
      <c r="H73" s="2" t="s">
        <v>11</v>
      </c>
      <c r="I73" s="2">
        <v>1</v>
      </c>
      <c r="J73" s="5">
        <v>46107</v>
      </c>
      <c r="K73" s="5">
        <v>46111</v>
      </c>
      <c r="L73" s="2" t="s">
        <v>865</v>
      </c>
      <c r="M73" s="5">
        <v>46167</v>
      </c>
      <c r="N73" s="3">
        <f>VLOOKUP(NavDataRegion[[#This Row],[Spool No]],[1]Sheet2!$B:$U,20,0)</f>
        <v>11.373900000000001</v>
      </c>
      <c r="O73" s="2">
        <v>2.5</v>
      </c>
      <c r="P73" s="2">
        <v>0.5</v>
      </c>
      <c r="Q73" s="2"/>
    </row>
    <row r="74" spans="1:17" ht="20.100000000000001" customHeight="1">
      <c r="A74" s="2" t="s">
        <v>9</v>
      </c>
      <c r="B74" s="2" t="s">
        <v>164</v>
      </c>
      <c r="C74" s="2" t="s">
        <v>165</v>
      </c>
      <c r="D74" s="2" t="e">
        <f>VLOOKUP(C:C,Vlookup!A:A,1,0)</f>
        <v>#N/A</v>
      </c>
      <c r="E74" s="2">
        <v>9</v>
      </c>
      <c r="F74" s="2" t="s">
        <v>166</v>
      </c>
      <c r="G74" s="2" t="s">
        <v>16</v>
      </c>
      <c r="H74" s="2" t="s">
        <v>11</v>
      </c>
      <c r="I74" s="2">
        <v>1</v>
      </c>
      <c r="J74" s="5">
        <v>46051</v>
      </c>
      <c r="K74" s="5">
        <v>46055</v>
      </c>
      <c r="L74" s="2" t="s">
        <v>865</v>
      </c>
      <c r="M74" s="5">
        <v>46091</v>
      </c>
      <c r="N74" s="3">
        <f>VLOOKUP(NavDataRegion[[#This Row],[Spool No]],[1]Sheet2!$B:$U,20,0)</f>
        <v>110.782576592</v>
      </c>
      <c r="O74" s="2">
        <v>20</v>
      </c>
      <c r="P74" s="2">
        <v>4</v>
      </c>
      <c r="Q74" s="2"/>
    </row>
    <row r="75" spans="1:17" ht="20.100000000000001" customHeight="1">
      <c r="A75" s="2" t="s">
        <v>9</v>
      </c>
      <c r="B75" s="2" t="s">
        <v>169</v>
      </c>
      <c r="C75" s="2" t="s">
        <v>170</v>
      </c>
      <c r="D75" s="2" t="e">
        <f>VLOOKUP(C:C,Vlookup!A:A,1,0)</f>
        <v>#N/A</v>
      </c>
      <c r="E75" s="2">
        <v>4</v>
      </c>
      <c r="F75" s="2" t="s">
        <v>10</v>
      </c>
      <c r="G75" s="2" t="s">
        <v>16</v>
      </c>
      <c r="H75" s="2" t="s">
        <v>11</v>
      </c>
      <c r="I75" s="2">
        <v>1</v>
      </c>
      <c r="J75" s="5">
        <v>46008</v>
      </c>
      <c r="K75" s="5">
        <v>46009</v>
      </c>
      <c r="L75" s="2" t="s">
        <v>865</v>
      </c>
      <c r="M75" s="5">
        <v>46090</v>
      </c>
      <c r="N75" s="3">
        <f>VLOOKUP(NavDataRegion[[#This Row],[Spool No]],[1]Sheet2!$B:$U,20,0)</f>
        <v>88.908106591999996</v>
      </c>
      <c r="O75" s="2">
        <v>7.5</v>
      </c>
      <c r="P75" s="2">
        <v>4</v>
      </c>
      <c r="Q75" s="2"/>
    </row>
    <row r="76" spans="1:17" ht="20.100000000000001" customHeight="1">
      <c r="A76" s="2" t="s">
        <v>9</v>
      </c>
      <c r="B76" s="2" t="s">
        <v>171</v>
      </c>
      <c r="C76" s="2" t="s">
        <v>172</v>
      </c>
      <c r="D76" s="2" t="e">
        <f>VLOOKUP(C:C,Vlookup!A:A,1,0)</f>
        <v>#N/A</v>
      </c>
      <c r="E76" s="2">
        <v>9</v>
      </c>
      <c r="F76" s="2" t="s">
        <v>173</v>
      </c>
      <c r="G76" s="2" t="s">
        <v>16</v>
      </c>
      <c r="H76" s="2" t="s">
        <v>11</v>
      </c>
      <c r="I76" s="2">
        <v>1</v>
      </c>
      <c r="J76" s="5">
        <v>46051</v>
      </c>
      <c r="K76" s="5">
        <v>46055</v>
      </c>
      <c r="L76" s="2" t="s">
        <v>865</v>
      </c>
      <c r="M76" s="5">
        <v>46091</v>
      </c>
      <c r="N76" s="3">
        <f>VLOOKUP(NavDataRegion[[#This Row],[Spool No]],[1]Sheet2!$B:$U,20,0)</f>
        <v>103.726325152</v>
      </c>
      <c r="O76" s="2">
        <v>15.5</v>
      </c>
      <c r="P76" s="2">
        <v>4</v>
      </c>
      <c r="Q76" s="2"/>
    </row>
    <row r="77" spans="1:17" ht="20.100000000000001" customHeight="1">
      <c r="A77" s="2" t="s">
        <v>9</v>
      </c>
      <c r="B77" s="2" t="s">
        <v>191</v>
      </c>
      <c r="C77" s="2" t="s">
        <v>192</v>
      </c>
      <c r="D77" s="2" t="e">
        <f>VLOOKUP(C:C,Vlookup!A:A,1,0)</f>
        <v>#N/A</v>
      </c>
      <c r="E77" s="2">
        <v>13</v>
      </c>
      <c r="F77" s="2" t="s">
        <v>10</v>
      </c>
      <c r="G77" s="2" t="s">
        <v>16</v>
      </c>
      <c r="H77" s="2" t="s">
        <v>11</v>
      </c>
      <c r="I77" s="2">
        <v>1</v>
      </c>
      <c r="J77" s="5">
        <v>46064</v>
      </c>
      <c r="K77" s="5">
        <v>46094</v>
      </c>
      <c r="L77" s="2" t="s">
        <v>865</v>
      </c>
      <c r="M77" s="5">
        <v>46105</v>
      </c>
      <c r="N77" s="3">
        <f>VLOOKUP(NavDataRegion[[#This Row],[Spool No]],[1]Sheet2!$B:$U,20,0)</f>
        <v>196.29647318400001</v>
      </c>
      <c r="O77" s="2">
        <v>7</v>
      </c>
      <c r="P77" s="2">
        <v>4</v>
      </c>
      <c r="Q77" s="2"/>
    </row>
    <row r="78" spans="1:17" ht="20.100000000000001" customHeight="1">
      <c r="A78" s="2" t="s">
        <v>9</v>
      </c>
      <c r="B78" s="2" t="s">
        <v>1233</v>
      </c>
      <c r="C78" s="2" t="s">
        <v>1234</v>
      </c>
      <c r="D78" s="2" t="e">
        <f>VLOOKUP(C:C,Vlookup!A:A,1,0)</f>
        <v>#N/A</v>
      </c>
      <c r="E78" s="2">
        <v>14</v>
      </c>
      <c r="F78" s="17" t="s">
        <v>10</v>
      </c>
      <c r="G78" s="17" t="s">
        <v>25</v>
      </c>
      <c r="H78" s="2" t="s">
        <v>11</v>
      </c>
      <c r="I78" s="2">
        <v>1</v>
      </c>
      <c r="J78" s="5">
        <v>46100</v>
      </c>
      <c r="K78" s="5">
        <v>46101</v>
      </c>
      <c r="L78" s="2" t="s">
        <v>865</v>
      </c>
      <c r="M78" s="5">
        <v>45754</v>
      </c>
      <c r="N78" s="3">
        <f>VLOOKUP(NavDataRegion[[#This Row],[Spool No]],[1]Sheet2!$B:$U,20,0)</f>
        <v>1.6389199999999999</v>
      </c>
      <c r="O78" s="2">
        <v>2</v>
      </c>
      <c r="P78" s="2">
        <v>0.5</v>
      </c>
      <c r="Q78" s="2"/>
    </row>
    <row r="79" spans="1:17" ht="20.100000000000001" customHeight="1">
      <c r="A79" s="2" t="s">
        <v>9</v>
      </c>
      <c r="B79" s="2" t="s">
        <v>1273</v>
      </c>
      <c r="C79" s="2" t="s">
        <v>1274</v>
      </c>
      <c r="D79" s="2" t="e">
        <f>VLOOKUP(C:C,Vlookup!A:A,1,0)</f>
        <v>#N/A</v>
      </c>
      <c r="E79" s="2">
        <v>16</v>
      </c>
      <c r="F79" s="17" t="s">
        <v>10</v>
      </c>
      <c r="G79" s="17" t="s">
        <v>25</v>
      </c>
      <c r="H79" s="2" t="s">
        <v>11</v>
      </c>
      <c r="I79" s="2">
        <v>1</v>
      </c>
      <c r="J79" s="5">
        <v>46108</v>
      </c>
      <c r="K79" s="5">
        <v>46111</v>
      </c>
      <c r="L79" s="2" t="s">
        <v>865</v>
      </c>
      <c r="M79" s="5">
        <v>46167</v>
      </c>
      <c r="N79" s="3">
        <f>VLOOKUP(NavDataRegion[[#This Row],[Spool No]],[1]Sheet2!$B:$U,20,0)</f>
        <v>0.8579</v>
      </c>
      <c r="O79" s="2">
        <v>1</v>
      </c>
      <c r="P79" s="2">
        <v>0.5</v>
      </c>
      <c r="Q79" s="2"/>
    </row>
    <row r="80" spans="1:17" ht="20.100000000000001" customHeight="1">
      <c r="A80" s="2" t="s">
        <v>9</v>
      </c>
      <c r="B80" s="2" t="s">
        <v>191</v>
      </c>
      <c r="C80" s="2" t="s">
        <v>730</v>
      </c>
      <c r="D80" s="2" t="e">
        <f>VLOOKUP(C:C,Vlookup!A:A,1,0)</f>
        <v>#N/A</v>
      </c>
      <c r="E80" s="2">
        <v>18</v>
      </c>
      <c r="F80" s="2" t="s">
        <v>731</v>
      </c>
      <c r="G80" s="2" t="s">
        <v>16</v>
      </c>
      <c r="H80" s="2" t="s">
        <v>11</v>
      </c>
      <c r="I80" s="2">
        <v>1</v>
      </c>
      <c r="J80" s="5">
        <v>46111</v>
      </c>
      <c r="K80" s="5">
        <v>46113</v>
      </c>
      <c r="L80" s="2" t="s">
        <v>865</v>
      </c>
      <c r="M80" s="5">
        <v>45754</v>
      </c>
      <c r="N80" s="3">
        <f>VLOOKUP(NavDataRegion[[#This Row],[Spool No]],[1]Sheet2!$B:$U,20,0)</f>
        <v>70.728963183999994</v>
      </c>
      <c r="O80" s="2">
        <v>16</v>
      </c>
      <c r="P80" s="2">
        <v>4</v>
      </c>
      <c r="Q80" s="2"/>
    </row>
    <row r="81" spans="1:17" ht="20.100000000000001" customHeight="1">
      <c r="A81" s="2" t="s">
        <v>9</v>
      </c>
      <c r="B81" s="2" t="s">
        <v>901</v>
      </c>
      <c r="C81" s="2" t="s">
        <v>1656</v>
      </c>
      <c r="D81" s="2" t="e">
        <f>VLOOKUP(C:C,Vlookup!A:A,1,0)</f>
        <v>#N/A</v>
      </c>
      <c r="E81" s="2">
        <v>16</v>
      </c>
      <c r="F81" s="17" t="s">
        <v>10</v>
      </c>
      <c r="G81" s="17" t="s">
        <v>281</v>
      </c>
      <c r="H81" s="2" t="s">
        <v>11</v>
      </c>
      <c r="I81" s="2">
        <v>1</v>
      </c>
      <c r="J81" s="5">
        <v>46111</v>
      </c>
      <c r="K81" s="5">
        <v>46118</v>
      </c>
      <c r="L81" s="2" t="s">
        <v>865</v>
      </c>
      <c r="M81" s="5">
        <v>46167</v>
      </c>
      <c r="N81" s="3">
        <f>VLOOKUP(NavDataRegion[[#This Row],[Spool No]],[1]Sheet2!$B:$U,20,0)</f>
        <v>13.241199999999999</v>
      </c>
      <c r="O81" s="2">
        <v>3</v>
      </c>
      <c r="P81" s="2">
        <v>0.75</v>
      </c>
      <c r="Q81" s="2"/>
    </row>
    <row r="82" spans="1:17" ht="20.100000000000001" customHeight="1">
      <c r="A82" s="2" t="s">
        <v>9</v>
      </c>
      <c r="B82" s="2" t="s">
        <v>295</v>
      </c>
      <c r="C82" s="2" t="s">
        <v>296</v>
      </c>
      <c r="D82" s="2" t="e">
        <f>VLOOKUP(C:C,Vlookup!A:A,1,0)</f>
        <v>#N/A</v>
      </c>
      <c r="E82" s="2">
        <v>13</v>
      </c>
      <c r="F82" s="2" t="s">
        <v>10</v>
      </c>
      <c r="G82" s="2" t="s">
        <v>16</v>
      </c>
      <c r="H82" s="2" t="s">
        <v>11</v>
      </c>
      <c r="I82" s="2">
        <v>1</v>
      </c>
      <c r="J82" s="5">
        <v>46087</v>
      </c>
      <c r="K82" s="5">
        <v>46094</v>
      </c>
      <c r="L82" s="2" t="s">
        <v>865</v>
      </c>
      <c r="M82" s="5">
        <v>46105</v>
      </c>
      <c r="N82" s="3">
        <f>VLOOKUP(NavDataRegion[[#This Row],[Spool No]],[1]Sheet2!$B:$U,20,0)</f>
        <v>88.490600303999997</v>
      </c>
      <c r="O82" s="2">
        <v>11</v>
      </c>
      <c r="P82" s="2">
        <v>4</v>
      </c>
      <c r="Q82" s="2"/>
    </row>
    <row r="83" spans="1:17" ht="20.100000000000001" customHeight="1">
      <c r="A83" s="2" t="s">
        <v>9</v>
      </c>
      <c r="B83" s="2" t="s">
        <v>1265</v>
      </c>
      <c r="C83" s="2" t="s">
        <v>1266</v>
      </c>
      <c r="D83" s="2" t="e">
        <f>VLOOKUP(C:C,Vlookup!A:A,1,0)</f>
        <v>#N/A</v>
      </c>
      <c r="E83" s="2">
        <v>16</v>
      </c>
      <c r="F83" s="17" t="s">
        <v>10</v>
      </c>
      <c r="G83" s="17" t="s">
        <v>25</v>
      </c>
      <c r="H83" s="2" t="s">
        <v>11</v>
      </c>
      <c r="I83" s="2">
        <v>1</v>
      </c>
      <c r="J83" s="5">
        <v>46112</v>
      </c>
      <c r="K83" s="5">
        <v>46118</v>
      </c>
      <c r="L83" s="2" t="s">
        <v>865</v>
      </c>
      <c r="M83" s="5">
        <v>46167</v>
      </c>
      <c r="N83" s="3">
        <f>VLOOKUP(NavDataRegion[[#This Row],[Spool No]],[1]Sheet2!$B:$U,20,0)</f>
        <v>1.0976600000000001</v>
      </c>
      <c r="O83" s="2">
        <v>1</v>
      </c>
      <c r="P83" s="2">
        <v>0.5</v>
      </c>
      <c r="Q83" s="2"/>
    </row>
    <row r="84" spans="1:17" ht="20.100000000000001" customHeight="1">
      <c r="A84" s="2" t="s">
        <v>9</v>
      </c>
      <c r="B84" s="2" t="s">
        <v>326</v>
      </c>
      <c r="C84" s="2" t="s">
        <v>327</v>
      </c>
      <c r="D84" s="2" t="e">
        <f>VLOOKUP(C:C,Vlookup!A:A,1,0)</f>
        <v>#N/A</v>
      </c>
      <c r="E84" s="2">
        <v>11</v>
      </c>
      <c r="F84" s="2" t="s">
        <v>10</v>
      </c>
      <c r="G84" s="2" t="s">
        <v>16</v>
      </c>
      <c r="H84" s="2" t="s">
        <v>11</v>
      </c>
      <c r="I84" s="2">
        <v>1</v>
      </c>
      <c r="J84" s="5">
        <v>46064</v>
      </c>
      <c r="K84" s="5">
        <v>46069</v>
      </c>
      <c r="L84" s="2" t="s">
        <v>865</v>
      </c>
      <c r="M84" s="5">
        <v>46105</v>
      </c>
      <c r="N84" s="3">
        <f>VLOOKUP(NavDataRegion[[#This Row],[Spool No]],[1]Sheet2!$B:$U,20,0)</f>
        <v>87.189136591999997</v>
      </c>
      <c r="O84" s="2">
        <v>8.5</v>
      </c>
      <c r="P84" s="2">
        <v>4</v>
      </c>
      <c r="Q84" s="2"/>
    </row>
    <row r="85" spans="1:17" ht="20.100000000000001" customHeight="1">
      <c r="A85" s="2" t="s">
        <v>9</v>
      </c>
      <c r="B85" s="2" t="s">
        <v>328</v>
      </c>
      <c r="C85" s="2" t="s">
        <v>329</v>
      </c>
      <c r="D85" s="2" t="e">
        <f>VLOOKUP(C:C,Vlookup!A:A,1,0)</f>
        <v>#N/A</v>
      </c>
      <c r="E85" s="2">
        <v>13</v>
      </c>
      <c r="F85" s="2" t="s">
        <v>10</v>
      </c>
      <c r="G85" s="2" t="s">
        <v>16</v>
      </c>
      <c r="H85" s="2" t="s">
        <v>11</v>
      </c>
      <c r="I85" s="2">
        <v>1</v>
      </c>
      <c r="J85" s="5">
        <v>46087</v>
      </c>
      <c r="K85" s="5">
        <v>46094</v>
      </c>
      <c r="L85" s="2" t="s">
        <v>865</v>
      </c>
      <c r="M85" s="5">
        <v>46105</v>
      </c>
      <c r="N85" s="3">
        <f>VLOOKUP(NavDataRegion[[#This Row],[Spool No]],[1]Sheet2!$B:$U,20,0)</f>
        <v>86.131666592000002</v>
      </c>
      <c r="O85" s="2">
        <v>8</v>
      </c>
      <c r="P85" s="2">
        <v>4</v>
      </c>
      <c r="Q85" s="2"/>
    </row>
    <row r="86" spans="1:17" ht="20.100000000000001" customHeight="1">
      <c r="A86" s="2" t="s">
        <v>9</v>
      </c>
      <c r="B86" s="2" t="s">
        <v>931</v>
      </c>
      <c r="C86" s="2" t="s">
        <v>1870</v>
      </c>
      <c r="D86" s="2" t="e">
        <f>VLOOKUP(C:C,Vlookup!A:A,1,0)</f>
        <v>#N/A</v>
      </c>
      <c r="E86" s="2">
        <v>14</v>
      </c>
      <c r="F86" s="17" t="s">
        <v>10</v>
      </c>
      <c r="G86" s="17" t="s">
        <v>25</v>
      </c>
      <c r="H86" s="2" t="s">
        <v>11</v>
      </c>
      <c r="I86" s="2">
        <v>1</v>
      </c>
      <c r="J86" s="5">
        <v>46098</v>
      </c>
      <c r="K86" s="5">
        <v>46099</v>
      </c>
      <c r="L86" s="2" t="s">
        <v>865</v>
      </c>
      <c r="M86" s="5">
        <v>45754</v>
      </c>
      <c r="N86" s="3">
        <f>VLOOKUP(NavDataRegion[[#This Row],[Spool No]],[1]Sheet2!$B:$U,20,0)</f>
        <v>7.6112399999999996</v>
      </c>
      <c r="O86" s="2">
        <v>1</v>
      </c>
      <c r="P86" s="2">
        <v>1</v>
      </c>
      <c r="Q86" s="2"/>
    </row>
    <row r="87" spans="1:17" ht="20.100000000000001" customHeight="1">
      <c r="A87" s="2" t="s">
        <v>9</v>
      </c>
      <c r="B87" s="2" t="s">
        <v>901</v>
      </c>
      <c r="C87" s="2" t="s">
        <v>1781</v>
      </c>
      <c r="D87" s="2" t="e">
        <f>VLOOKUP(C:C,Vlookup!A:A,1,0)</f>
        <v>#N/A</v>
      </c>
      <c r="E87" s="2">
        <v>14</v>
      </c>
      <c r="F87" s="17" t="s">
        <v>10</v>
      </c>
      <c r="G87" s="17" t="s">
        <v>281</v>
      </c>
      <c r="H87" s="2" t="s">
        <v>11</v>
      </c>
      <c r="I87" s="2">
        <v>1</v>
      </c>
      <c r="J87" s="5">
        <v>46101</v>
      </c>
      <c r="K87" s="5">
        <v>46104</v>
      </c>
      <c r="L87" s="2" t="s">
        <v>865</v>
      </c>
      <c r="M87" s="5">
        <v>45754</v>
      </c>
      <c r="N87" s="3">
        <f>VLOOKUP(NavDataRegion[[#This Row],[Spool No]],[1]Sheet2!$B:$U,20,0)</f>
        <v>26.753799999999998</v>
      </c>
      <c r="O87" s="2">
        <v>3</v>
      </c>
      <c r="P87" s="2">
        <v>0.75</v>
      </c>
      <c r="Q87" s="2"/>
    </row>
    <row r="88" spans="1:17" ht="20.100000000000001" customHeight="1">
      <c r="A88" s="2" t="s">
        <v>9</v>
      </c>
      <c r="B88" s="2" t="s">
        <v>169</v>
      </c>
      <c r="C88" s="2" t="s">
        <v>400</v>
      </c>
      <c r="D88" s="2" t="e">
        <f>VLOOKUP(C:C,Vlookup!A:A,1,0)</f>
        <v>#N/A</v>
      </c>
      <c r="E88" s="2">
        <v>3</v>
      </c>
      <c r="F88" s="2" t="s">
        <v>10</v>
      </c>
      <c r="G88" s="2" t="s">
        <v>16</v>
      </c>
      <c r="H88" s="2" t="s">
        <v>11</v>
      </c>
      <c r="I88" s="2">
        <v>1</v>
      </c>
      <c r="J88" s="5">
        <v>46003</v>
      </c>
      <c r="K88" s="5">
        <v>46006</v>
      </c>
      <c r="L88" s="2" t="s">
        <v>865</v>
      </c>
      <c r="M88" s="5">
        <v>46090</v>
      </c>
      <c r="N88" s="3">
        <f>VLOOKUP(NavDataRegion[[#This Row],[Spool No]],[1]Sheet2!$B:$U,20,0)</f>
        <v>298.729610304</v>
      </c>
      <c r="O88" s="2">
        <v>19</v>
      </c>
      <c r="P88" s="2">
        <v>4</v>
      </c>
      <c r="Q88" s="2"/>
    </row>
    <row r="89" spans="1:17" ht="20.100000000000001" customHeight="1">
      <c r="A89" s="2" t="s">
        <v>9</v>
      </c>
      <c r="B89" s="2" t="s">
        <v>171</v>
      </c>
      <c r="C89" s="2" t="s">
        <v>401</v>
      </c>
      <c r="D89" s="2" t="e">
        <f>VLOOKUP(C:C,Vlookup!A:A,1,0)</f>
        <v>#N/A</v>
      </c>
      <c r="E89" s="2">
        <v>7</v>
      </c>
      <c r="F89" s="2" t="s">
        <v>402</v>
      </c>
      <c r="G89" s="2" t="s">
        <v>16</v>
      </c>
      <c r="H89" s="2" t="s">
        <v>11</v>
      </c>
      <c r="I89" s="2">
        <v>1</v>
      </c>
      <c r="J89" s="5">
        <v>46036</v>
      </c>
      <c r="K89" s="5">
        <v>46041</v>
      </c>
      <c r="L89" s="2" t="s">
        <v>865</v>
      </c>
      <c r="M89" s="5">
        <v>46091</v>
      </c>
      <c r="N89" s="3">
        <f>VLOOKUP(NavDataRegion[[#This Row],[Spool No]],[1]Sheet2!$B:$U,20,0)</f>
        <v>366.69683179999998</v>
      </c>
      <c r="O89" s="2">
        <v>23.5</v>
      </c>
      <c r="P89" s="2">
        <v>4</v>
      </c>
      <c r="Q89" s="2"/>
    </row>
    <row r="90" spans="1:17" ht="20.100000000000001" customHeight="1">
      <c r="A90" s="2" t="s">
        <v>9</v>
      </c>
      <c r="B90" s="2" t="s">
        <v>191</v>
      </c>
      <c r="C90" s="2" t="s">
        <v>411</v>
      </c>
      <c r="D90" s="2" t="e">
        <f>VLOOKUP(C:C,Vlookup!A:A,1,0)</f>
        <v>#N/A</v>
      </c>
      <c r="E90" s="2">
        <v>12</v>
      </c>
      <c r="F90" s="2" t="s">
        <v>10</v>
      </c>
      <c r="G90" s="2" t="s">
        <v>16</v>
      </c>
      <c r="H90" s="2" t="s">
        <v>11</v>
      </c>
      <c r="I90" s="2">
        <v>1</v>
      </c>
      <c r="J90" s="5">
        <v>46073</v>
      </c>
      <c r="K90" s="5">
        <v>46076</v>
      </c>
      <c r="L90" s="2" t="s">
        <v>865</v>
      </c>
      <c r="M90" s="5">
        <v>46105</v>
      </c>
      <c r="N90" s="3">
        <f>VLOOKUP(NavDataRegion[[#This Row],[Spool No]],[1]Sheet2!$B:$U,20,0)</f>
        <v>112.884396592</v>
      </c>
      <c r="O90" s="2">
        <v>7.5</v>
      </c>
      <c r="P90" s="2">
        <v>4</v>
      </c>
      <c r="Q90" s="2"/>
    </row>
    <row r="91" spans="1:17" ht="20.100000000000001" customHeight="1">
      <c r="A91" s="2" t="s">
        <v>9</v>
      </c>
      <c r="B91" s="2" t="s">
        <v>1235</v>
      </c>
      <c r="C91" s="2" t="s">
        <v>1579</v>
      </c>
      <c r="D91" s="2" t="e">
        <f>VLOOKUP(C:C,Vlookup!A:A,1,0)</f>
        <v>#N/A</v>
      </c>
      <c r="E91" s="2">
        <v>14</v>
      </c>
      <c r="F91" s="17" t="s">
        <v>10</v>
      </c>
      <c r="G91" s="17" t="s">
        <v>25</v>
      </c>
      <c r="H91" s="2" t="s">
        <v>11</v>
      </c>
      <c r="I91" s="2">
        <v>1</v>
      </c>
      <c r="J91" s="5">
        <v>46100</v>
      </c>
      <c r="K91" s="5">
        <v>46101</v>
      </c>
      <c r="L91" s="2" t="s">
        <v>865</v>
      </c>
      <c r="M91" s="5">
        <v>45754</v>
      </c>
      <c r="N91" s="3">
        <f>VLOOKUP(NavDataRegion[[#This Row],[Spool No]],[1]Sheet2!$B:$U,20,0)</f>
        <v>5.3184199999999997</v>
      </c>
      <c r="O91" s="2">
        <v>0.5</v>
      </c>
      <c r="P91" s="2">
        <v>0.5</v>
      </c>
      <c r="Q91" s="2"/>
    </row>
    <row r="92" spans="1:17" ht="20.100000000000001" customHeight="1">
      <c r="A92" s="2" t="s">
        <v>9</v>
      </c>
      <c r="B92" s="2" t="s">
        <v>1255</v>
      </c>
      <c r="C92" s="2" t="s">
        <v>1256</v>
      </c>
      <c r="D92" s="2" t="e">
        <f>VLOOKUP(C:C,Vlookup!A:A,1,0)</f>
        <v>#N/A</v>
      </c>
      <c r="E92" s="2">
        <v>14</v>
      </c>
      <c r="F92" s="17" t="s">
        <v>10</v>
      </c>
      <c r="G92" s="17" t="s">
        <v>25</v>
      </c>
      <c r="H92" s="2" t="s">
        <v>11</v>
      </c>
      <c r="I92" s="2">
        <v>1</v>
      </c>
      <c r="J92" s="5">
        <v>46100</v>
      </c>
      <c r="K92" s="5">
        <v>46101</v>
      </c>
      <c r="L92" s="2" t="s">
        <v>865</v>
      </c>
      <c r="M92" s="5">
        <v>45754</v>
      </c>
      <c r="N92" s="3">
        <f>VLOOKUP(NavDataRegion[[#This Row],[Spool No]],[1]Sheet2!$B:$U,20,0)</f>
        <v>0.38718000000000002</v>
      </c>
      <c r="O92" s="2">
        <v>0</v>
      </c>
      <c r="P92" s="2">
        <v>0.5</v>
      </c>
      <c r="Q92" s="2"/>
    </row>
    <row r="93" spans="1:17" ht="20.100000000000001" customHeight="1">
      <c r="A93" s="2" t="s">
        <v>9</v>
      </c>
      <c r="B93" s="2" t="s">
        <v>1255</v>
      </c>
      <c r="C93" s="2" t="s">
        <v>1741</v>
      </c>
      <c r="D93" s="2" t="e">
        <f>VLOOKUP(C:C,Vlookup!A:A,1,0)</f>
        <v>#N/A</v>
      </c>
      <c r="E93" s="2">
        <v>14</v>
      </c>
      <c r="F93" s="17" t="s">
        <v>10</v>
      </c>
      <c r="G93" s="17" t="s">
        <v>25</v>
      </c>
      <c r="H93" s="2" t="s">
        <v>11</v>
      </c>
      <c r="I93" s="2">
        <v>1</v>
      </c>
      <c r="J93" s="5">
        <v>46100</v>
      </c>
      <c r="K93" s="5">
        <v>46101</v>
      </c>
      <c r="L93" s="2" t="s">
        <v>865</v>
      </c>
      <c r="M93" s="5">
        <v>45754</v>
      </c>
      <c r="N93" s="3">
        <f>VLOOKUP(NavDataRegion[[#This Row],[Spool No]],[1]Sheet2!$B:$U,20,0)</f>
        <v>4.7237999999999998</v>
      </c>
      <c r="O93" s="2">
        <v>2.5</v>
      </c>
      <c r="P93" s="2">
        <v>0.5</v>
      </c>
      <c r="Q93" s="2"/>
    </row>
    <row r="94" spans="1:17" ht="20.100000000000001" customHeight="1">
      <c r="A94" s="2" t="s">
        <v>9</v>
      </c>
      <c r="B94" s="2" t="s">
        <v>297</v>
      </c>
      <c r="C94" s="2" t="s">
        <v>469</v>
      </c>
      <c r="D94" s="2" t="e">
        <f>VLOOKUP(C:C,Vlookup!A:A,1,0)</f>
        <v>#N/A</v>
      </c>
      <c r="E94" s="2">
        <v>13</v>
      </c>
      <c r="F94" s="2" t="s">
        <v>470</v>
      </c>
      <c r="G94" s="2" t="s">
        <v>25</v>
      </c>
      <c r="H94" s="2" t="s">
        <v>11</v>
      </c>
      <c r="I94" s="2">
        <v>1</v>
      </c>
      <c r="J94" s="5">
        <v>46087</v>
      </c>
      <c r="K94" s="5">
        <v>46094</v>
      </c>
      <c r="L94" s="2" t="s">
        <v>865</v>
      </c>
      <c r="M94" s="5">
        <v>46105</v>
      </c>
      <c r="N94" s="3">
        <f>VLOOKUP(NavDataRegion[[#This Row],[Spool No]],[1]Sheet2!$B:$U,20,0)</f>
        <v>90.252960000000002</v>
      </c>
      <c r="O94" s="2">
        <v>12</v>
      </c>
      <c r="P94" s="2">
        <v>4</v>
      </c>
      <c r="Q94" s="2"/>
    </row>
    <row r="95" spans="1:17" ht="20.100000000000001" customHeight="1">
      <c r="A95" s="2" t="s">
        <v>9</v>
      </c>
      <c r="B95" s="2" t="s">
        <v>326</v>
      </c>
      <c r="C95" s="2" t="s">
        <v>482</v>
      </c>
      <c r="D95" s="2" t="e">
        <f>VLOOKUP(C:C,Vlookup!A:A,1,0)</f>
        <v>#N/A</v>
      </c>
      <c r="E95" s="2">
        <v>7</v>
      </c>
      <c r="F95" s="2" t="s">
        <v>10</v>
      </c>
      <c r="G95" s="2" t="s">
        <v>16</v>
      </c>
      <c r="H95" s="2" t="s">
        <v>11</v>
      </c>
      <c r="I95" s="2">
        <v>1</v>
      </c>
      <c r="J95" s="5">
        <v>46043</v>
      </c>
      <c r="K95" s="5">
        <v>46043</v>
      </c>
      <c r="L95" s="2" t="s">
        <v>865</v>
      </c>
      <c r="M95" s="5">
        <v>46091</v>
      </c>
      <c r="N95" s="3">
        <f>VLOOKUP(NavDataRegion[[#This Row],[Spool No]],[1]Sheet2!$B:$U,20,0)</f>
        <v>187.20051318399999</v>
      </c>
      <c r="O95" s="2">
        <v>17</v>
      </c>
      <c r="P95" s="2">
        <v>4</v>
      </c>
      <c r="Q95" s="2"/>
    </row>
    <row r="96" spans="1:17" ht="20.100000000000001" customHeight="1">
      <c r="A96" s="2" t="s">
        <v>9</v>
      </c>
      <c r="B96" s="2" t="s">
        <v>328</v>
      </c>
      <c r="C96" s="2" t="s">
        <v>483</v>
      </c>
      <c r="D96" s="2" t="e">
        <f>VLOOKUP(C:C,Vlookup!A:A,1,0)</f>
        <v>#N/A</v>
      </c>
      <c r="E96" s="2">
        <v>7</v>
      </c>
      <c r="F96" s="2" t="s">
        <v>10</v>
      </c>
      <c r="G96" s="2" t="s">
        <v>16</v>
      </c>
      <c r="H96" s="2" t="s">
        <v>11</v>
      </c>
      <c r="I96" s="2">
        <v>1</v>
      </c>
      <c r="J96" s="5">
        <v>46036</v>
      </c>
      <c r="K96" s="5">
        <v>46037</v>
      </c>
      <c r="L96" s="2" t="s">
        <v>865</v>
      </c>
      <c r="M96" s="5">
        <v>46091</v>
      </c>
      <c r="N96" s="3">
        <f>VLOOKUP(NavDataRegion[[#This Row],[Spool No]],[1]Sheet2!$B:$U,20,0)</f>
        <v>188.99633318400001</v>
      </c>
      <c r="O96" s="2">
        <v>15</v>
      </c>
      <c r="P96" s="2">
        <v>4</v>
      </c>
      <c r="Q96" s="2"/>
    </row>
    <row r="97" spans="1:17" ht="20.100000000000001" customHeight="1">
      <c r="A97" s="2" t="s">
        <v>9</v>
      </c>
      <c r="B97" s="2" t="s">
        <v>164</v>
      </c>
      <c r="C97" s="2" t="s">
        <v>533</v>
      </c>
      <c r="D97" s="2" t="e">
        <f>VLOOKUP(C:C,Vlookup!A:A,1,0)</f>
        <v>#N/A</v>
      </c>
      <c r="E97" s="2">
        <v>11</v>
      </c>
      <c r="F97" s="2" t="s">
        <v>534</v>
      </c>
      <c r="G97" s="2" t="s">
        <v>16</v>
      </c>
      <c r="H97" s="2" t="s">
        <v>11</v>
      </c>
      <c r="I97" s="2">
        <v>1</v>
      </c>
      <c r="J97" s="5">
        <v>46064</v>
      </c>
      <c r="K97" s="5">
        <v>46069</v>
      </c>
      <c r="L97" s="2" t="s">
        <v>865</v>
      </c>
      <c r="M97" s="5">
        <v>46105</v>
      </c>
      <c r="N97" s="3">
        <f>VLOOKUP(NavDataRegion[[#This Row],[Spool No]],[1]Sheet2!$B:$U,20,0)</f>
        <v>275.04494318399998</v>
      </c>
      <c r="O97" s="2">
        <v>20</v>
      </c>
      <c r="P97" s="2">
        <v>4</v>
      </c>
      <c r="Q97" s="2"/>
    </row>
    <row r="98" spans="1:17" ht="20.100000000000001" customHeight="1">
      <c r="A98" s="2" t="s">
        <v>9</v>
      </c>
      <c r="B98" s="2" t="s">
        <v>1257</v>
      </c>
      <c r="C98" s="2" t="s">
        <v>1258</v>
      </c>
      <c r="D98" s="2" t="e">
        <f>VLOOKUP(C:C,Vlookup!A:A,1,0)</f>
        <v>#N/A</v>
      </c>
      <c r="E98" s="2">
        <v>14</v>
      </c>
      <c r="F98" s="17" t="s">
        <v>10</v>
      </c>
      <c r="G98" s="17" t="s">
        <v>25</v>
      </c>
      <c r="H98" s="2" t="s">
        <v>11</v>
      </c>
      <c r="I98" s="2">
        <v>1</v>
      </c>
      <c r="J98" s="5">
        <v>46100</v>
      </c>
      <c r="K98" s="5">
        <v>46101</v>
      </c>
      <c r="L98" s="2" t="s">
        <v>865</v>
      </c>
      <c r="M98" s="5">
        <v>45754</v>
      </c>
      <c r="N98" s="3">
        <f>VLOOKUP(NavDataRegion[[#This Row],[Spool No]],[1]Sheet2!$B:$U,20,0)</f>
        <v>9.83</v>
      </c>
      <c r="O98" s="2">
        <v>0.5</v>
      </c>
      <c r="P98" s="2">
        <v>0.5</v>
      </c>
      <c r="Q98" s="2"/>
    </row>
    <row r="99" spans="1:17" ht="20.100000000000001" customHeight="1">
      <c r="A99" s="2" t="s">
        <v>9</v>
      </c>
      <c r="B99" s="2" t="s">
        <v>1349</v>
      </c>
      <c r="C99" s="2" t="s">
        <v>1350</v>
      </c>
      <c r="D99" s="2" t="e">
        <f>VLOOKUP(C:C,Vlookup!A:A,1,0)</f>
        <v>#N/A</v>
      </c>
      <c r="E99" s="2">
        <v>14</v>
      </c>
      <c r="F99" s="17" t="s">
        <v>10</v>
      </c>
      <c r="G99" s="17" t="s">
        <v>281</v>
      </c>
      <c r="H99" s="2" t="s">
        <v>11</v>
      </c>
      <c r="I99" s="2">
        <v>1</v>
      </c>
      <c r="J99" s="5">
        <v>46105</v>
      </c>
      <c r="K99" s="5">
        <v>46106</v>
      </c>
      <c r="L99" s="2" t="s">
        <v>865</v>
      </c>
      <c r="M99" s="5">
        <v>45754</v>
      </c>
      <c r="N99" s="3">
        <f>VLOOKUP(NavDataRegion[[#This Row],[Spool No]],[1]Sheet2!$B:$U,20,0)</f>
        <v>2.17658</v>
      </c>
      <c r="O99" s="2">
        <v>3</v>
      </c>
      <c r="P99" s="2">
        <v>0.5</v>
      </c>
      <c r="Q99" s="2"/>
    </row>
    <row r="100" spans="1:17" ht="20.100000000000001" customHeight="1">
      <c r="A100" s="2" t="s">
        <v>9</v>
      </c>
      <c r="B100" s="2" t="s">
        <v>191</v>
      </c>
      <c r="C100" s="2" t="s">
        <v>548</v>
      </c>
      <c r="D100" s="2" t="e">
        <f>VLOOKUP(C:C,Vlookup!A:A,1,0)</f>
        <v>#N/A</v>
      </c>
      <c r="E100" s="2">
        <v>12</v>
      </c>
      <c r="F100" s="2" t="s">
        <v>10</v>
      </c>
      <c r="G100" s="2" t="s">
        <v>25</v>
      </c>
      <c r="H100" s="2" t="s">
        <v>11</v>
      </c>
      <c r="I100" s="2">
        <v>1</v>
      </c>
      <c r="J100" s="5">
        <v>46073</v>
      </c>
      <c r="K100" s="5">
        <v>46076</v>
      </c>
      <c r="L100" s="2" t="s">
        <v>865</v>
      </c>
      <c r="M100" s="5">
        <v>46105</v>
      </c>
      <c r="N100" s="3">
        <f>VLOOKUP(NavDataRegion[[#This Row],[Spool No]],[1]Sheet2!$B:$U,20,0)</f>
        <v>49.999600000000001</v>
      </c>
      <c r="O100" s="2">
        <v>8</v>
      </c>
      <c r="P100" s="2">
        <v>4</v>
      </c>
      <c r="Q100" s="2"/>
    </row>
    <row r="101" spans="1:17" ht="20.100000000000001" customHeight="1">
      <c r="A101" s="2" t="s">
        <v>9</v>
      </c>
      <c r="B101" s="2" t="s">
        <v>1351</v>
      </c>
      <c r="C101" s="2" t="s">
        <v>1352</v>
      </c>
      <c r="D101" s="2" t="e">
        <f>VLOOKUP(C:C,Vlookup!A:A,1,0)</f>
        <v>#N/A</v>
      </c>
      <c r="E101" s="2">
        <v>14</v>
      </c>
      <c r="F101" s="17" t="s">
        <v>10</v>
      </c>
      <c r="G101" s="17" t="s">
        <v>281</v>
      </c>
      <c r="H101" s="2" t="s">
        <v>11</v>
      </c>
      <c r="I101" s="2">
        <v>1</v>
      </c>
      <c r="J101" s="5">
        <v>46105</v>
      </c>
      <c r="K101" s="5">
        <v>46106</v>
      </c>
      <c r="L101" s="2" t="s">
        <v>865</v>
      </c>
      <c r="M101" s="5">
        <v>45754</v>
      </c>
      <c r="N101" s="3">
        <f>VLOOKUP(NavDataRegion[[#This Row],[Spool No]],[1]Sheet2!$B:$U,20,0)</f>
        <v>7.0803200000000004</v>
      </c>
      <c r="O101" s="2">
        <v>3</v>
      </c>
      <c r="P101" s="2">
        <v>0.5</v>
      </c>
      <c r="Q101" s="2"/>
    </row>
    <row r="102" spans="1:17" ht="20.100000000000001" customHeight="1">
      <c r="A102" s="2" t="s">
        <v>9</v>
      </c>
      <c r="B102" s="2" t="s">
        <v>1257</v>
      </c>
      <c r="C102" s="2" t="s">
        <v>1586</v>
      </c>
      <c r="D102" s="2" t="e">
        <f>VLOOKUP(C:C,Vlookup!A:A,1,0)</f>
        <v>#N/A</v>
      </c>
      <c r="E102" s="2">
        <v>14</v>
      </c>
      <c r="F102" s="17" t="s">
        <v>10</v>
      </c>
      <c r="G102" s="17" t="s">
        <v>25</v>
      </c>
      <c r="H102" s="2" t="s">
        <v>11</v>
      </c>
      <c r="I102" s="2">
        <v>1</v>
      </c>
      <c r="J102" s="5">
        <v>46100</v>
      </c>
      <c r="K102" s="5">
        <v>46101</v>
      </c>
      <c r="L102" s="2" t="s">
        <v>865</v>
      </c>
      <c r="M102" s="5">
        <v>45754</v>
      </c>
      <c r="N102" s="3">
        <f>VLOOKUP(NavDataRegion[[#This Row],[Spool No]],[1]Sheet2!$B:$U,20,0)</f>
        <v>1.8385800000000001</v>
      </c>
      <c r="O102" s="2">
        <v>2.5</v>
      </c>
      <c r="P102" s="2">
        <v>0.5</v>
      </c>
      <c r="Q102" s="2"/>
    </row>
    <row r="103" spans="1:17" ht="20.100000000000001" customHeight="1">
      <c r="A103" s="2" t="s">
        <v>9</v>
      </c>
      <c r="B103" s="2" t="s">
        <v>905</v>
      </c>
      <c r="C103" s="2" t="s">
        <v>1460</v>
      </c>
      <c r="D103" s="2" t="e">
        <f>VLOOKUP(C:C,Vlookup!A:A,1,0)</f>
        <v>#N/A</v>
      </c>
      <c r="E103" s="2">
        <v>14</v>
      </c>
      <c r="F103" s="17" t="s">
        <v>10</v>
      </c>
      <c r="G103" s="17" t="s">
        <v>281</v>
      </c>
      <c r="H103" s="2" t="s">
        <v>11</v>
      </c>
      <c r="I103" s="2">
        <v>1</v>
      </c>
      <c r="J103" s="5">
        <v>46105</v>
      </c>
      <c r="K103" s="5">
        <v>46106</v>
      </c>
      <c r="L103" s="2" t="s">
        <v>865</v>
      </c>
      <c r="M103" s="5">
        <v>45754</v>
      </c>
      <c r="N103" s="3">
        <f>VLOOKUP(NavDataRegion[[#This Row],[Spool No]],[1]Sheet2!$B:$U,20,0)</f>
        <v>5.9145799999999999</v>
      </c>
      <c r="O103" s="2">
        <v>0.5</v>
      </c>
      <c r="P103" s="2">
        <v>0.5</v>
      </c>
      <c r="Q103" s="2"/>
    </row>
    <row r="104" spans="1:17" ht="20.100000000000001" customHeight="1">
      <c r="A104" s="2" t="s">
        <v>9</v>
      </c>
      <c r="B104" s="2" t="s">
        <v>317</v>
      </c>
      <c r="C104" s="2" t="s">
        <v>605</v>
      </c>
      <c r="D104" s="2" t="e">
        <f>VLOOKUP(C:C,Vlookup!A:A,1,0)</f>
        <v>#N/A</v>
      </c>
      <c r="E104" s="2">
        <v>3</v>
      </c>
      <c r="F104" s="2" t="s">
        <v>10</v>
      </c>
      <c r="G104" s="2" t="s">
        <v>281</v>
      </c>
      <c r="H104" s="2" t="s">
        <v>11</v>
      </c>
      <c r="I104" s="2">
        <v>1</v>
      </c>
      <c r="J104" s="5">
        <v>46003</v>
      </c>
      <c r="K104" s="5">
        <v>46006</v>
      </c>
      <c r="L104" s="2" t="s">
        <v>865</v>
      </c>
      <c r="M104" s="5">
        <v>46090</v>
      </c>
      <c r="N104" s="3">
        <f>VLOOKUP(NavDataRegion[[#This Row],[Spool No]],[1]Sheet2!$B:$U,20,0)</f>
        <v>124.81984</v>
      </c>
      <c r="O104" s="2">
        <v>12</v>
      </c>
      <c r="P104" s="2">
        <v>4</v>
      </c>
      <c r="Q104" s="2"/>
    </row>
    <row r="105" spans="1:17" ht="20.100000000000001" customHeight="1">
      <c r="A105" s="2" t="s">
        <v>9</v>
      </c>
      <c r="B105" s="2" t="s">
        <v>326</v>
      </c>
      <c r="C105" s="2" t="s">
        <v>609</v>
      </c>
      <c r="D105" s="2" t="e">
        <f>VLOOKUP(C:C,Vlookup!A:A,1,0)</f>
        <v>#N/A</v>
      </c>
      <c r="E105" s="2">
        <v>6</v>
      </c>
      <c r="F105" s="2" t="s">
        <v>10</v>
      </c>
      <c r="G105" s="2" t="s">
        <v>16</v>
      </c>
      <c r="H105" s="2" t="s">
        <v>11</v>
      </c>
      <c r="I105" s="2">
        <v>1</v>
      </c>
      <c r="J105" s="5">
        <v>46017</v>
      </c>
      <c r="K105" s="5">
        <v>46027</v>
      </c>
      <c r="L105" s="2" t="s">
        <v>865</v>
      </c>
      <c r="M105" s="5">
        <v>46091</v>
      </c>
      <c r="N105" s="3">
        <f>VLOOKUP(NavDataRegion[[#This Row],[Spool No]],[1]Sheet2!$B:$U,20,0)</f>
        <v>178.672769776</v>
      </c>
      <c r="O105" s="2">
        <v>14.5</v>
      </c>
      <c r="P105" s="2">
        <v>4</v>
      </c>
      <c r="Q105" s="2"/>
    </row>
    <row r="106" spans="1:17" ht="20.100000000000001" customHeight="1">
      <c r="A106" s="2" t="s">
        <v>9</v>
      </c>
      <c r="B106" s="2" t="s">
        <v>981</v>
      </c>
      <c r="C106" s="2" t="s">
        <v>1496</v>
      </c>
      <c r="D106" s="2" t="e">
        <f>VLOOKUP(C:C,Vlookup!A:A,1,0)</f>
        <v>#N/A</v>
      </c>
      <c r="E106" s="2">
        <v>14</v>
      </c>
      <c r="F106" s="17" t="s">
        <v>10</v>
      </c>
      <c r="G106" s="17" t="s">
        <v>25</v>
      </c>
      <c r="H106" s="2" t="s">
        <v>11</v>
      </c>
      <c r="I106" s="2">
        <v>1</v>
      </c>
      <c r="J106" s="5">
        <v>46105</v>
      </c>
      <c r="K106" s="5">
        <v>46106</v>
      </c>
      <c r="L106" s="2" t="s">
        <v>865</v>
      </c>
      <c r="M106" s="5">
        <v>45754</v>
      </c>
      <c r="N106" s="3">
        <f>VLOOKUP(NavDataRegion[[#This Row],[Spool No]],[1]Sheet2!$B:$U,20,0)</f>
        <v>12.11364</v>
      </c>
      <c r="O106" s="2">
        <v>2.5</v>
      </c>
      <c r="P106" s="2">
        <v>0.5</v>
      </c>
      <c r="Q106" s="2"/>
    </row>
    <row r="107" spans="1:17" ht="20.100000000000001" customHeight="1">
      <c r="A107" s="2" t="s">
        <v>9</v>
      </c>
      <c r="B107" s="2" t="s">
        <v>933</v>
      </c>
      <c r="C107" s="2" t="s">
        <v>1917</v>
      </c>
      <c r="D107" s="2" t="e">
        <f>VLOOKUP(C:C,Vlookup!A:A,1,0)</f>
        <v>#N/A</v>
      </c>
      <c r="E107" s="2">
        <v>14</v>
      </c>
      <c r="F107" s="17" t="s">
        <v>10</v>
      </c>
      <c r="G107" s="17" t="s">
        <v>25</v>
      </c>
      <c r="H107" s="2" t="s">
        <v>11</v>
      </c>
      <c r="I107" s="2">
        <v>1</v>
      </c>
      <c r="J107" s="5">
        <v>46098</v>
      </c>
      <c r="K107" s="5">
        <v>46099</v>
      </c>
      <c r="L107" s="2" t="s">
        <v>865</v>
      </c>
      <c r="M107" s="5">
        <v>45754</v>
      </c>
      <c r="N107" s="3">
        <f>VLOOKUP(NavDataRegion[[#This Row],[Spool No]],[1]Sheet2!$B:$U,20,0)</f>
        <v>7.9384800000000002</v>
      </c>
      <c r="O107" s="2">
        <v>1</v>
      </c>
      <c r="P107" s="2">
        <v>1</v>
      </c>
      <c r="Q107" s="2"/>
    </row>
    <row r="108" spans="1:17" ht="20.100000000000001" customHeight="1">
      <c r="A108" s="2" t="s">
        <v>9</v>
      </c>
      <c r="B108" s="2" t="s">
        <v>951</v>
      </c>
      <c r="C108" s="2" t="s">
        <v>1671</v>
      </c>
      <c r="D108" s="2" t="e">
        <f>VLOOKUP(C:C,Vlookup!A:A,1,0)</f>
        <v>#N/A</v>
      </c>
      <c r="E108" s="2">
        <v>14</v>
      </c>
      <c r="F108" s="17" t="s">
        <v>10</v>
      </c>
      <c r="G108" s="17" t="s">
        <v>25</v>
      </c>
      <c r="H108" s="2" t="s">
        <v>11</v>
      </c>
      <c r="I108" s="2">
        <v>1</v>
      </c>
      <c r="J108" s="5">
        <v>46098</v>
      </c>
      <c r="K108" s="5">
        <v>46099</v>
      </c>
      <c r="L108" s="2" t="s">
        <v>865</v>
      </c>
      <c r="M108" s="5">
        <v>45754</v>
      </c>
      <c r="N108" s="3">
        <f>VLOOKUP(NavDataRegion[[#This Row],[Spool No]],[1]Sheet2!$B:$U,20,0)</f>
        <v>17.890360000000001</v>
      </c>
      <c r="O108" s="2">
        <v>5</v>
      </c>
      <c r="P108" s="2">
        <v>1</v>
      </c>
      <c r="Q108" s="2"/>
    </row>
    <row r="109" spans="1:17" ht="20.100000000000001" customHeight="1">
      <c r="A109" s="2" t="s">
        <v>9</v>
      </c>
      <c r="B109" s="2" t="s">
        <v>959</v>
      </c>
      <c r="C109" s="2" t="s">
        <v>1796</v>
      </c>
      <c r="D109" s="2" t="e">
        <f>VLOOKUP(C:C,Vlookup!A:A,1,0)</f>
        <v>#N/A</v>
      </c>
      <c r="E109" s="2">
        <v>14</v>
      </c>
      <c r="F109" s="17" t="s">
        <v>10</v>
      </c>
      <c r="G109" s="17" t="s">
        <v>25</v>
      </c>
      <c r="H109" s="2" t="s">
        <v>11</v>
      </c>
      <c r="I109" s="2">
        <v>1</v>
      </c>
      <c r="J109" s="5">
        <v>46098</v>
      </c>
      <c r="K109" s="5">
        <v>46099</v>
      </c>
      <c r="L109" s="2" t="s">
        <v>865</v>
      </c>
      <c r="M109" s="5">
        <v>45754</v>
      </c>
      <c r="N109" s="3">
        <f>VLOOKUP(NavDataRegion[[#This Row],[Spool No]],[1]Sheet2!$B:$U,20,0)</f>
        <v>19.749960000000002</v>
      </c>
      <c r="O109" s="2">
        <v>10</v>
      </c>
      <c r="P109" s="2">
        <v>1</v>
      </c>
      <c r="Q109" s="2"/>
    </row>
    <row r="110" spans="1:17" ht="20.100000000000001" customHeight="1">
      <c r="A110" s="2" t="s">
        <v>9</v>
      </c>
      <c r="B110" s="2" t="s">
        <v>965</v>
      </c>
      <c r="C110" s="2" t="s">
        <v>966</v>
      </c>
      <c r="D110" s="2" t="e">
        <f>VLOOKUP(C:C,Vlookup!A:A,1,0)</f>
        <v>#N/A</v>
      </c>
      <c r="E110" s="2">
        <v>14</v>
      </c>
      <c r="F110" s="17" t="s">
        <v>10</v>
      </c>
      <c r="G110" s="17" t="s">
        <v>25</v>
      </c>
      <c r="H110" s="2" t="s">
        <v>11</v>
      </c>
      <c r="I110" s="2">
        <v>1</v>
      </c>
      <c r="J110" s="5">
        <v>46098</v>
      </c>
      <c r="K110" s="5">
        <v>46099</v>
      </c>
      <c r="L110" s="2" t="s">
        <v>865</v>
      </c>
      <c r="M110" s="5">
        <v>45754</v>
      </c>
      <c r="N110" s="3">
        <f>VLOOKUP(NavDataRegion[[#This Row],[Spool No]],[1]Sheet2!$B:$U,20,0)</f>
        <v>21.171600000000002</v>
      </c>
      <c r="O110" s="2">
        <v>5</v>
      </c>
      <c r="P110" s="2">
        <v>1</v>
      </c>
      <c r="Q110" s="2"/>
    </row>
    <row r="111" spans="1:17" ht="20.100000000000001" customHeight="1">
      <c r="A111" s="2" t="s">
        <v>9</v>
      </c>
      <c r="B111" s="2" t="s">
        <v>295</v>
      </c>
      <c r="C111" s="2" t="s">
        <v>692</v>
      </c>
      <c r="D111" s="2" t="e">
        <f>VLOOKUP(C:C,Vlookup!A:A,1,0)</f>
        <v>#N/A</v>
      </c>
      <c r="E111" s="2">
        <v>13</v>
      </c>
      <c r="F111" s="2" t="s">
        <v>10</v>
      </c>
      <c r="G111" s="2" t="s">
        <v>10</v>
      </c>
      <c r="H111" s="2" t="s">
        <v>11</v>
      </c>
      <c r="I111" s="2">
        <v>1</v>
      </c>
      <c r="J111" s="5">
        <v>46087</v>
      </c>
      <c r="K111" s="5">
        <v>46090</v>
      </c>
      <c r="L111" s="2" t="s">
        <v>865</v>
      </c>
      <c r="M111" s="5">
        <v>46105</v>
      </c>
      <c r="N111" s="3">
        <f>VLOOKUP(NavDataRegion[[#This Row],[Spool No]],[1]Sheet2!$B:$U,20,0)</f>
        <v>11.02608</v>
      </c>
      <c r="O111" s="2">
        <v>0</v>
      </c>
      <c r="P111" s="2">
        <v>4</v>
      </c>
      <c r="Q111" s="2"/>
    </row>
    <row r="112" spans="1:17" ht="20.100000000000001" customHeight="1">
      <c r="A112" s="2" t="s">
        <v>9</v>
      </c>
      <c r="B112" s="2" t="s">
        <v>317</v>
      </c>
      <c r="C112" s="2" t="s">
        <v>697</v>
      </c>
      <c r="D112" s="2" t="e">
        <f>VLOOKUP(C:C,Vlookup!A:A,1,0)</f>
        <v>#N/A</v>
      </c>
      <c r="E112" s="2">
        <v>5</v>
      </c>
      <c r="F112" s="2" t="s">
        <v>10</v>
      </c>
      <c r="G112" s="2" t="s">
        <v>276</v>
      </c>
      <c r="H112" s="2" t="s">
        <v>11</v>
      </c>
      <c r="I112" s="2">
        <v>1</v>
      </c>
      <c r="J112" s="5">
        <v>46015</v>
      </c>
      <c r="K112" s="5">
        <v>46016</v>
      </c>
      <c r="L112" s="2" t="s">
        <v>865</v>
      </c>
      <c r="M112" s="5">
        <v>46090</v>
      </c>
      <c r="N112" s="3">
        <f>VLOOKUP(NavDataRegion[[#This Row],[Spool No]],[1]Sheet2!$B:$U,20,0)</f>
        <v>194.61141659200001</v>
      </c>
      <c r="O112" s="2">
        <v>8</v>
      </c>
      <c r="P112" s="2">
        <v>4</v>
      </c>
      <c r="Q112" s="2"/>
    </row>
    <row r="113" spans="1:17" ht="20.100000000000001" customHeight="1">
      <c r="A113" s="2" t="s">
        <v>9</v>
      </c>
      <c r="B113" s="2" t="s">
        <v>326</v>
      </c>
      <c r="C113" s="2" t="s">
        <v>701</v>
      </c>
      <c r="D113" s="2" t="e">
        <f>VLOOKUP(C:C,Vlookup!A:A,1,0)</f>
        <v>#N/A</v>
      </c>
      <c r="E113" s="2">
        <v>7</v>
      </c>
      <c r="F113" s="2" t="s">
        <v>10</v>
      </c>
      <c r="G113" s="2" t="s">
        <v>16</v>
      </c>
      <c r="H113" s="2" t="s">
        <v>11</v>
      </c>
      <c r="I113" s="2">
        <v>1</v>
      </c>
      <c r="J113" s="5">
        <v>46043</v>
      </c>
      <c r="K113" s="5">
        <v>46043</v>
      </c>
      <c r="L113" s="2" t="s">
        <v>865</v>
      </c>
      <c r="M113" s="5">
        <v>46091</v>
      </c>
      <c r="N113" s="3">
        <f>VLOOKUP(NavDataRegion[[#This Row],[Spool No]],[1]Sheet2!$B:$U,20,0)</f>
        <v>73.557316592000006</v>
      </c>
      <c r="O113" s="2">
        <v>27.5</v>
      </c>
      <c r="P113" s="2">
        <v>4</v>
      </c>
      <c r="Q113" s="2"/>
    </row>
    <row r="114" spans="1:17" ht="20.100000000000001" customHeight="1">
      <c r="A114" s="2" t="s">
        <v>9</v>
      </c>
      <c r="B114" s="2" t="s">
        <v>328</v>
      </c>
      <c r="C114" s="2" t="s">
        <v>702</v>
      </c>
      <c r="D114" s="2" t="e">
        <f>VLOOKUP(C:C,Vlookup!A:A,1,0)</f>
        <v>#N/A</v>
      </c>
      <c r="E114" s="2">
        <v>11</v>
      </c>
      <c r="F114" s="2" t="s">
        <v>10</v>
      </c>
      <c r="G114" s="2" t="s">
        <v>16</v>
      </c>
      <c r="H114" s="2" t="s">
        <v>11</v>
      </c>
      <c r="I114" s="2">
        <v>1</v>
      </c>
      <c r="J114" s="5">
        <v>46064</v>
      </c>
      <c r="K114" s="5">
        <v>46069</v>
      </c>
      <c r="L114" s="2" t="s">
        <v>865</v>
      </c>
      <c r="M114" s="5">
        <v>46105</v>
      </c>
      <c r="N114" s="3">
        <f>VLOOKUP(NavDataRegion[[#This Row],[Spool No]],[1]Sheet2!$B:$U,20,0)</f>
        <v>70.412586591999997</v>
      </c>
      <c r="O114" s="2">
        <v>15</v>
      </c>
      <c r="P114" s="2">
        <v>4</v>
      </c>
      <c r="Q114" s="2"/>
    </row>
    <row r="115" spans="1:17" ht="20.100000000000001" customHeight="1">
      <c r="A115" s="2" t="s">
        <v>9</v>
      </c>
      <c r="B115" s="2" t="s">
        <v>169</v>
      </c>
      <c r="C115" s="2" t="s">
        <v>727</v>
      </c>
      <c r="D115" s="2" t="e">
        <f>VLOOKUP(C:C,Vlookup!A:A,1,0)</f>
        <v>#N/A</v>
      </c>
      <c r="E115" s="2">
        <v>3</v>
      </c>
      <c r="F115" s="2" t="s">
        <v>10</v>
      </c>
      <c r="G115" s="2" t="s">
        <v>25</v>
      </c>
      <c r="H115" s="2" t="s">
        <v>11</v>
      </c>
      <c r="I115" s="2">
        <v>1</v>
      </c>
      <c r="J115" s="5">
        <v>46003</v>
      </c>
      <c r="K115" s="5">
        <v>46006</v>
      </c>
      <c r="L115" s="2" t="s">
        <v>865</v>
      </c>
      <c r="M115" s="5">
        <v>46090</v>
      </c>
      <c r="N115" s="3">
        <f>VLOOKUP(NavDataRegion[[#This Row],[Spool No]],[1]Sheet2!$B:$U,20,0)</f>
        <v>17.47878</v>
      </c>
      <c r="O115" s="2">
        <v>0</v>
      </c>
      <c r="P115" s="2">
        <v>4</v>
      </c>
      <c r="Q115" s="2"/>
    </row>
    <row r="116" spans="1:17" ht="20.100000000000001" customHeight="1">
      <c r="A116" s="2" t="s">
        <v>9</v>
      </c>
      <c r="B116" s="2" t="s">
        <v>981</v>
      </c>
      <c r="C116" s="2" t="s">
        <v>982</v>
      </c>
      <c r="D116" s="2" t="e">
        <f>VLOOKUP(C:C,Vlookup!A:A,1,0)</f>
        <v>#N/A</v>
      </c>
      <c r="E116" s="2">
        <v>14</v>
      </c>
      <c r="F116" s="17" t="s">
        <v>10</v>
      </c>
      <c r="G116" s="17" t="s">
        <v>25</v>
      </c>
      <c r="H116" s="2" t="s">
        <v>11</v>
      </c>
      <c r="I116" s="2">
        <v>1</v>
      </c>
      <c r="J116" s="5">
        <v>46098</v>
      </c>
      <c r="K116" s="5">
        <v>46099</v>
      </c>
      <c r="L116" s="2" t="s">
        <v>865</v>
      </c>
      <c r="M116" s="5">
        <v>45754</v>
      </c>
      <c r="N116" s="3">
        <f>VLOOKUP(NavDataRegion[[#This Row],[Spool No]],[1]Sheet2!$B:$U,20,0)</f>
        <v>11.6548</v>
      </c>
      <c r="O116" s="2">
        <v>5.25</v>
      </c>
      <c r="P116" s="2">
        <v>0.75</v>
      </c>
      <c r="Q116" s="2"/>
    </row>
    <row r="117" spans="1:17" ht="20.100000000000001" customHeight="1">
      <c r="A117" s="2" t="s">
        <v>9</v>
      </c>
      <c r="B117" s="2" t="s">
        <v>351</v>
      </c>
      <c r="C117" s="2" t="s">
        <v>352</v>
      </c>
      <c r="D117" s="2" t="e">
        <f>VLOOKUP(C:C,Vlookup!A:A,1,0)</f>
        <v>#N/A</v>
      </c>
      <c r="E117" s="2">
        <v>17</v>
      </c>
      <c r="F117" s="2" t="s">
        <v>10</v>
      </c>
      <c r="G117" s="2" t="s">
        <v>25</v>
      </c>
      <c r="H117" s="2" t="s">
        <v>11</v>
      </c>
      <c r="I117" s="2">
        <v>1</v>
      </c>
      <c r="J117" s="5">
        <v>46100</v>
      </c>
      <c r="K117" s="5">
        <v>46111</v>
      </c>
      <c r="L117" s="2" t="s">
        <v>865</v>
      </c>
      <c r="M117" s="5">
        <v>45754</v>
      </c>
      <c r="N117" s="3">
        <f>VLOOKUP(NavDataRegion[[#This Row],[Spool No]],[1]Sheet2!$B:$U,20,0)</f>
        <v>7.83432</v>
      </c>
      <c r="O117" s="2">
        <v>2.5</v>
      </c>
      <c r="P117" s="2">
        <v>2.5</v>
      </c>
      <c r="Q117" s="2"/>
    </row>
    <row r="118" spans="1:17" ht="20.100000000000001" customHeight="1">
      <c r="A118" s="2" t="s">
        <v>9</v>
      </c>
      <c r="B118" s="2" t="s">
        <v>1257</v>
      </c>
      <c r="C118" s="2" t="s">
        <v>1742</v>
      </c>
      <c r="D118" s="2" t="e">
        <f>VLOOKUP(C:C,Vlookup!A:A,1,0)</f>
        <v>#N/A</v>
      </c>
      <c r="E118" s="2">
        <v>14</v>
      </c>
      <c r="F118" s="17" t="s">
        <v>10</v>
      </c>
      <c r="G118" s="17" t="s">
        <v>25</v>
      </c>
      <c r="H118" s="2" t="s">
        <v>11</v>
      </c>
      <c r="I118" s="2">
        <v>1</v>
      </c>
      <c r="J118" s="5">
        <v>46100</v>
      </c>
      <c r="K118" s="5">
        <v>46101</v>
      </c>
      <c r="L118" s="2" t="s">
        <v>865</v>
      </c>
      <c r="M118" s="5">
        <v>45754</v>
      </c>
      <c r="N118" s="3">
        <f>VLOOKUP(NavDataRegion[[#This Row],[Spool No]],[1]Sheet2!$B:$U,20,0)</f>
        <v>7.9817</v>
      </c>
      <c r="O118" s="2">
        <v>0.5</v>
      </c>
      <c r="P118" s="2">
        <v>0.5</v>
      </c>
      <c r="Q118" s="2"/>
    </row>
    <row r="119" spans="1:17" ht="20.100000000000001" customHeight="1">
      <c r="A119" s="2" t="s">
        <v>9</v>
      </c>
      <c r="B119" s="2" t="s">
        <v>328</v>
      </c>
      <c r="C119" s="2" t="s">
        <v>750</v>
      </c>
      <c r="D119" s="2" t="e">
        <f>VLOOKUP(C:C,Vlookup!A:A,1,0)</f>
        <v>#N/A</v>
      </c>
      <c r="E119" s="2">
        <v>8</v>
      </c>
      <c r="F119" s="2" t="s">
        <v>10</v>
      </c>
      <c r="G119" s="2" t="s">
        <v>16</v>
      </c>
      <c r="H119" s="2" t="s">
        <v>11</v>
      </c>
      <c r="I119" s="2">
        <v>1</v>
      </c>
      <c r="J119" s="5">
        <v>46045</v>
      </c>
      <c r="K119" s="5">
        <v>46045</v>
      </c>
      <c r="L119" s="2" t="s">
        <v>865</v>
      </c>
      <c r="M119" s="5">
        <v>46091</v>
      </c>
      <c r="N119" s="3">
        <f>VLOOKUP(NavDataRegion[[#This Row],[Spool No]],[1]Sheet2!$B:$U,20,0)</f>
        <v>53.603546592000001</v>
      </c>
      <c r="O119" s="2">
        <v>17</v>
      </c>
      <c r="P119" s="2">
        <v>4</v>
      </c>
      <c r="Q119" s="2"/>
    </row>
    <row r="120" spans="1:17" ht="20.100000000000001" customHeight="1">
      <c r="A120" s="2" t="s">
        <v>9</v>
      </c>
      <c r="B120" s="2" t="s">
        <v>191</v>
      </c>
      <c r="C120" s="2" t="s">
        <v>768</v>
      </c>
      <c r="D120" s="2" t="e">
        <f>VLOOKUP(C:C,Vlookup!A:A,1,0)</f>
        <v>#N/A</v>
      </c>
      <c r="E120" s="2">
        <v>13</v>
      </c>
      <c r="F120" s="2" t="s">
        <v>769</v>
      </c>
      <c r="G120" s="2" t="s">
        <v>16</v>
      </c>
      <c r="H120" s="2" t="s">
        <v>11</v>
      </c>
      <c r="I120" s="2">
        <v>1</v>
      </c>
      <c r="J120" s="5">
        <v>46087</v>
      </c>
      <c r="K120" s="5">
        <v>46094</v>
      </c>
      <c r="L120" s="2" t="s">
        <v>865</v>
      </c>
      <c r="M120" s="5">
        <v>46105</v>
      </c>
      <c r="N120" s="3">
        <f>VLOOKUP(NavDataRegion[[#This Row],[Spool No]],[1]Sheet2!$B:$U,20,0)</f>
        <v>333.79920318400002</v>
      </c>
      <c r="O120" s="2">
        <v>12</v>
      </c>
      <c r="P120" s="2">
        <v>4</v>
      </c>
      <c r="Q120" s="2"/>
    </row>
    <row r="121" spans="1:17" ht="20.100000000000001" customHeight="1">
      <c r="A121" s="2" t="s">
        <v>9</v>
      </c>
      <c r="B121" s="2" t="s">
        <v>23</v>
      </c>
      <c r="C121" s="2" t="s">
        <v>24</v>
      </c>
      <c r="D121" s="2" t="e">
        <f>VLOOKUP(C:C,Vlookup!A:A,1,0)</f>
        <v>#N/A</v>
      </c>
      <c r="E121" s="2">
        <v>2</v>
      </c>
      <c r="F121" s="2" t="s">
        <v>10</v>
      </c>
      <c r="G121" s="2" t="s">
        <v>25</v>
      </c>
      <c r="H121" s="2" t="s">
        <v>11</v>
      </c>
      <c r="I121" s="2">
        <v>1</v>
      </c>
      <c r="J121" s="5">
        <v>45988</v>
      </c>
      <c r="K121" s="5">
        <v>45989</v>
      </c>
      <c r="L121" s="2" t="s">
        <v>865</v>
      </c>
      <c r="M121" s="5">
        <v>46090</v>
      </c>
      <c r="N121" s="3">
        <f>VLOOKUP(NavDataRegion[[#This Row],[Spool No]],[1]Sheet2!$B:$U,20,0)</f>
        <v>22.22794</v>
      </c>
      <c r="O121" s="2">
        <v>6</v>
      </c>
      <c r="P121" s="2">
        <v>6</v>
      </c>
      <c r="Q121" s="2"/>
    </row>
    <row r="122" spans="1:17" ht="20.100000000000001" customHeight="1">
      <c r="A122" s="2" t="s">
        <v>9</v>
      </c>
      <c r="B122" s="2" t="s">
        <v>28</v>
      </c>
      <c r="C122" s="2" t="s">
        <v>29</v>
      </c>
      <c r="D122" s="2" t="e">
        <f>VLOOKUP(C:C,Vlookup!A:A,1,0)</f>
        <v>#N/A</v>
      </c>
      <c r="E122" s="2">
        <v>2</v>
      </c>
      <c r="F122" s="2" t="s">
        <v>10</v>
      </c>
      <c r="G122" s="2" t="s">
        <v>25</v>
      </c>
      <c r="H122" s="2" t="s">
        <v>11</v>
      </c>
      <c r="I122" s="2">
        <v>1</v>
      </c>
      <c r="J122" s="5">
        <v>45988</v>
      </c>
      <c r="K122" s="5">
        <v>45989</v>
      </c>
      <c r="L122" s="2" t="s">
        <v>865</v>
      </c>
      <c r="M122" s="5">
        <v>46090</v>
      </c>
      <c r="N122" s="3">
        <f>VLOOKUP(NavDataRegion[[#This Row],[Spool No]],[1]Sheet2!$B:$U,20,0)</f>
        <v>22.22794</v>
      </c>
      <c r="O122" s="2">
        <v>6</v>
      </c>
      <c r="P122" s="2">
        <v>6</v>
      </c>
      <c r="Q122" s="2"/>
    </row>
    <row r="123" spans="1:17" ht="20.100000000000001" customHeight="1">
      <c r="A123" s="2" t="s">
        <v>9</v>
      </c>
      <c r="B123" s="2" t="s">
        <v>23</v>
      </c>
      <c r="C123" s="2" t="s">
        <v>357</v>
      </c>
      <c r="D123" s="2" t="e">
        <f>VLOOKUP(C:C,Vlookup!A:A,1,0)</f>
        <v>#N/A</v>
      </c>
      <c r="E123" s="2">
        <v>3</v>
      </c>
      <c r="F123" s="2" t="s">
        <v>10</v>
      </c>
      <c r="G123" s="2" t="s">
        <v>16</v>
      </c>
      <c r="H123" s="2" t="s">
        <v>11</v>
      </c>
      <c r="I123" s="2">
        <v>1</v>
      </c>
      <c r="J123" s="5">
        <v>45989</v>
      </c>
      <c r="K123" s="5">
        <v>45992</v>
      </c>
      <c r="L123" s="2" t="s">
        <v>865</v>
      </c>
      <c r="M123" s="5">
        <v>46090</v>
      </c>
      <c r="N123" s="3">
        <f>VLOOKUP(NavDataRegion[[#This Row],[Spool No]],[1]Sheet2!$B:$U,20,0)</f>
        <v>173.09914000000001</v>
      </c>
      <c r="O123" s="2">
        <v>47</v>
      </c>
      <c r="P123" s="2">
        <v>6</v>
      </c>
      <c r="Q123" s="2"/>
    </row>
    <row r="124" spans="1:17" ht="20.100000000000001" customHeight="1">
      <c r="A124" s="2" t="s">
        <v>9</v>
      </c>
      <c r="B124" s="2" t="s">
        <v>32</v>
      </c>
      <c r="C124" s="2" t="s">
        <v>33</v>
      </c>
      <c r="D124" s="2" t="e">
        <f>VLOOKUP(C:C,Vlookup!A:A,1,0)</f>
        <v>#N/A</v>
      </c>
      <c r="E124" s="2">
        <v>2</v>
      </c>
      <c r="F124" s="2" t="s">
        <v>10</v>
      </c>
      <c r="G124" s="2" t="s">
        <v>25</v>
      </c>
      <c r="H124" s="2" t="s">
        <v>11</v>
      </c>
      <c r="I124" s="2">
        <v>1</v>
      </c>
      <c r="J124" s="5">
        <v>45988</v>
      </c>
      <c r="K124" s="5">
        <v>45989</v>
      </c>
      <c r="L124" s="2" t="s">
        <v>865</v>
      </c>
      <c r="M124" s="5">
        <v>46090</v>
      </c>
      <c r="N124" s="3">
        <f>VLOOKUP(NavDataRegion[[#This Row],[Spool No]],[1]Sheet2!$B:$U,20,0)</f>
        <v>22.22794</v>
      </c>
      <c r="O124" s="2">
        <v>6</v>
      </c>
      <c r="P124" s="2">
        <v>6</v>
      </c>
      <c r="Q124" s="2"/>
    </row>
    <row r="125" spans="1:17" ht="20.100000000000001" customHeight="1">
      <c r="A125" s="2" t="s">
        <v>9</v>
      </c>
      <c r="B125" s="2" t="s">
        <v>36</v>
      </c>
      <c r="C125" s="2" t="s">
        <v>37</v>
      </c>
      <c r="D125" s="2" t="e">
        <f>VLOOKUP(C:C,Vlookup!A:A,1,0)</f>
        <v>#N/A</v>
      </c>
      <c r="E125" s="2">
        <v>5</v>
      </c>
      <c r="F125" s="2" t="s">
        <v>10</v>
      </c>
      <c r="G125" s="2" t="s">
        <v>25</v>
      </c>
      <c r="H125" s="2" t="s">
        <v>11</v>
      </c>
      <c r="I125" s="2">
        <v>1</v>
      </c>
      <c r="J125" s="5">
        <v>46010</v>
      </c>
      <c r="K125" s="5">
        <v>46013</v>
      </c>
      <c r="L125" s="2" t="s">
        <v>865</v>
      </c>
      <c r="M125" s="5">
        <v>46090</v>
      </c>
      <c r="N125" s="3">
        <f>VLOOKUP(NavDataRegion[[#This Row],[Spool No]],[1]Sheet2!$B:$U,20,0)</f>
        <v>22.22794</v>
      </c>
      <c r="O125" s="2">
        <v>6</v>
      </c>
      <c r="P125" s="2">
        <v>6</v>
      </c>
      <c r="Q125" s="2"/>
    </row>
    <row r="126" spans="1:17" ht="20.100000000000001" customHeight="1">
      <c r="A126" s="2" t="s">
        <v>9</v>
      </c>
      <c r="B126" s="2" t="s">
        <v>30</v>
      </c>
      <c r="C126" s="2" t="s">
        <v>31</v>
      </c>
      <c r="D126" s="2" t="e">
        <f>VLOOKUP(C:C,Vlookup!A:A,1,0)</f>
        <v>#N/A</v>
      </c>
      <c r="E126" s="2">
        <v>2</v>
      </c>
      <c r="F126" s="2" t="s">
        <v>10</v>
      </c>
      <c r="G126" s="2" t="s">
        <v>25</v>
      </c>
      <c r="H126" s="2" t="s">
        <v>11</v>
      </c>
      <c r="I126" s="2">
        <v>1</v>
      </c>
      <c r="J126" s="5">
        <v>45989</v>
      </c>
      <c r="K126" s="5">
        <v>45992</v>
      </c>
      <c r="L126" s="2" t="s">
        <v>865</v>
      </c>
      <c r="M126" s="5">
        <v>46090</v>
      </c>
      <c r="N126" s="3">
        <f>VLOOKUP(NavDataRegion[[#This Row],[Spool No]],[1]Sheet2!$B:$U,20,0)</f>
        <v>166.63911999999999</v>
      </c>
      <c r="O126" s="2">
        <v>150</v>
      </c>
      <c r="P126" s="2">
        <v>6</v>
      </c>
      <c r="Q126" s="2"/>
    </row>
    <row r="127" spans="1:17" ht="20.100000000000001" customHeight="1">
      <c r="A127" s="2" t="s">
        <v>9</v>
      </c>
      <c r="B127" s="2" t="s">
        <v>40</v>
      </c>
      <c r="C127" s="2" t="s">
        <v>41</v>
      </c>
      <c r="D127" s="2" t="e">
        <f>VLOOKUP(C:C,Vlookup!A:A,1,0)</f>
        <v>#N/A</v>
      </c>
      <c r="E127" s="2">
        <v>5</v>
      </c>
      <c r="F127" s="2" t="s">
        <v>10</v>
      </c>
      <c r="G127" s="2" t="s">
        <v>25</v>
      </c>
      <c r="H127" s="2" t="s">
        <v>11</v>
      </c>
      <c r="I127" s="2">
        <v>1</v>
      </c>
      <c r="J127" s="5">
        <v>46010</v>
      </c>
      <c r="K127" s="5">
        <v>46013</v>
      </c>
      <c r="L127" s="2" t="s">
        <v>865</v>
      </c>
      <c r="M127" s="5">
        <v>46090</v>
      </c>
      <c r="N127" s="3">
        <f>VLOOKUP(NavDataRegion[[#This Row],[Spool No]],[1]Sheet2!$B:$U,20,0)</f>
        <v>22.22794</v>
      </c>
      <c r="O127" s="2">
        <v>6</v>
      </c>
      <c r="P127" s="2">
        <v>6</v>
      </c>
      <c r="Q127" s="2"/>
    </row>
    <row r="128" spans="1:17" ht="20.100000000000001" customHeight="1">
      <c r="A128" s="2" t="s">
        <v>9</v>
      </c>
      <c r="B128" s="2" t="s">
        <v>42</v>
      </c>
      <c r="C128" s="2" t="s">
        <v>43</v>
      </c>
      <c r="D128" s="2" t="e">
        <f>VLOOKUP(C:C,Vlookup!A:A,1,0)</f>
        <v>#N/A</v>
      </c>
      <c r="E128" s="2">
        <v>4</v>
      </c>
      <c r="F128" s="2" t="s">
        <v>10</v>
      </c>
      <c r="G128" s="2" t="s">
        <v>25</v>
      </c>
      <c r="H128" s="2" t="s">
        <v>11</v>
      </c>
      <c r="I128" s="2">
        <v>1</v>
      </c>
      <c r="J128" s="5">
        <v>46008</v>
      </c>
      <c r="K128" s="5">
        <v>46009</v>
      </c>
      <c r="L128" s="2" t="s">
        <v>865</v>
      </c>
      <c r="M128" s="5">
        <v>46090</v>
      </c>
      <c r="N128" s="3">
        <f>VLOOKUP(NavDataRegion[[#This Row],[Spool No]],[1]Sheet2!$B:$U,20,0)</f>
        <v>170.67447999999999</v>
      </c>
      <c r="O128" s="2">
        <v>84</v>
      </c>
      <c r="P128" s="2">
        <v>6</v>
      </c>
      <c r="Q128" s="2"/>
    </row>
    <row r="129" spans="1:17" ht="20.100000000000001" customHeight="1">
      <c r="A129" s="2" t="s">
        <v>9</v>
      </c>
      <c r="B129" s="2" t="s">
        <v>44</v>
      </c>
      <c r="C129" s="2" t="s">
        <v>45</v>
      </c>
      <c r="D129" s="2" t="e">
        <f>VLOOKUP(C:C,Vlookup!A:A,1,0)</f>
        <v>#N/A</v>
      </c>
      <c r="E129" s="2">
        <v>5</v>
      </c>
      <c r="F129" s="2" t="s">
        <v>10</v>
      </c>
      <c r="G129" s="2" t="s">
        <v>25</v>
      </c>
      <c r="H129" s="2" t="s">
        <v>11</v>
      </c>
      <c r="I129" s="2">
        <v>1</v>
      </c>
      <c r="J129" s="5">
        <v>46010</v>
      </c>
      <c r="K129" s="5">
        <v>46013</v>
      </c>
      <c r="L129" s="2" t="s">
        <v>865</v>
      </c>
      <c r="M129" s="5">
        <v>46090</v>
      </c>
      <c r="N129" s="3">
        <f>VLOOKUP(NavDataRegion[[#This Row],[Spool No]],[1]Sheet2!$B:$U,20,0)</f>
        <v>22.22794</v>
      </c>
      <c r="O129" s="2">
        <v>6</v>
      </c>
      <c r="P129" s="2">
        <v>6</v>
      </c>
      <c r="Q129" s="2"/>
    </row>
    <row r="130" spans="1:17" ht="20.100000000000001" customHeight="1">
      <c r="A130" s="2" t="s">
        <v>9</v>
      </c>
      <c r="B130" s="2" t="s">
        <v>46</v>
      </c>
      <c r="C130" s="2" t="s">
        <v>47</v>
      </c>
      <c r="D130" s="2" t="e">
        <f>VLOOKUP(C:C,Vlookup!A:A,1,0)</f>
        <v>#N/A</v>
      </c>
      <c r="E130" s="2">
        <v>2</v>
      </c>
      <c r="F130" s="2" t="s">
        <v>10</v>
      </c>
      <c r="G130" s="2" t="s">
        <v>25</v>
      </c>
      <c r="H130" s="2" t="s">
        <v>11</v>
      </c>
      <c r="I130" s="2">
        <v>1</v>
      </c>
      <c r="J130" s="5">
        <v>45988</v>
      </c>
      <c r="K130" s="5">
        <v>45989</v>
      </c>
      <c r="L130" s="2" t="s">
        <v>865</v>
      </c>
      <c r="M130" s="5">
        <v>46090</v>
      </c>
      <c r="N130" s="3">
        <f>VLOOKUP(NavDataRegion[[#This Row],[Spool No]],[1]Sheet2!$B:$U,20,0)</f>
        <v>170.67447999999999</v>
      </c>
      <c r="O130" s="2">
        <v>84</v>
      </c>
      <c r="P130" s="2">
        <v>6</v>
      </c>
      <c r="Q130" s="2"/>
    </row>
    <row r="131" spans="1:17" ht="20.100000000000001" customHeight="1">
      <c r="A131" s="2" t="s">
        <v>9</v>
      </c>
      <c r="B131" s="2" t="s">
        <v>48</v>
      </c>
      <c r="C131" s="2" t="s">
        <v>49</v>
      </c>
      <c r="D131" s="2" t="e">
        <f>VLOOKUP(C:C,Vlookup!A:A,1,0)</f>
        <v>#N/A</v>
      </c>
      <c r="E131" s="2">
        <v>5</v>
      </c>
      <c r="F131" s="2" t="s">
        <v>10</v>
      </c>
      <c r="G131" s="2" t="s">
        <v>25</v>
      </c>
      <c r="H131" s="2" t="s">
        <v>11</v>
      </c>
      <c r="I131" s="2">
        <v>1</v>
      </c>
      <c r="J131" s="5">
        <v>46010</v>
      </c>
      <c r="K131" s="5">
        <v>46013</v>
      </c>
      <c r="L131" s="2" t="s">
        <v>865</v>
      </c>
      <c r="M131" s="5">
        <v>46090</v>
      </c>
      <c r="N131" s="3">
        <f>VLOOKUP(NavDataRegion[[#This Row],[Spool No]],[1]Sheet2!$B:$U,20,0)</f>
        <v>22.22794</v>
      </c>
      <c r="O131" s="2">
        <v>6</v>
      </c>
      <c r="P131" s="2">
        <v>6</v>
      </c>
      <c r="Q131" s="2"/>
    </row>
    <row r="132" spans="1:17" ht="20.100000000000001" customHeight="1">
      <c r="A132" s="2" t="s">
        <v>9</v>
      </c>
      <c r="B132" s="2" t="s">
        <v>50</v>
      </c>
      <c r="C132" s="2" t="s">
        <v>51</v>
      </c>
      <c r="D132" s="2" t="e">
        <f>VLOOKUP(C:C,Vlookup!A:A,1,0)</f>
        <v>#N/A</v>
      </c>
      <c r="E132" s="2">
        <v>2</v>
      </c>
      <c r="F132" s="2" t="s">
        <v>10</v>
      </c>
      <c r="G132" s="2" t="s">
        <v>25</v>
      </c>
      <c r="H132" s="2" t="s">
        <v>11</v>
      </c>
      <c r="I132" s="2">
        <v>1</v>
      </c>
      <c r="J132" s="5">
        <v>45988</v>
      </c>
      <c r="K132" s="5">
        <v>45989</v>
      </c>
      <c r="L132" s="2" t="s">
        <v>865</v>
      </c>
      <c r="M132" s="5">
        <v>46090</v>
      </c>
      <c r="N132" s="3">
        <f>VLOOKUP(NavDataRegion[[#This Row],[Spool No]],[1]Sheet2!$B:$U,20,0)</f>
        <v>170.67447999999999</v>
      </c>
      <c r="O132" s="2">
        <v>84</v>
      </c>
      <c r="P132" s="2">
        <v>6</v>
      </c>
      <c r="Q132" s="2"/>
    </row>
    <row r="133" spans="1:17" ht="20.100000000000001" customHeight="1">
      <c r="A133" s="2" t="s">
        <v>9</v>
      </c>
      <c r="B133" s="2" t="s">
        <v>52</v>
      </c>
      <c r="C133" s="2" t="s">
        <v>53</v>
      </c>
      <c r="D133" s="2" t="e">
        <f>VLOOKUP(C:C,Vlookup!A:A,1,0)</f>
        <v>#N/A</v>
      </c>
      <c r="E133" s="2">
        <v>5</v>
      </c>
      <c r="F133" s="2" t="s">
        <v>10</v>
      </c>
      <c r="G133" s="2" t="s">
        <v>25</v>
      </c>
      <c r="H133" s="2" t="s">
        <v>11</v>
      </c>
      <c r="I133" s="2">
        <v>1</v>
      </c>
      <c r="J133" s="5">
        <v>46010</v>
      </c>
      <c r="K133" s="5">
        <v>46013</v>
      </c>
      <c r="L133" s="2" t="s">
        <v>865</v>
      </c>
      <c r="M133" s="5">
        <v>46090</v>
      </c>
      <c r="N133" s="3">
        <f>VLOOKUP(NavDataRegion[[#This Row],[Spool No]],[1]Sheet2!$B:$U,20,0)</f>
        <v>22.22794</v>
      </c>
      <c r="O133" s="2">
        <v>6</v>
      </c>
      <c r="P133" s="2">
        <v>6</v>
      </c>
      <c r="Q133" s="2"/>
    </row>
    <row r="134" spans="1:17" ht="20.100000000000001" customHeight="1">
      <c r="A134" s="2" t="s">
        <v>9</v>
      </c>
      <c r="B134" s="2" t="s">
        <v>56</v>
      </c>
      <c r="C134" s="2" t="s">
        <v>57</v>
      </c>
      <c r="D134" s="2" t="e">
        <f>VLOOKUP(C:C,Vlookup!A:A,1,0)</f>
        <v>#N/A</v>
      </c>
      <c r="E134" s="2">
        <v>5</v>
      </c>
      <c r="F134" s="2" t="s">
        <v>10</v>
      </c>
      <c r="G134" s="2" t="s">
        <v>25</v>
      </c>
      <c r="H134" s="2" t="s">
        <v>11</v>
      </c>
      <c r="I134" s="2">
        <v>1</v>
      </c>
      <c r="J134" s="5">
        <v>46010</v>
      </c>
      <c r="K134" s="5">
        <v>46013</v>
      </c>
      <c r="L134" s="2" t="s">
        <v>865</v>
      </c>
      <c r="M134" s="5">
        <v>46090</v>
      </c>
      <c r="N134" s="3">
        <f>VLOOKUP(NavDataRegion[[#This Row],[Spool No]],[1]Sheet2!$B:$U,20,0)</f>
        <v>22.22794</v>
      </c>
      <c r="O134" s="2">
        <v>6</v>
      </c>
      <c r="P134" s="2">
        <v>6</v>
      </c>
      <c r="Q134" s="2"/>
    </row>
    <row r="135" spans="1:17" ht="20.100000000000001" customHeight="1">
      <c r="A135" s="2" t="s">
        <v>9</v>
      </c>
      <c r="B135" s="2" t="s">
        <v>60</v>
      </c>
      <c r="C135" s="2" t="s">
        <v>61</v>
      </c>
      <c r="D135" s="2" t="e">
        <f>VLOOKUP(C:C,Vlookup!A:A,1,0)</f>
        <v>#N/A</v>
      </c>
      <c r="E135" s="2">
        <v>5</v>
      </c>
      <c r="F135" s="2" t="s">
        <v>10</v>
      </c>
      <c r="G135" s="2" t="s">
        <v>25</v>
      </c>
      <c r="H135" s="2" t="s">
        <v>11</v>
      </c>
      <c r="I135" s="2">
        <v>1</v>
      </c>
      <c r="J135" s="5">
        <v>46010</v>
      </c>
      <c r="K135" s="5">
        <v>46013</v>
      </c>
      <c r="L135" s="2" t="s">
        <v>865</v>
      </c>
      <c r="M135" s="5">
        <v>46090</v>
      </c>
      <c r="N135" s="3">
        <f>VLOOKUP(NavDataRegion[[#This Row],[Spool No]],[1]Sheet2!$B:$U,20,0)</f>
        <v>22.2562</v>
      </c>
      <c r="O135" s="2">
        <v>6</v>
      </c>
      <c r="P135" s="2">
        <v>6</v>
      </c>
      <c r="Q135" s="2"/>
    </row>
    <row r="136" spans="1:17" ht="20.100000000000001" customHeight="1">
      <c r="A136" s="2" t="s">
        <v>9</v>
      </c>
      <c r="B136" s="2" t="s">
        <v>64</v>
      </c>
      <c r="C136" s="2" t="s">
        <v>65</v>
      </c>
      <c r="D136" s="2" t="e">
        <f>VLOOKUP(C:C,Vlookup!A:A,1,0)</f>
        <v>#N/A</v>
      </c>
      <c r="E136" s="2">
        <v>5</v>
      </c>
      <c r="F136" s="2" t="s">
        <v>10</v>
      </c>
      <c r="G136" s="2" t="s">
        <v>25</v>
      </c>
      <c r="H136" s="2" t="s">
        <v>11</v>
      </c>
      <c r="I136" s="2">
        <v>1</v>
      </c>
      <c r="J136" s="5">
        <v>46010</v>
      </c>
      <c r="K136" s="5">
        <v>46013</v>
      </c>
      <c r="L136" s="2" t="s">
        <v>865</v>
      </c>
      <c r="M136" s="5">
        <v>46090</v>
      </c>
      <c r="N136" s="3">
        <f>VLOOKUP(NavDataRegion[[#This Row],[Spool No]],[1]Sheet2!$B:$U,20,0)</f>
        <v>22.22794</v>
      </c>
      <c r="O136" s="2">
        <v>6</v>
      </c>
      <c r="P136" s="2">
        <v>6</v>
      </c>
      <c r="Q136" s="2"/>
    </row>
    <row r="137" spans="1:17" ht="20.100000000000001" customHeight="1">
      <c r="A137" s="2" t="s">
        <v>9</v>
      </c>
      <c r="B137" s="2" t="s">
        <v>68</v>
      </c>
      <c r="C137" s="2" t="s">
        <v>69</v>
      </c>
      <c r="D137" s="2" t="e">
        <f>VLOOKUP(C:C,Vlookup!A:A,1,0)</f>
        <v>#N/A</v>
      </c>
      <c r="E137" s="2">
        <v>5</v>
      </c>
      <c r="F137" s="2" t="s">
        <v>10</v>
      </c>
      <c r="G137" s="2" t="s">
        <v>25</v>
      </c>
      <c r="H137" s="2" t="s">
        <v>11</v>
      </c>
      <c r="I137" s="2">
        <v>1</v>
      </c>
      <c r="J137" s="5">
        <v>46010</v>
      </c>
      <c r="K137" s="5">
        <v>46013</v>
      </c>
      <c r="L137" s="2" t="s">
        <v>865</v>
      </c>
      <c r="M137" s="5">
        <v>46090</v>
      </c>
      <c r="N137" s="3">
        <f>VLOOKUP(NavDataRegion[[#This Row],[Spool No]],[1]Sheet2!$B:$U,20,0)</f>
        <v>22.22794</v>
      </c>
      <c r="O137" s="2">
        <v>6</v>
      </c>
      <c r="P137" s="2">
        <v>6</v>
      </c>
      <c r="Q137" s="2"/>
    </row>
    <row r="138" spans="1:17" ht="20.100000000000001" customHeight="1">
      <c r="A138" s="2" t="s">
        <v>9</v>
      </c>
      <c r="B138" s="2" t="s">
        <v>66</v>
      </c>
      <c r="C138" s="2" t="s">
        <v>67</v>
      </c>
      <c r="D138" s="2" t="e">
        <f>VLOOKUP(C:C,Vlookup!A:A,1,0)</f>
        <v>#N/A</v>
      </c>
      <c r="E138" s="2">
        <v>1</v>
      </c>
      <c r="F138" s="2" t="s">
        <v>10</v>
      </c>
      <c r="G138" s="2" t="s">
        <v>25</v>
      </c>
      <c r="H138" s="2" t="s">
        <v>11</v>
      </c>
      <c r="I138" s="2">
        <v>1</v>
      </c>
      <c r="J138" s="5">
        <v>45975</v>
      </c>
      <c r="K138" s="5">
        <v>45764</v>
      </c>
      <c r="L138" s="2" t="s">
        <v>865</v>
      </c>
      <c r="M138" s="5">
        <v>46090</v>
      </c>
      <c r="N138" s="3">
        <f>VLOOKUP(NavDataRegion[[#This Row],[Spool No]],[1]Sheet2!$B:$U,20,0)</f>
        <v>170.67447999999999</v>
      </c>
      <c r="O138" s="2">
        <v>84</v>
      </c>
      <c r="P138" s="2">
        <v>6</v>
      </c>
      <c r="Q138" s="2"/>
    </row>
    <row r="139" spans="1:17" ht="20.100000000000001" customHeight="1">
      <c r="A139" s="2" t="s">
        <v>9</v>
      </c>
      <c r="B139" s="2" t="s">
        <v>72</v>
      </c>
      <c r="C139" s="2" t="s">
        <v>73</v>
      </c>
      <c r="D139" s="2" t="e">
        <f>VLOOKUP(C:C,Vlookup!A:A,1,0)</f>
        <v>#N/A</v>
      </c>
      <c r="E139" s="2">
        <v>5</v>
      </c>
      <c r="F139" s="2" t="s">
        <v>10</v>
      </c>
      <c r="G139" s="2" t="s">
        <v>25</v>
      </c>
      <c r="H139" s="2" t="s">
        <v>11</v>
      </c>
      <c r="I139" s="2">
        <v>1</v>
      </c>
      <c r="J139" s="5">
        <v>46010</v>
      </c>
      <c r="K139" s="5">
        <v>46013</v>
      </c>
      <c r="L139" s="2" t="s">
        <v>865</v>
      </c>
      <c r="M139" s="5">
        <v>46090</v>
      </c>
      <c r="N139" s="3">
        <f>VLOOKUP(NavDataRegion[[#This Row],[Spool No]],[1]Sheet2!$B:$U,20,0)</f>
        <v>22.22794</v>
      </c>
      <c r="O139" s="2">
        <v>6</v>
      </c>
      <c r="P139" s="2">
        <v>6</v>
      </c>
      <c r="Q139" s="2"/>
    </row>
    <row r="140" spans="1:17" ht="20.100000000000001" customHeight="1">
      <c r="A140" s="2" t="s">
        <v>9</v>
      </c>
      <c r="B140" s="2" t="s">
        <v>76</v>
      </c>
      <c r="C140" s="2" t="s">
        <v>77</v>
      </c>
      <c r="D140" s="2" t="e">
        <f>VLOOKUP(C:C,Vlookup!A:A,1,0)</f>
        <v>#N/A</v>
      </c>
      <c r="E140" s="2">
        <v>5</v>
      </c>
      <c r="F140" s="2" t="s">
        <v>10</v>
      </c>
      <c r="G140" s="2" t="s">
        <v>25</v>
      </c>
      <c r="H140" s="2" t="s">
        <v>11</v>
      </c>
      <c r="I140" s="2">
        <v>1</v>
      </c>
      <c r="J140" s="5">
        <v>46010</v>
      </c>
      <c r="K140" s="5">
        <v>46013</v>
      </c>
      <c r="L140" s="2" t="s">
        <v>865</v>
      </c>
      <c r="M140" s="5">
        <v>46090</v>
      </c>
      <c r="N140" s="3">
        <f>VLOOKUP(NavDataRegion[[#This Row],[Spool No]],[1]Sheet2!$B:$U,20,0)</f>
        <v>22.22794</v>
      </c>
      <c r="O140" s="2">
        <v>6</v>
      </c>
      <c r="P140" s="2">
        <v>6</v>
      </c>
      <c r="Q140" s="2"/>
    </row>
    <row r="141" spans="1:17" ht="20.100000000000001" customHeight="1">
      <c r="A141" s="2" t="s">
        <v>9</v>
      </c>
      <c r="B141" s="2" t="s">
        <v>80</v>
      </c>
      <c r="C141" s="2" t="s">
        <v>81</v>
      </c>
      <c r="D141" s="2" t="e">
        <f>VLOOKUP(C:C,Vlookup!A:A,1,0)</f>
        <v>#N/A</v>
      </c>
      <c r="E141" s="2">
        <v>5</v>
      </c>
      <c r="F141" s="2" t="s">
        <v>10</v>
      </c>
      <c r="G141" s="2" t="s">
        <v>25</v>
      </c>
      <c r="H141" s="2" t="s">
        <v>11</v>
      </c>
      <c r="I141" s="2">
        <v>1</v>
      </c>
      <c r="J141" s="5">
        <v>46010</v>
      </c>
      <c r="K141" s="5">
        <v>46013</v>
      </c>
      <c r="L141" s="2" t="s">
        <v>865</v>
      </c>
      <c r="M141" s="5">
        <v>46090</v>
      </c>
      <c r="N141" s="3">
        <f>VLOOKUP(NavDataRegion[[#This Row],[Spool No]],[1]Sheet2!$B:$U,20,0)</f>
        <v>22.22794</v>
      </c>
      <c r="O141" s="2">
        <v>6</v>
      </c>
      <c r="P141" s="2">
        <v>6</v>
      </c>
      <c r="Q141" s="2"/>
    </row>
    <row r="142" spans="1:17" ht="20.100000000000001" customHeight="1">
      <c r="A142" s="2" t="s">
        <v>9</v>
      </c>
      <c r="B142" s="2" t="s">
        <v>82</v>
      </c>
      <c r="C142" s="2" t="s">
        <v>83</v>
      </c>
      <c r="D142" s="2" t="e">
        <f>VLOOKUP(C:C,Vlookup!A:A,1,0)</f>
        <v>#N/A</v>
      </c>
      <c r="E142" s="2">
        <v>2</v>
      </c>
      <c r="F142" s="2" t="s">
        <v>10</v>
      </c>
      <c r="G142" s="2" t="s">
        <v>25</v>
      </c>
      <c r="H142" s="2" t="s">
        <v>11</v>
      </c>
      <c r="I142" s="2">
        <v>1</v>
      </c>
      <c r="J142" s="5">
        <v>45988</v>
      </c>
      <c r="K142" s="5">
        <v>45989</v>
      </c>
      <c r="L142" s="2" t="s">
        <v>865</v>
      </c>
      <c r="M142" s="5">
        <v>46090</v>
      </c>
      <c r="N142" s="3">
        <f>VLOOKUP(NavDataRegion[[#This Row],[Spool No]],[1]Sheet2!$B:$U,20,0)</f>
        <v>170.67447999999999</v>
      </c>
      <c r="O142" s="2">
        <v>84</v>
      </c>
      <c r="P142" s="2">
        <v>6</v>
      </c>
      <c r="Q142" s="2"/>
    </row>
    <row r="143" spans="1:17" ht="20.100000000000001" customHeight="1">
      <c r="A143" s="2" t="s">
        <v>9</v>
      </c>
      <c r="B143" s="2" t="s">
        <v>84</v>
      </c>
      <c r="C143" s="2" t="s">
        <v>85</v>
      </c>
      <c r="D143" s="2" t="e">
        <f>VLOOKUP(C:C,Vlookup!A:A,1,0)</f>
        <v>#N/A</v>
      </c>
      <c r="E143" s="2">
        <v>5</v>
      </c>
      <c r="F143" s="2" t="s">
        <v>10</v>
      </c>
      <c r="G143" s="2" t="s">
        <v>25</v>
      </c>
      <c r="H143" s="2" t="s">
        <v>11</v>
      </c>
      <c r="I143" s="2">
        <v>1</v>
      </c>
      <c r="J143" s="5">
        <v>46010</v>
      </c>
      <c r="K143" s="5">
        <v>46013</v>
      </c>
      <c r="L143" s="2" t="s">
        <v>865</v>
      </c>
      <c r="M143" s="5">
        <v>46090</v>
      </c>
      <c r="N143" s="3">
        <f>VLOOKUP(NavDataRegion[[#This Row],[Spool No]],[1]Sheet2!$B:$U,20,0)</f>
        <v>22.22794</v>
      </c>
      <c r="O143" s="2">
        <v>6</v>
      </c>
      <c r="P143" s="2">
        <v>6</v>
      </c>
      <c r="Q143" s="2"/>
    </row>
    <row r="144" spans="1:17" ht="20.100000000000001" customHeight="1">
      <c r="A144" s="2" t="s">
        <v>9</v>
      </c>
      <c r="B144" s="2" t="s">
        <v>88</v>
      </c>
      <c r="C144" s="2" t="s">
        <v>89</v>
      </c>
      <c r="D144" s="2" t="e">
        <f>VLOOKUP(C:C,Vlookup!A:A,1,0)</f>
        <v>#N/A</v>
      </c>
      <c r="E144" s="2">
        <v>5</v>
      </c>
      <c r="F144" s="2" t="s">
        <v>10</v>
      </c>
      <c r="G144" s="2" t="s">
        <v>25</v>
      </c>
      <c r="H144" s="2" t="s">
        <v>11</v>
      </c>
      <c r="I144" s="2">
        <v>1</v>
      </c>
      <c r="J144" s="5">
        <v>46010</v>
      </c>
      <c r="K144" s="5">
        <v>46013</v>
      </c>
      <c r="L144" s="2" t="s">
        <v>865</v>
      </c>
      <c r="M144" s="5">
        <v>46090</v>
      </c>
      <c r="N144" s="3">
        <f>VLOOKUP(NavDataRegion[[#This Row],[Spool No]],[1]Sheet2!$B:$U,20,0)</f>
        <v>22.22794</v>
      </c>
      <c r="O144" s="2">
        <v>6</v>
      </c>
      <c r="P144" s="2">
        <v>6</v>
      </c>
      <c r="Q144" s="2"/>
    </row>
    <row r="145" spans="1:17" ht="20.100000000000001" customHeight="1">
      <c r="A145" s="2" t="s">
        <v>9</v>
      </c>
      <c r="B145" s="2" t="s">
        <v>92</v>
      </c>
      <c r="C145" s="2" t="s">
        <v>93</v>
      </c>
      <c r="D145" s="2" t="e">
        <f>VLOOKUP(C:C,Vlookup!A:A,1,0)</f>
        <v>#N/A</v>
      </c>
      <c r="E145" s="2">
        <v>5</v>
      </c>
      <c r="F145" s="2" t="s">
        <v>10</v>
      </c>
      <c r="G145" s="2" t="s">
        <v>25</v>
      </c>
      <c r="H145" s="2" t="s">
        <v>11</v>
      </c>
      <c r="I145" s="2">
        <v>1</v>
      </c>
      <c r="J145" s="5">
        <v>46010</v>
      </c>
      <c r="K145" s="5">
        <v>46013</v>
      </c>
      <c r="L145" s="2" t="s">
        <v>865</v>
      </c>
      <c r="M145" s="5">
        <v>46090</v>
      </c>
      <c r="N145" s="3">
        <f>VLOOKUP(NavDataRegion[[#This Row],[Spool No]],[1]Sheet2!$B:$U,20,0)</f>
        <v>22.22794</v>
      </c>
      <c r="O145" s="2">
        <v>6</v>
      </c>
      <c r="P145" s="2">
        <v>6</v>
      </c>
      <c r="Q145" s="2"/>
    </row>
    <row r="146" spans="1:17" ht="20.100000000000001" customHeight="1">
      <c r="A146" s="2" t="s">
        <v>9</v>
      </c>
      <c r="B146" s="2" t="s">
        <v>148</v>
      </c>
      <c r="C146" s="2" t="s">
        <v>645</v>
      </c>
      <c r="D146" s="2" t="e">
        <f>VLOOKUP(C:C,Vlookup!A:A,1,0)</f>
        <v>#N/A</v>
      </c>
      <c r="E146" s="2">
        <v>1</v>
      </c>
      <c r="F146" s="2" t="s">
        <v>10</v>
      </c>
      <c r="G146" s="2" t="s">
        <v>25</v>
      </c>
      <c r="H146" s="2" t="s">
        <v>11</v>
      </c>
      <c r="I146" s="2">
        <v>1</v>
      </c>
      <c r="J146" s="5">
        <v>45981</v>
      </c>
      <c r="K146" s="5">
        <v>45982</v>
      </c>
      <c r="L146" s="2" t="s">
        <v>865</v>
      </c>
      <c r="M146" s="5">
        <v>46090</v>
      </c>
      <c r="N146" s="3">
        <f>VLOOKUP(NavDataRegion[[#This Row],[Spool No]],[1]Sheet2!$B:$U,20,0)</f>
        <v>88.096299999999999</v>
      </c>
      <c r="O146" s="2">
        <v>42</v>
      </c>
      <c r="P146" s="2">
        <v>6</v>
      </c>
      <c r="Q146" s="2"/>
    </row>
    <row r="147" spans="1:17" ht="20.100000000000001" customHeight="1">
      <c r="A147" s="2" t="s">
        <v>9</v>
      </c>
      <c r="B147" s="2" t="s">
        <v>96</v>
      </c>
      <c r="C147" s="2" t="s">
        <v>97</v>
      </c>
      <c r="D147" s="2" t="e">
        <f>VLOOKUP(C:C,Vlookup!A:A,1,0)</f>
        <v>#N/A</v>
      </c>
      <c r="E147" s="2">
        <v>5</v>
      </c>
      <c r="F147" s="2" t="s">
        <v>10</v>
      </c>
      <c r="G147" s="2" t="s">
        <v>25</v>
      </c>
      <c r="H147" s="2" t="s">
        <v>11</v>
      </c>
      <c r="I147" s="2">
        <v>1</v>
      </c>
      <c r="J147" s="5">
        <v>46010</v>
      </c>
      <c r="K147" s="5">
        <v>46013</v>
      </c>
      <c r="L147" s="2" t="s">
        <v>865</v>
      </c>
      <c r="M147" s="5">
        <v>46090</v>
      </c>
      <c r="N147" s="3">
        <f>VLOOKUP(NavDataRegion[[#This Row],[Spool No]],[1]Sheet2!$B:$U,20,0)</f>
        <v>22.2562</v>
      </c>
      <c r="O147" s="2">
        <v>6</v>
      </c>
      <c r="P147" s="2">
        <v>6</v>
      </c>
      <c r="Q147" s="2"/>
    </row>
    <row r="148" spans="1:17" ht="20.100000000000001" customHeight="1">
      <c r="A148" s="2" t="s">
        <v>9</v>
      </c>
      <c r="B148" s="2" t="s">
        <v>100</v>
      </c>
      <c r="C148" s="2" t="s">
        <v>101</v>
      </c>
      <c r="D148" s="2" t="e">
        <f>VLOOKUP(C:C,Vlookup!A:A,1,0)</f>
        <v>#N/A</v>
      </c>
      <c r="E148" s="2">
        <v>5</v>
      </c>
      <c r="F148" s="2" t="s">
        <v>10</v>
      </c>
      <c r="G148" s="2" t="s">
        <v>25</v>
      </c>
      <c r="H148" s="2" t="s">
        <v>11</v>
      </c>
      <c r="I148" s="2">
        <v>1</v>
      </c>
      <c r="J148" s="5">
        <v>46010</v>
      </c>
      <c r="K148" s="5">
        <v>46013</v>
      </c>
      <c r="L148" s="2" t="s">
        <v>865</v>
      </c>
      <c r="M148" s="5">
        <v>46090</v>
      </c>
      <c r="N148" s="3">
        <f>VLOOKUP(NavDataRegion[[#This Row],[Spool No]],[1]Sheet2!$B:$U,20,0)</f>
        <v>22.22794</v>
      </c>
      <c r="O148" s="2">
        <v>6</v>
      </c>
      <c r="P148" s="2">
        <v>6</v>
      </c>
      <c r="Q148" s="2"/>
    </row>
    <row r="149" spans="1:17" ht="20.100000000000001" customHeight="1">
      <c r="A149" s="2" t="s">
        <v>9</v>
      </c>
      <c r="B149" s="2" t="s">
        <v>104</v>
      </c>
      <c r="C149" s="2" t="s">
        <v>105</v>
      </c>
      <c r="D149" s="2" t="e">
        <f>VLOOKUP(C:C,Vlookup!A:A,1,0)</f>
        <v>#N/A</v>
      </c>
      <c r="E149" s="2">
        <v>5</v>
      </c>
      <c r="F149" s="2" t="s">
        <v>10</v>
      </c>
      <c r="G149" s="2" t="s">
        <v>25</v>
      </c>
      <c r="H149" s="2" t="s">
        <v>11</v>
      </c>
      <c r="I149" s="2">
        <v>1</v>
      </c>
      <c r="J149" s="5">
        <v>46010</v>
      </c>
      <c r="K149" s="5">
        <v>46013</v>
      </c>
      <c r="L149" s="2" t="s">
        <v>865</v>
      </c>
      <c r="M149" s="5">
        <v>46090</v>
      </c>
      <c r="N149" s="3">
        <f>VLOOKUP(NavDataRegion[[#This Row],[Spool No]],[1]Sheet2!$B:$U,20,0)</f>
        <v>22.22794</v>
      </c>
      <c r="O149" s="2">
        <v>6</v>
      </c>
      <c r="P149" s="2">
        <v>6</v>
      </c>
      <c r="Q149" s="2"/>
    </row>
    <row r="150" spans="1:17" ht="20.100000000000001" customHeight="1">
      <c r="A150" s="2" t="s">
        <v>9</v>
      </c>
      <c r="B150" s="2" t="s">
        <v>108</v>
      </c>
      <c r="C150" s="2" t="s">
        <v>109</v>
      </c>
      <c r="D150" s="2" t="e">
        <f>VLOOKUP(C:C,Vlookup!A:A,1,0)</f>
        <v>#N/A</v>
      </c>
      <c r="E150" s="2">
        <v>5</v>
      </c>
      <c r="F150" s="2" t="s">
        <v>10</v>
      </c>
      <c r="G150" s="2" t="s">
        <v>25</v>
      </c>
      <c r="H150" s="2" t="s">
        <v>11</v>
      </c>
      <c r="I150" s="2">
        <v>1</v>
      </c>
      <c r="J150" s="5">
        <v>46010</v>
      </c>
      <c r="K150" s="5">
        <v>46013</v>
      </c>
      <c r="L150" s="2" t="s">
        <v>865</v>
      </c>
      <c r="M150" s="5">
        <v>46090</v>
      </c>
      <c r="N150" s="3">
        <f>VLOOKUP(NavDataRegion[[#This Row],[Spool No]],[1]Sheet2!$B:$U,20,0)</f>
        <v>22.2562</v>
      </c>
      <c r="O150" s="2">
        <v>6</v>
      </c>
      <c r="P150" s="2">
        <v>6</v>
      </c>
      <c r="Q150" s="2"/>
    </row>
    <row r="151" spans="1:17" ht="20.100000000000001" customHeight="1">
      <c r="A151" s="2" t="s">
        <v>9</v>
      </c>
      <c r="B151" s="2" t="s">
        <v>112</v>
      </c>
      <c r="C151" s="2" t="s">
        <v>113</v>
      </c>
      <c r="D151" s="2" t="e">
        <f>VLOOKUP(C:C,Vlookup!A:A,1,0)</f>
        <v>#N/A</v>
      </c>
      <c r="E151" s="2">
        <v>6</v>
      </c>
      <c r="F151" s="2" t="s">
        <v>10</v>
      </c>
      <c r="G151" s="2" t="s">
        <v>25</v>
      </c>
      <c r="H151" s="2" t="s">
        <v>11</v>
      </c>
      <c r="I151" s="2">
        <v>1</v>
      </c>
      <c r="J151" s="5">
        <v>46029</v>
      </c>
      <c r="K151" s="5">
        <v>46029</v>
      </c>
      <c r="L151" s="2" t="s">
        <v>865</v>
      </c>
      <c r="M151" s="5">
        <v>46091</v>
      </c>
      <c r="N151" s="3">
        <f>VLOOKUP(NavDataRegion[[#This Row],[Spool No]],[1]Sheet2!$B:$U,20,0)</f>
        <v>22.2562</v>
      </c>
      <c r="O151" s="2">
        <v>6</v>
      </c>
      <c r="P151" s="2">
        <v>6</v>
      </c>
      <c r="Q151" s="2"/>
    </row>
    <row r="152" spans="1:17" ht="20.100000000000001" customHeight="1">
      <c r="A152" s="2" t="s">
        <v>9</v>
      </c>
      <c r="B152" s="2" t="s">
        <v>116</v>
      </c>
      <c r="C152" s="2" t="s">
        <v>117</v>
      </c>
      <c r="D152" s="2" t="e">
        <f>VLOOKUP(C:C,Vlookup!A:A,1,0)</f>
        <v>#N/A</v>
      </c>
      <c r="E152" s="2">
        <v>5</v>
      </c>
      <c r="F152" s="2" t="s">
        <v>10</v>
      </c>
      <c r="G152" s="2" t="s">
        <v>25</v>
      </c>
      <c r="H152" s="2" t="s">
        <v>11</v>
      </c>
      <c r="I152" s="2">
        <v>1</v>
      </c>
      <c r="J152" s="5">
        <v>46010</v>
      </c>
      <c r="K152" s="5">
        <v>46013</v>
      </c>
      <c r="L152" s="2" t="s">
        <v>865</v>
      </c>
      <c r="M152" s="5">
        <v>46090</v>
      </c>
      <c r="N152" s="3">
        <f>VLOOKUP(NavDataRegion[[#This Row],[Spool No]],[1]Sheet2!$B:$U,20,0)</f>
        <v>22.2562</v>
      </c>
      <c r="O152" s="2">
        <v>6</v>
      </c>
      <c r="P152" s="2">
        <v>6</v>
      </c>
      <c r="Q152" s="2"/>
    </row>
    <row r="153" spans="1:17" ht="20.100000000000001" customHeight="1">
      <c r="A153" s="2" t="s">
        <v>9</v>
      </c>
      <c r="B153" s="2" t="s">
        <v>38</v>
      </c>
      <c r="C153" s="2" t="s">
        <v>39</v>
      </c>
      <c r="D153" s="2" t="e">
        <f>VLOOKUP(C:C,Vlookup!A:A,1,0)</f>
        <v>#N/A</v>
      </c>
      <c r="E153" s="2">
        <v>2</v>
      </c>
      <c r="F153" s="2" t="s">
        <v>10</v>
      </c>
      <c r="G153" s="2" t="s">
        <v>25</v>
      </c>
      <c r="H153" s="2" t="s">
        <v>11</v>
      </c>
      <c r="I153" s="2">
        <v>1</v>
      </c>
      <c r="J153" s="5">
        <v>45989</v>
      </c>
      <c r="K153" s="5">
        <v>45992</v>
      </c>
      <c r="L153" s="2" t="s">
        <v>865</v>
      </c>
      <c r="M153" s="5">
        <v>46090</v>
      </c>
      <c r="N153" s="3">
        <f>VLOOKUP(NavDataRegion[[#This Row],[Spool No]],[1]Sheet2!$B:$U,20,0)</f>
        <v>170.67447999999999</v>
      </c>
      <c r="O153" s="2">
        <v>84</v>
      </c>
      <c r="P153" s="2">
        <v>6</v>
      </c>
      <c r="Q153" s="2"/>
    </row>
    <row r="154" spans="1:17" ht="20.100000000000001" customHeight="1">
      <c r="A154" s="2" t="s">
        <v>9</v>
      </c>
      <c r="B154" s="2" t="s">
        <v>120</v>
      </c>
      <c r="C154" s="2" t="s">
        <v>121</v>
      </c>
      <c r="D154" s="2" t="e">
        <f>VLOOKUP(C:C,Vlookup!A:A,1,0)</f>
        <v>#N/A</v>
      </c>
      <c r="E154" s="2">
        <v>5</v>
      </c>
      <c r="F154" s="2" t="s">
        <v>10</v>
      </c>
      <c r="G154" s="2" t="s">
        <v>25</v>
      </c>
      <c r="H154" s="2" t="s">
        <v>11</v>
      </c>
      <c r="I154" s="2">
        <v>1</v>
      </c>
      <c r="J154" s="5">
        <v>46010</v>
      </c>
      <c r="K154" s="5">
        <v>46013</v>
      </c>
      <c r="L154" s="2" t="s">
        <v>865</v>
      </c>
      <c r="M154" s="5">
        <v>46090</v>
      </c>
      <c r="N154" s="3">
        <f>VLOOKUP(NavDataRegion[[#This Row],[Spool No]],[1]Sheet2!$B:$U,20,0)</f>
        <v>22.2562</v>
      </c>
      <c r="O154" s="2">
        <v>6</v>
      </c>
      <c r="P154" s="2">
        <v>6</v>
      </c>
      <c r="Q154" s="2"/>
    </row>
    <row r="155" spans="1:17" ht="20.100000000000001" customHeight="1">
      <c r="A155" s="2" t="s">
        <v>9</v>
      </c>
      <c r="B155" s="2" t="s">
        <v>124</v>
      </c>
      <c r="C155" s="2" t="s">
        <v>125</v>
      </c>
      <c r="D155" s="2" t="e">
        <f>VLOOKUP(C:C,Vlookup!A:A,1,0)</f>
        <v>#N/A</v>
      </c>
      <c r="E155" s="2">
        <v>5</v>
      </c>
      <c r="F155" s="2" t="s">
        <v>10</v>
      </c>
      <c r="G155" s="2" t="s">
        <v>25</v>
      </c>
      <c r="H155" s="2" t="s">
        <v>11</v>
      </c>
      <c r="I155" s="2">
        <v>1</v>
      </c>
      <c r="J155" s="5">
        <v>46010</v>
      </c>
      <c r="K155" s="5">
        <v>46013</v>
      </c>
      <c r="L155" s="2" t="s">
        <v>865</v>
      </c>
      <c r="M155" s="5">
        <v>46090</v>
      </c>
      <c r="N155" s="3">
        <f>VLOOKUP(NavDataRegion[[#This Row],[Spool No]],[1]Sheet2!$B:$U,20,0)</f>
        <v>22.2562</v>
      </c>
      <c r="O155" s="2">
        <v>6</v>
      </c>
      <c r="P155" s="2">
        <v>6</v>
      </c>
      <c r="Q155" s="2"/>
    </row>
    <row r="156" spans="1:17" ht="20.100000000000001" customHeight="1">
      <c r="A156" s="2" t="s">
        <v>9</v>
      </c>
      <c r="B156" s="2" t="s">
        <v>128</v>
      </c>
      <c r="C156" s="2" t="s">
        <v>129</v>
      </c>
      <c r="D156" s="2" t="e">
        <f>VLOOKUP(C:C,Vlookup!A:A,1,0)</f>
        <v>#N/A</v>
      </c>
      <c r="E156" s="2">
        <v>5</v>
      </c>
      <c r="F156" s="2" t="s">
        <v>10</v>
      </c>
      <c r="G156" s="2" t="s">
        <v>25</v>
      </c>
      <c r="H156" s="2" t="s">
        <v>11</v>
      </c>
      <c r="I156" s="2">
        <v>1</v>
      </c>
      <c r="J156" s="5">
        <v>46010</v>
      </c>
      <c r="K156" s="5">
        <v>46013</v>
      </c>
      <c r="L156" s="2" t="s">
        <v>865</v>
      </c>
      <c r="M156" s="5">
        <v>46090</v>
      </c>
      <c r="N156" s="3">
        <f>VLOOKUP(NavDataRegion[[#This Row],[Spool No]],[1]Sheet2!$B:$U,20,0)</f>
        <v>22.2562</v>
      </c>
      <c r="O156" s="2">
        <v>6</v>
      </c>
      <c r="P156" s="2">
        <v>6</v>
      </c>
      <c r="Q156" s="2"/>
    </row>
    <row r="157" spans="1:17" ht="20.100000000000001" customHeight="1">
      <c r="A157" s="2" t="s">
        <v>9</v>
      </c>
      <c r="B157" s="2" t="s">
        <v>78</v>
      </c>
      <c r="C157" s="2" t="s">
        <v>79</v>
      </c>
      <c r="D157" s="2" t="e">
        <f>VLOOKUP(C:C,Vlookup!A:A,1,0)</f>
        <v>#N/A</v>
      </c>
      <c r="E157" s="2">
        <v>1</v>
      </c>
      <c r="F157" s="2" t="s">
        <v>10</v>
      </c>
      <c r="G157" s="2" t="s">
        <v>25</v>
      </c>
      <c r="H157" s="2" t="s">
        <v>11</v>
      </c>
      <c r="I157" s="2">
        <v>1</v>
      </c>
      <c r="J157" s="5">
        <v>45975</v>
      </c>
      <c r="K157" s="5">
        <v>45764</v>
      </c>
      <c r="L157" s="2" t="s">
        <v>865</v>
      </c>
      <c r="M157" s="5">
        <v>46090</v>
      </c>
      <c r="N157" s="3">
        <f>VLOOKUP(NavDataRegion[[#This Row],[Spool No]],[1]Sheet2!$B:$U,20,0)</f>
        <v>170.67447999999999</v>
      </c>
      <c r="O157" s="2">
        <v>84</v>
      </c>
      <c r="P157" s="2">
        <v>6</v>
      </c>
      <c r="Q157" s="2"/>
    </row>
    <row r="158" spans="1:17" ht="20.100000000000001" customHeight="1">
      <c r="A158" s="2" t="s">
        <v>9</v>
      </c>
      <c r="B158" s="2" t="s">
        <v>132</v>
      </c>
      <c r="C158" s="2" t="s">
        <v>133</v>
      </c>
      <c r="D158" s="2" t="e">
        <f>VLOOKUP(C:C,Vlookup!A:A,1,0)</f>
        <v>#N/A</v>
      </c>
      <c r="E158" s="2">
        <v>5</v>
      </c>
      <c r="F158" s="2" t="s">
        <v>10</v>
      </c>
      <c r="G158" s="2" t="s">
        <v>25</v>
      </c>
      <c r="H158" s="2" t="s">
        <v>11</v>
      </c>
      <c r="I158" s="2">
        <v>1</v>
      </c>
      <c r="J158" s="5">
        <v>46010</v>
      </c>
      <c r="K158" s="5">
        <v>46013</v>
      </c>
      <c r="L158" s="2" t="s">
        <v>865</v>
      </c>
      <c r="M158" s="5">
        <v>46090</v>
      </c>
      <c r="N158" s="3">
        <f>VLOOKUP(NavDataRegion[[#This Row],[Spool No]],[1]Sheet2!$B:$U,20,0)</f>
        <v>23.358339999999998</v>
      </c>
      <c r="O158" s="2">
        <v>6</v>
      </c>
      <c r="P158" s="2">
        <v>6</v>
      </c>
      <c r="Q158" s="2"/>
    </row>
    <row r="159" spans="1:17" ht="20.100000000000001" customHeight="1">
      <c r="A159" s="2" t="s">
        <v>9</v>
      </c>
      <c r="B159" s="2" t="s">
        <v>136</v>
      </c>
      <c r="C159" s="2" t="s">
        <v>137</v>
      </c>
      <c r="D159" s="2" t="e">
        <f>VLOOKUP(C:C,Vlookup!A:A,1,0)</f>
        <v>#N/A</v>
      </c>
      <c r="E159" s="2">
        <v>5</v>
      </c>
      <c r="F159" s="2" t="s">
        <v>10</v>
      </c>
      <c r="G159" s="2" t="s">
        <v>25</v>
      </c>
      <c r="H159" s="2" t="s">
        <v>11</v>
      </c>
      <c r="I159" s="2">
        <v>1</v>
      </c>
      <c r="J159" s="5">
        <v>46010</v>
      </c>
      <c r="K159" s="5">
        <v>46013</v>
      </c>
      <c r="L159" s="2" t="s">
        <v>865</v>
      </c>
      <c r="M159" s="5">
        <v>46090</v>
      </c>
      <c r="N159" s="3">
        <f>VLOOKUP(NavDataRegion[[#This Row],[Spool No]],[1]Sheet2!$B:$U,20,0)</f>
        <v>23.358339999999998</v>
      </c>
      <c r="O159" s="2">
        <v>6</v>
      </c>
      <c r="P159" s="2">
        <v>6</v>
      </c>
      <c r="Q159" s="2"/>
    </row>
    <row r="160" spans="1:17" ht="20.100000000000001" customHeight="1">
      <c r="A160" s="2" t="s">
        <v>9</v>
      </c>
      <c r="B160" s="2" t="s">
        <v>94</v>
      </c>
      <c r="C160" s="2" t="s">
        <v>95</v>
      </c>
      <c r="D160" s="2" t="e">
        <f>VLOOKUP(C:C,Vlookup!A:A,1,0)</f>
        <v>#N/A</v>
      </c>
      <c r="E160" s="2">
        <v>1</v>
      </c>
      <c r="F160" s="2" t="s">
        <v>10</v>
      </c>
      <c r="G160" s="2" t="s">
        <v>25</v>
      </c>
      <c r="H160" s="2" t="s">
        <v>11</v>
      </c>
      <c r="I160" s="2">
        <v>1</v>
      </c>
      <c r="J160" s="5">
        <v>45975</v>
      </c>
      <c r="K160" s="5">
        <v>45764</v>
      </c>
      <c r="L160" s="2" t="s">
        <v>865</v>
      </c>
      <c r="M160" s="5">
        <v>46090</v>
      </c>
      <c r="N160" s="3">
        <f>VLOOKUP(NavDataRegion[[#This Row],[Spool No]],[1]Sheet2!$B:$U,20,0)</f>
        <v>170.67447999999999</v>
      </c>
      <c r="O160" s="2">
        <v>84</v>
      </c>
      <c r="P160" s="2">
        <v>6</v>
      </c>
      <c r="Q160" s="2"/>
    </row>
    <row r="161" spans="1:17" ht="20.100000000000001" customHeight="1">
      <c r="A161" s="2" t="s">
        <v>9</v>
      </c>
      <c r="B161" s="2" t="s">
        <v>140</v>
      </c>
      <c r="C161" s="2" t="s">
        <v>141</v>
      </c>
      <c r="D161" s="2" t="e">
        <f>VLOOKUP(C:C,Vlookup!A:A,1,0)</f>
        <v>#N/A</v>
      </c>
      <c r="E161" s="2">
        <v>5</v>
      </c>
      <c r="F161" s="2" t="s">
        <v>10</v>
      </c>
      <c r="G161" s="2" t="s">
        <v>25</v>
      </c>
      <c r="H161" s="2" t="s">
        <v>11</v>
      </c>
      <c r="I161" s="2">
        <v>1</v>
      </c>
      <c r="J161" s="5">
        <v>46010</v>
      </c>
      <c r="K161" s="5">
        <v>46013</v>
      </c>
      <c r="L161" s="2" t="s">
        <v>865</v>
      </c>
      <c r="M161" s="5">
        <v>46090</v>
      </c>
      <c r="N161" s="3">
        <f>VLOOKUP(NavDataRegion[[#This Row],[Spool No]],[1]Sheet2!$B:$U,20,0)</f>
        <v>23.358339999999998</v>
      </c>
      <c r="O161" s="2">
        <v>6</v>
      </c>
      <c r="P161" s="2">
        <v>6</v>
      </c>
      <c r="Q161" s="2"/>
    </row>
    <row r="162" spans="1:17" ht="20.100000000000001" customHeight="1">
      <c r="A162" s="2" t="s">
        <v>9</v>
      </c>
      <c r="B162" s="2" t="s">
        <v>60</v>
      </c>
      <c r="C162" s="2" t="s">
        <v>707</v>
      </c>
      <c r="D162" s="2" t="e">
        <f>VLOOKUP(C:C,Vlookup!A:A,1,0)</f>
        <v>#N/A</v>
      </c>
      <c r="E162" s="2">
        <v>3</v>
      </c>
      <c r="F162" s="2" t="s">
        <v>10</v>
      </c>
      <c r="G162" s="2" t="s">
        <v>16</v>
      </c>
      <c r="H162" s="2" t="s">
        <v>11</v>
      </c>
      <c r="I162" s="2">
        <v>1</v>
      </c>
      <c r="J162" s="5">
        <v>45989</v>
      </c>
      <c r="K162" s="5">
        <v>45992</v>
      </c>
      <c r="L162" s="2" t="s">
        <v>865</v>
      </c>
      <c r="M162" s="5">
        <v>46090</v>
      </c>
      <c r="N162" s="3">
        <f>VLOOKUP(NavDataRegion[[#This Row],[Spool No]],[1]Sheet2!$B:$U,20,0)</f>
        <v>165.33240000000001</v>
      </c>
      <c r="O162" s="2">
        <v>35</v>
      </c>
      <c r="P162" s="2">
        <v>6</v>
      </c>
      <c r="Q162" s="2"/>
    </row>
    <row r="163" spans="1:17" ht="20.100000000000001" customHeight="1">
      <c r="A163" s="2" t="s">
        <v>9</v>
      </c>
      <c r="B163" s="2" t="s">
        <v>144</v>
      </c>
      <c r="C163" s="2" t="s">
        <v>145</v>
      </c>
      <c r="D163" s="2" t="e">
        <f>VLOOKUP(C:C,Vlookup!A:A,1,0)</f>
        <v>#N/A</v>
      </c>
      <c r="E163" s="2">
        <v>5</v>
      </c>
      <c r="F163" s="2" t="s">
        <v>10</v>
      </c>
      <c r="G163" s="2" t="s">
        <v>25</v>
      </c>
      <c r="H163" s="2" t="s">
        <v>11</v>
      </c>
      <c r="I163" s="2">
        <v>1</v>
      </c>
      <c r="J163" s="5">
        <v>46010</v>
      </c>
      <c r="K163" s="5">
        <v>46013</v>
      </c>
      <c r="L163" s="2" t="s">
        <v>865</v>
      </c>
      <c r="M163" s="5">
        <v>46090</v>
      </c>
      <c r="N163" s="3">
        <f>VLOOKUP(NavDataRegion[[#This Row],[Spool No]],[1]Sheet2!$B:$U,20,0)</f>
        <v>23.358339999999998</v>
      </c>
      <c r="O163" s="2">
        <v>6</v>
      </c>
      <c r="P163" s="2">
        <v>6</v>
      </c>
      <c r="Q163" s="2"/>
    </row>
    <row r="164" spans="1:17" ht="20.100000000000001" customHeight="1">
      <c r="A164" s="2" t="s">
        <v>9</v>
      </c>
      <c r="B164" s="2" t="s">
        <v>146</v>
      </c>
      <c r="C164" s="2" t="s">
        <v>147</v>
      </c>
      <c r="D164" s="2" t="e">
        <f>VLOOKUP(C:C,Vlookup!A:A,1,0)</f>
        <v>#N/A</v>
      </c>
      <c r="E164" s="2">
        <v>11</v>
      </c>
      <c r="F164" s="2" t="s">
        <v>10</v>
      </c>
      <c r="G164" s="2" t="s">
        <v>25</v>
      </c>
      <c r="H164" s="2" t="s">
        <v>11</v>
      </c>
      <c r="I164" s="2">
        <v>1</v>
      </c>
      <c r="J164" s="5">
        <v>46057</v>
      </c>
      <c r="K164" s="5">
        <v>46058</v>
      </c>
      <c r="L164" s="2" t="s">
        <v>865</v>
      </c>
      <c r="M164" s="5">
        <v>46105</v>
      </c>
      <c r="N164" s="3">
        <f>VLOOKUP(NavDataRegion[[#This Row],[Spool No]],[1]Sheet2!$B:$U,20,0)</f>
        <v>166.66738000000001</v>
      </c>
      <c r="O164" s="2">
        <v>150</v>
      </c>
      <c r="P164" s="2">
        <v>6</v>
      </c>
      <c r="Q164" s="2"/>
    </row>
    <row r="165" spans="1:17" ht="20.100000000000001" customHeight="1">
      <c r="A165" s="2" t="s">
        <v>9</v>
      </c>
      <c r="B165" s="2" t="s">
        <v>148</v>
      </c>
      <c r="C165" s="2" t="s">
        <v>149</v>
      </c>
      <c r="D165" s="2" t="e">
        <f>VLOOKUP(C:C,Vlookup!A:A,1,0)</f>
        <v>#N/A</v>
      </c>
      <c r="E165" s="2">
        <v>5</v>
      </c>
      <c r="F165" s="2" t="s">
        <v>10</v>
      </c>
      <c r="G165" s="2" t="s">
        <v>25</v>
      </c>
      <c r="H165" s="2" t="s">
        <v>11</v>
      </c>
      <c r="I165" s="2">
        <v>1</v>
      </c>
      <c r="J165" s="5">
        <v>46010</v>
      </c>
      <c r="K165" s="5">
        <v>46013</v>
      </c>
      <c r="L165" s="2" t="s">
        <v>865</v>
      </c>
      <c r="M165" s="5">
        <v>46090</v>
      </c>
      <c r="N165" s="3">
        <f>VLOOKUP(NavDataRegion[[#This Row],[Spool No]],[1]Sheet2!$B:$U,20,0)</f>
        <v>22.2562</v>
      </c>
      <c r="O165" s="2">
        <v>6</v>
      </c>
      <c r="P165" s="2">
        <v>6</v>
      </c>
      <c r="Q165" s="2"/>
    </row>
    <row r="166" spans="1:17" ht="20.100000000000001" customHeight="1">
      <c r="A166" s="2" t="s">
        <v>9</v>
      </c>
      <c r="B166" s="2" t="s">
        <v>150</v>
      </c>
      <c r="C166" s="2" t="s">
        <v>151</v>
      </c>
      <c r="D166" s="2" t="e">
        <f>VLOOKUP(C:C,Vlookup!A:A,1,0)</f>
        <v>#N/A</v>
      </c>
      <c r="E166" s="2">
        <v>7</v>
      </c>
      <c r="F166" s="2" t="s">
        <v>10</v>
      </c>
      <c r="G166" s="2" t="s">
        <v>25</v>
      </c>
      <c r="H166" s="2" t="s">
        <v>11</v>
      </c>
      <c r="I166" s="2">
        <v>1</v>
      </c>
      <c r="J166" s="5">
        <v>46043</v>
      </c>
      <c r="K166" s="5">
        <v>46043</v>
      </c>
      <c r="L166" s="2" t="s">
        <v>865</v>
      </c>
      <c r="M166" s="5">
        <v>46091</v>
      </c>
      <c r="N166" s="3">
        <f>VLOOKUP(NavDataRegion[[#This Row],[Spool No]],[1]Sheet2!$B:$U,20,0)</f>
        <v>166.73526000000001</v>
      </c>
      <c r="O166" s="2">
        <v>150</v>
      </c>
      <c r="P166" s="2">
        <v>6</v>
      </c>
      <c r="Q166" s="2"/>
    </row>
    <row r="167" spans="1:17" ht="20.100000000000001" customHeight="1">
      <c r="A167" s="2" t="s">
        <v>9</v>
      </c>
      <c r="B167" s="2" t="s">
        <v>1259</v>
      </c>
      <c r="C167" s="2" t="s">
        <v>1260</v>
      </c>
      <c r="D167" s="2" t="e">
        <f>VLOOKUP(C:C,Vlookup!A:A,1,0)</f>
        <v>#N/A</v>
      </c>
      <c r="E167" s="2">
        <v>14</v>
      </c>
      <c r="F167" s="17" t="s">
        <v>10</v>
      </c>
      <c r="G167" s="17" t="s">
        <v>25</v>
      </c>
      <c r="H167" s="2" t="s">
        <v>11</v>
      </c>
      <c r="I167" s="2">
        <v>1</v>
      </c>
      <c r="J167" s="5">
        <v>46100</v>
      </c>
      <c r="K167" s="5">
        <v>46101</v>
      </c>
      <c r="L167" s="2" t="s">
        <v>865</v>
      </c>
      <c r="M167" s="5">
        <v>45754</v>
      </c>
      <c r="N167" s="3">
        <f>VLOOKUP(NavDataRegion[[#This Row],[Spool No]],[1]Sheet2!$B:$U,20,0)</f>
        <v>5.7313999999999998</v>
      </c>
      <c r="O167" s="2">
        <v>3.5</v>
      </c>
      <c r="P167" s="2">
        <v>0.5</v>
      </c>
      <c r="Q167" s="2"/>
    </row>
    <row r="168" spans="1:17" ht="20.100000000000001" customHeight="1">
      <c r="A168" s="2" t="s">
        <v>9</v>
      </c>
      <c r="B168" s="2" t="s">
        <v>174</v>
      </c>
      <c r="C168" s="2" t="s">
        <v>175</v>
      </c>
      <c r="D168" s="2" t="e">
        <f>VLOOKUP(C:C,Vlookup!A:A,1,0)</f>
        <v>#N/A</v>
      </c>
      <c r="E168" s="2">
        <v>7</v>
      </c>
      <c r="F168" s="2" t="s">
        <v>176</v>
      </c>
      <c r="G168" s="2" t="s">
        <v>25</v>
      </c>
      <c r="H168" s="2" t="s">
        <v>11</v>
      </c>
      <c r="I168" s="2">
        <v>1</v>
      </c>
      <c r="J168" s="5">
        <v>46043</v>
      </c>
      <c r="K168" s="5">
        <v>46043</v>
      </c>
      <c r="L168" s="2" t="s">
        <v>865</v>
      </c>
      <c r="M168" s="5">
        <v>46091</v>
      </c>
      <c r="N168" s="3">
        <f>VLOOKUP(NavDataRegion[[#This Row],[Spool No]],[1]Sheet2!$B:$U,20,0)</f>
        <v>190.80914999999999</v>
      </c>
      <c r="O168" s="2">
        <v>19</v>
      </c>
      <c r="P168" s="2">
        <v>6</v>
      </c>
      <c r="Q168" s="2"/>
    </row>
    <row r="169" spans="1:17" ht="20.100000000000001" customHeight="1">
      <c r="A169" s="2" t="s">
        <v>9</v>
      </c>
      <c r="B169" s="2" t="s">
        <v>193</v>
      </c>
      <c r="C169" s="2" t="s">
        <v>194</v>
      </c>
      <c r="D169" s="2" t="e">
        <f>VLOOKUP(C:C,Vlookup!A:A,1,0)</f>
        <v>#N/A</v>
      </c>
      <c r="E169" s="2">
        <v>6</v>
      </c>
      <c r="F169" s="2" t="s">
        <v>10</v>
      </c>
      <c r="G169" s="2" t="s">
        <v>16</v>
      </c>
      <c r="H169" s="2" t="s">
        <v>11</v>
      </c>
      <c r="I169" s="2">
        <v>1</v>
      </c>
      <c r="J169" s="5">
        <v>46029</v>
      </c>
      <c r="K169" s="5">
        <v>46029</v>
      </c>
      <c r="L169" s="2" t="s">
        <v>865</v>
      </c>
      <c r="M169" s="5">
        <v>46091</v>
      </c>
      <c r="N169" s="3">
        <f>VLOOKUP(NavDataRegion[[#This Row],[Spool No]],[1]Sheet2!$B:$U,20,0)</f>
        <v>171.35563527279999</v>
      </c>
      <c r="O169" s="2">
        <v>11</v>
      </c>
      <c r="P169" s="2">
        <v>6</v>
      </c>
      <c r="Q169" s="2"/>
    </row>
    <row r="170" spans="1:17" ht="20.100000000000001" customHeight="1">
      <c r="A170" s="2" t="s">
        <v>9</v>
      </c>
      <c r="B170" s="2" t="s">
        <v>195</v>
      </c>
      <c r="C170" s="2" t="s">
        <v>196</v>
      </c>
      <c r="D170" s="2" t="e">
        <f>VLOOKUP(C:C,Vlookup!A:A,1,0)</f>
        <v>#N/A</v>
      </c>
      <c r="E170" s="2">
        <v>6</v>
      </c>
      <c r="F170" s="2" t="s">
        <v>197</v>
      </c>
      <c r="G170" s="2" t="s">
        <v>16</v>
      </c>
      <c r="H170" s="2" t="s">
        <v>11</v>
      </c>
      <c r="I170" s="2">
        <v>1</v>
      </c>
      <c r="J170" s="5">
        <v>46017</v>
      </c>
      <c r="K170" s="5">
        <v>46027</v>
      </c>
      <c r="L170" s="2" t="s">
        <v>865</v>
      </c>
      <c r="M170" s="5">
        <v>46091</v>
      </c>
      <c r="N170" s="3">
        <f>VLOOKUP(NavDataRegion[[#This Row],[Spool No]],[1]Sheet2!$B:$U,20,0)</f>
        <v>198.47339527279999</v>
      </c>
      <c r="O170" s="2">
        <v>27.5</v>
      </c>
      <c r="P170" s="2">
        <v>6</v>
      </c>
      <c r="Q170" s="2"/>
    </row>
    <row r="171" spans="1:17" ht="20.100000000000001" customHeight="1">
      <c r="A171" s="2" t="s">
        <v>9</v>
      </c>
      <c r="B171" s="2" t="s">
        <v>198</v>
      </c>
      <c r="C171" s="2" t="s">
        <v>199</v>
      </c>
      <c r="D171" s="2" t="e">
        <f>VLOOKUP(C:C,Vlookup!A:A,1,0)</f>
        <v>#N/A</v>
      </c>
      <c r="E171" s="2">
        <v>12</v>
      </c>
      <c r="F171" s="2" t="s">
        <v>200</v>
      </c>
      <c r="G171" s="2" t="s">
        <v>16</v>
      </c>
      <c r="H171" s="2" t="s">
        <v>11</v>
      </c>
      <c r="I171" s="2">
        <v>1</v>
      </c>
      <c r="J171" s="5">
        <v>46073</v>
      </c>
      <c r="K171" s="5">
        <v>46076</v>
      </c>
      <c r="L171" s="2" t="s">
        <v>865</v>
      </c>
      <c r="M171" s="5">
        <v>46105</v>
      </c>
      <c r="N171" s="3">
        <f>VLOOKUP(NavDataRegion[[#This Row],[Spool No]],[1]Sheet2!$B:$U,20,0)</f>
        <v>317.04802659199999</v>
      </c>
      <c r="O171" s="2">
        <v>49</v>
      </c>
      <c r="P171" s="2">
        <v>6</v>
      </c>
      <c r="Q171" s="2"/>
    </row>
    <row r="172" spans="1:17" ht="20.100000000000001" customHeight="1">
      <c r="A172" s="2" t="s">
        <v>9</v>
      </c>
      <c r="B172" s="2" t="s">
        <v>326</v>
      </c>
      <c r="C172" s="2" t="s">
        <v>1935</v>
      </c>
      <c r="D172" s="2" t="e">
        <f>VLOOKUP(C:C,Vlookup!A:A,1,0)</f>
        <v>#N/A</v>
      </c>
      <c r="E172" s="2">
        <v>13</v>
      </c>
      <c r="F172" s="17" t="s">
        <v>10</v>
      </c>
      <c r="G172" s="17" t="s">
        <v>16</v>
      </c>
      <c r="H172" s="2" t="s">
        <v>11</v>
      </c>
      <c r="I172" s="2">
        <v>1</v>
      </c>
      <c r="J172" s="5">
        <v>46093</v>
      </c>
      <c r="K172" s="5">
        <v>46094</v>
      </c>
      <c r="L172" s="2" t="s">
        <v>865</v>
      </c>
      <c r="M172" s="5">
        <v>46105</v>
      </c>
      <c r="N172" s="3">
        <f>VLOOKUP(NavDataRegion[[#This Row],[Spool No]],[1]Sheet2!$B:$U,20,0)</f>
        <v>54.981046591999998</v>
      </c>
      <c r="O172" s="2">
        <v>7.5</v>
      </c>
      <c r="P172" s="2">
        <v>4</v>
      </c>
      <c r="Q172" s="2"/>
    </row>
    <row r="173" spans="1:17" ht="20.100000000000001" customHeight="1">
      <c r="A173" s="2" t="s">
        <v>9</v>
      </c>
      <c r="B173" s="2" t="s">
        <v>237</v>
      </c>
      <c r="C173" s="2" t="s">
        <v>238</v>
      </c>
      <c r="D173" s="2" t="e">
        <f>VLOOKUP(C:C,Vlookup!A:A,1,0)</f>
        <v>#N/A</v>
      </c>
      <c r="E173" s="2">
        <v>6</v>
      </c>
      <c r="F173" s="2" t="s">
        <v>239</v>
      </c>
      <c r="G173" s="2" t="s">
        <v>25</v>
      </c>
      <c r="H173" s="2" t="s">
        <v>11</v>
      </c>
      <c r="I173" s="2">
        <v>1</v>
      </c>
      <c r="J173" s="5">
        <v>46017</v>
      </c>
      <c r="K173" s="5">
        <v>46027</v>
      </c>
      <c r="L173" s="2" t="s">
        <v>865</v>
      </c>
      <c r="M173" s="5">
        <v>46091</v>
      </c>
      <c r="N173" s="3">
        <f>VLOOKUP(NavDataRegion[[#This Row],[Spool No]],[1]Sheet2!$B:$U,20,0)</f>
        <v>111.39212000000001</v>
      </c>
      <c r="O173" s="2">
        <v>13</v>
      </c>
      <c r="P173" s="2">
        <v>6</v>
      </c>
      <c r="Q173" s="2"/>
    </row>
    <row r="174" spans="1:17" ht="20.100000000000001" customHeight="1">
      <c r="A174" s="2" t="s">
        <v>9</v>
      </c>
      <c r="B174" s="2" t="s">
        <v>240</v>
      </c>
      <c r="C174" s="2" t="s">
        <v>241</v>
      </c>
      <c r="D174" s="2" t="e">
        <f>VLOOKUP(C:C,Vlookup!A:A,1,0)</f>
        <v>#N/A</v>
      </c>
      <c r="E174" s="2">
        <v>6</v>
      </c>
      <c r="F174" s="2" t="s">
        <v>242</v>
      </c>
      <c r="G174" s="2" t="s">
        <v>25</v>
      </c>
      <c r="H174" s="2" t="s">
        <v>11</v>
      </c>
      <c r="I174" s="2">
        <v>1</v>
      </c>
      <c r="J174" s="5">
        <v>46017</v>
      </c>
      <c r="K174" s="5">
        <v>46027</v>
      </c>
      <c r="L174" s="2" t="s">
        <v>865</v>
      </c>
      <c r="M174" s="5">
        <v>46091</v>
      </c>
      <c r="N174" s="3">
        <f>VLOOKUP(NavDataRegion[[#This Row],[Spool No]],[1]Sheet2!$B:$U,20,0)</f>
        <v>99.918559999999999</v>
      </c>
      <c r="O174" s="2">
        <v>13</v>
      </c>
      <c r="P174" s="2">
        <v>6</v>
      </c>
      <c r="Q174" s="2"/>
    </row>
    <row r="175" spans="1:17" ht="20.100000000000001" customHeight="1">
      <c r="A175" s="2" t="s">
        <v>9</v>
      </c>
      <c r="B175" s="2" t="s">
        <v>243</v>
      </c>
      <c r="C175" s="2" t="s">
        <v>244</v>
      </c>
      <c r="D175" s="2" t="e">
        <f>VLOOKUP(C:C,Vlookup!A:A,1,0)</f>
        <v>#N/A</v>
      </c>
      <c r="E175" s="2">
        <v>6</v>
      </c>
      <c r="F175" s="2" t="s">
        <v>245</v>
      </c>
      <c r="G175" s="2" t="s">
        <v>25</v>
      </c>
      <c r="H175" s="2" t="s">
        <v>11</v>
      </c>
      <c r="I175" s="2">
        <v>1</v>
      </c>
      <c r="J175" s="5">
        <v>46017</v>
      </c>
      <c r="K175" s="5">
        <v>46027</v>
      </c>
      <c r="L175" s="2" t="s">
        <v>865</v>
      </c>
      <c r="M175" s="5">
        <v>46091</v>
      </c>
      <c r="N175" s="3">
        <f>VLOOKUP(NavDataRegion[[#This Row],[Spool No]],[1]Sheet2!$B:$U,20,0)</f>
        <v>88.444999999999993</v>
      </c>
      <c r="O175" s="2">
        <v>13</v>
      </c>
      <c r="P175" s="2">
        <v>6</v>
      </c>
      <c r="Q175" s="2"/>
    </row>
    <row r="176" spans="1:17" ht="20.100000000000001" customHeight="1">
      <c r="A176" s="2" t="s">
        <v>9</v>
      </c>
      <c r="B176" s="2" t="s">
        <v>246</v>
      </c>
      <c r="C176" s="2" t="s">
        <v>247</v>
      </c>
      <c r="D176" s="2" t="e">
        <f>VLOOKUP(C:C,Vlookup!A:A,1,0)</f>
        <v>#N/A</v>
      </c>
      <c r="E176" s="2">
        <v>6</v>
      </c>
      <c r="F176" s="2" t="s">
        <v>248</v>
      </c>
      <c r="G176" s="2" t="s">
        <v>25</v>
      </c>
      <c r="H176" s="2" t="s">
        <v>11</v>
      </c>
      <c r="I176" s="2">
        <v>1</v>
      </c>
      <c r="J176" s="5">
        <v>46017</v>
      </c>
      <c r="K176" s="5">
        <v>46027</v>
      </c>
      <c r="L176" s="2" t="s">
        <v>865</v>
      </c>
      <c r="M176" s="5">
        <v>46091</v>
      </c>
      <c r="N176" s="3">
        <f>VLOOKUP(NavDataRegion[[#This Row],[Spool No]],[1]Sheet2!$B:$U,20,0)</f>
        <v>76.971440000000001</v>
      </c>
      <c r="O176" s="2">
        <v>13</v>
      </c>
      <c r="P176" s="2">
        <v>6</v>
      </c>
      <c r="Q176" s="2"/>
    </row>
    <row r="177" spans="1:17" ht="20.100000000000001" customHeight="1">
      <c r="A177" s="2" t="s">
        <v>9</v>
      </c>
      <c r="B177" s="2" t="s">
        <v>249</v>
      </c>
      <c r="C177" s="2" t="s">
        <v>250</v>
      </c>
      <c r="D177" s="2" t="e">
        <f>VLOOKUP(C:C,Vlookup!A:A,1,0)</f>
        <v>#N/A</v>
      </c>
      <c r="E177" s="2">
        <v>6</v>
      </c>
      <c r="F177" s="2" t="s">
        <v>251</v>
      </c>
      <c r="G177" s="2" t="s">
        <v>25</v>
      </c>
      <c r="H177" s="2" t="s">
        <v>11</v>
      </c>
      <c r="I177" s="2">
        <v>1</v>
      </c>
      <c r="J177" s="5">
        <v>46017</v>
      </c>
      <c r="K177" s="5">
        <v>46027</v>
      </c>
      <c r="L177" s="2" t="s">
        <v>865</v>
      </c>
      <c r="M177" s="5">
        <v>46091</v>
      </c>
      <c r="N177" s="3">
        <f>VLOOKUP(NavDataRegion[[#This Row],[Spool No]],[1]Sheet2!$B:$U,20,0)</f>
        <v>65.469620000000006</v>
      </c>
      <c r="O177" s="2">
        <v>13</v>
      </c>
      <c r="P177" s="2">
        <v>6</v>
      </c>
      <c r="Q177" s="2"/>
    </row>
    <row r="178" spans="1:17" ht="20.100000000000001" customHeight="1">
      <c r="A178" s="2" t="s">
        <v>9</v>
      </c>
      <c r="B178" s="2" t="s">
        <v>252</v>
      </c>
      <c r="C178" s="2" t="s">
        <v>253</v>
      </c>
      <c r="D178" s="2" t="e">
        <f>VLOOKUP(C:C,Vlookup!A:A,1,0)</f>
        <v>#N/A</v>
      </c>
      <c r="E178" s="2">
        <v>9</v>
      </c>
      <c r="F178" s="2" t="s">
        <v>254</v>
      </c>
      <c r="G178" s="2" t="s">
        <v>25</v>
      </c>
      <c r="H178" s="2" t="s">
        <v>11</v>
      </c>
      <c r="I178" s="2">
        <v>1</v>
      </c>
      <c r="J178" s="5">
        <v>46049</v>
      </c>
      <c r="K178" s="5">
        <v>46050</v>
      </c>
      <c r="L178" s="2" t="s">
        <v>865</v>
      </c>
      <c r="M178" s="5">
        <v>46091</v>
      </c>
      <c r="N178" s="3">
        <f>VLOOKUP(NavDataRegion[[#This Row],[Spool No]],[1]Sheet2!$B:$U,20,0)</f>
        <v>53.967799999999997</v>
      </c>
      <c r="O178" s="2">
        <v>13</v>
      </c>
      <c r="P178" s="2">
        <v>6</v>
      </c>
      <c r="Q178" s="2"/>
    </row>
    <row r="179" spans="1:17" ht="20.100000000000001" customHeight="1">
      <c r="A179" s="2" t="s">
        <v>9</v>
      </c>
      <c r="B179" s="2" t="s">
        <v>1259</v>
      </c>
      <c r="C179" s="2" t="s">
        <v>1587</v>
      </c>
      <c r="D179" s="2" t="e">
        <f>VLOOKUP(C:C,Vlookup!A:A,1,0)</f>
        <v>#N/A</v>
      </c>
      <c r="E179" s="2">
        <v>14</v>
      </c>
      <c r="F179" s="17" t="s">
        <v>10</v>
      </c>
      <c r="G179" s="17" t="s">
        <v>25</v>
      </c>
      <c r="H179" s="2" t="s">
        <v>11</v>
      </c>
      <c r="I179" s="2">
        <v>1</v>
      </c>
      <c r="J179" s="5">
        <v>46100</v>
      </c>
      <c r="K179" s="5">
        <v>46101</v>
      </c>
      <c r="L179" s="2" t="s">
        <v>865</v>
      </c>
      <c r="M179" s="5">
        <v>45754</v>
      </c>
      <c r="N179" s="3">
        <f>VLOOKUP(NavDataRegion[[#This Row],[Spool No]],[1]Sheet2!$B:$U,20,0)</f>
        <v>5.0526600000000004</v>
      </c>
      <c r="O179" s="2">
        <v>2.5</v>
      </c>
      <c r="P179" s="2">
        <v>0.5</v>
      </c>
      <c r="Q179" s="2"/>
    </row>
    <row r="180" spans="1:17" ht="20.100000000000001" customHeight="1">
      <c r="A180" s="2" t="s">
        <v>9</v>
      </c>
      <c r="B180" s="2" t="s">
        <v>1263</v>
      </c>
      <c r="C180" s="2" t="s">
        <v>1589</v>
      </c>
      <c r="D180" s="2" t="e">
        <f>VLOOKUP(C:C,Vlookup!A:A,1,0)</f>
        <v>#N/A</v>
      </c>
      <c r="E180" s="2">
        <v>14</v>
      </c>
      <c r="F180" s="17" t="s">
        <v>10</v>
      </c>
      <c r="G180" s="17" t="s">
        <v>25</v>
      </c>
      <c r="H180" s="2" t="s">
        <v>11</v>
      </c>
      <c r="I180" s="2">
        <v>1</v>
      </c>
      <c r="J180" s="5">
        <v>46105</v>
      </c>
      <c r="K180" s="5">
        <v>46106</v>
      </c>
      <c r="L180" s="2" t="s">
        <v>865</v>
      </c>
      <c r="M180" s="5">
        <v>45754</v>
      </c>
      <c r="N180" s="3">
        <f>VLOOKUP(NavDataRegion[[#This Row],[Spool No]],[1]Sheet2!$B:$U,20,0)</f>
        <v>8.7701399999999996</v>
      </c>
      <c r="O180" s="2">
        <v>8</v>
      </c>
      <c r="P180" s="2">
        <v>0.5</v>
      </c>
      <c r="Q180" s="2"/>
    </row>
    <row r="181" spans="1:17" ht="20.100000000000001" customHeight="1">
      <c r="A181" s="2" t="s">
        <v>9</v>
      </c>
      <c r="B181" s="2" t="s">
        <v>1261</v>
      </c>
      <c r="C181" s="2" t="s">
        <v>1262</v>
      </c>
      <c r="D181" s="2" t="e">
        <f>VLOOKUP(C:C,Vlookup!A:A,1,0)</f>
        <v>#N/A</v>
      </c>
      <c r="E181" s="2">
        <v>14</v>
      </c>
      <c r="F181" s="17" t="s">
        <v>10</v>
      </c>
      <c r="G181" s="17" t="s">
        <v>25</v>
      </c>
      <c r="H181" s="2" t="s">
        <v>11</v>
      </c>
      <c r="I181" s="2">
        <v>1</v>
      </c>
      <c r="J181" s="5">
        <v>46100</v>
      </c>
      <c r="K181" s="5">
        <v>46101</v>
      </c>
      <c r="L181" s="2" t="s">
        <v>865</v>
      </c>
      <c r="M181" s="5">
        <v>45754</v>
      </c>
      <c r="N181" s="3">
        <f>VLOOKUP(NavDataRegion[[#This Row],[Spool No]],[1]Sheet2!$B:$U,20,0)</f>
        <v>9.83</v>
      </c>
      <c r="O181" s="2">
        <v>0.5</v>
      </c>
      <c r="P181" s="2">
        <v>0.5</v>
      </c>
      <c r="Q181" s="2"/>
    </row>
    <row r="182" spans="1:17" ht="20.100000000000001" customHeight="1">
      <c r="A182" s="2" t="s">
        <v>9</v>
      </c>
      <c r="B182" s="2" t="s">
        <v>223</v>
      </c>
      <c r="C182" s="2" t="s">
        <v>224</v>
      </c>
      <c r="D182" s="2" t="e">
        <f>VLOOKUP(C:C,Vlookup!A:A,1,0)</f>
        <v>#N/A</v>
      </c>
      <c r="E182" s="2">
        <v>13</v>
      </c>
      <c r="F182" s="2" t="s">
        <v>10</v>
      </c>
      <c r="G182" s="2" t="s">
        <v>16</v>
      </c>
      <c r="H182" s="2" t="s">
        <v>11</v>
      </c>
      <c r="I182" s="2">
        <v>1</v>
      </c>
      <c r="J182" s="5">
        <v>46087</v>
      </c>
      <c r="K182" s="5">
        <v>46094</v>
      </c>
      <c r="L182" s="2" t="s">
        <v>865</v>
      </c>
      <c r="M182" s="5">
        <v>46105</v>
      </c>
      <c r="N182" s="3">
        <f>VLOOKUP(NavDataRegion[[#This Row],[Spool No]],[1]Sheet2!$B:$U,20,0)</f>
        <v>91.651448607999995</v>
      </c>
      <c r="O182" s="2">
        <v>22</v>
      </c>
      <c r="P182" s="2">
        <v>6</v>
      </c>
      <c r="Q182" s="2"/>
    </row>
    <row r="183" spans="1:17" ht="20.100000000000001" customHeight="1">
      <c r="A183" s="2" t="s">
        <v>9</v>
      </c>
      <c r="B183" s="2" t="s">
        <v>60</v>
      </c>
      <c r="C183" s="2" t="s">
        <v>752</v>
      </c>
      <c r="D183" s="2" t="e">
        <f>VLOOKUP(C:C,Vlookup!A:A,1,0)</f>
        <v>#N/A</v>
      </c>
      <c r="E183" s="2">
        <v>2</v>
      </c>
      <c r="F183" s="2" t="s">
        <v>10</v>
      </c>
      <c r="G183" s="2" t="s">
        <v>16</v>
      </c>
      <c r="H183" s="2" t="s">
        <v>11</v>
      </c>
      <c r="I183" s="2">
        <v>1</v>
      </c>
      <c r="J183" s="5">
        <v>45989</v>
      </c>
      <c r="K183" s="5">
        <v>45992</v>
      </c>
      <c r="L183" s="2" t="s">
        <v>865</v>
      </c>
      <c r="M183" s="5">
        <v>46090</v>
      </c>
      <c r="N183" s="3">
        <f>VLOOKUP(NavDataRegion[[#This Row],[Spool No]],[1]Sheet2!$B:$U,20,0)</f>
        <v>99.831580000000002</v>
      </c>
      <c r="O183" s="2">
        <v>11</v>
      </c>
      <c r="P183" s="2">
        <v>6</v>
      </c>
      <c r="Q183" s="2"/>
    </row>
    <row r="184" spans="1:17" ht="20.100000000000001" customHeight="1">
      <c r="A184" s="2" t="s">
        <v>9</v>
      </c>
      <c r="B184" s="2" t="s">
        <v>32</v>
      </c>
      <c r="C184" s="2" t="s">
        <v>359</v>
      </c>
      <c r="D184" s="2" t="e">
        <f>VLOOKUP(C:C,Vlookup!A:A,1,0)</f>
        <v>#N/A</v>
      </c>
      <c r="E184" s="2">
        <v>8</v>
      </c>
      <c r="F184" s="2" t="s">
        <v>10</v>
      </c>
      <c r="G184" s="2" t="s">
        <v>25</v>
      </c>
      <c r="H184" s="2" t="s">
        <v>11</v>
      </c>
      <c r="I184" s="2">
        <v>1</v>
      </c>
      <c r="J184" s="5">
        <v>46045</v>
      </c>
      <c r="K184" s="5">
        <v>46045</v>
      </c>
      <c r="L184" s="2" t="s">
        <v>865</v>
      </c>
      <c r="M184" s="5">
        <v>46091</v>
      </c>
      <c r="N184" s="3">
        <f>VLOOKUP(NavDataRegion[[#This Row],[Spool No]],[1]Sheet2!$B:$U,20,0)</f>
        <v>68.404780000000002</v>
      </c>
      <c r="O184" s="2">
        <v>6</v>
      </c>
      <c r="P184" s="2">
        <v>6</v>
      </c>
      <c r="Q184" s="2"/>
    </row>
    <row r="185" spans="1:17" ht="20.100000000000001" customHeight="1">
      <c r="A185" s="2" t="s">
        <v>9</v>
      </c>
      <c r="B185" s="2" t="s">
        <v>36</v>
      </c>
      <c r="C185" s="2" t="s">
        <v>360</v>
      </c>
      <c r="D185" s="2" t="e">
        <f>VLOOKUP(C:C,Vlookup!A:A,1,0)</f>
        <v>#N/A</v>
      </c>
      <c r="E185" s="2">
        <v>6</v>
      </c>
      <c r="F185" s="2" t="s">
        <v>10</v>
      </c>
      <c r="G185" s="2" t="s">
        <v>25</v>
      </c>
      <c r="H185" s="2" t="s">
        <v>11</v>
      </c>
      <c r="I185" s="2">
        <v>1</v>
      </c>
      <c r="J185" s="5">
        <v>46029</v>
      </c>
      <c r="K185" s="5">
        <v>46029</v>
      </c>
      <c r="L185" s="2" t="s">
        <v>865</v>
      </c>
      <c r="M185" s="5">
        <v>46091</v>
      </c>
      <c r="N185" s="3">
        <f>VLOOKUP(NavDataRegion[[#This Row],[Spool No]],[1]Sheet2!$B:$U,20,0)</f>
        <v>122.35312</v>
      </c>
      <c r="O185" s="2">
        <v>6</v>
      </c>
      <c r="P185" s="2">
        <v>6</v>
      </c>
      <c r="Q185" s="2"/>
    </row>
    <row r="186" spans="1:17" ht="20.100000000000001" customHeight="1">
      <c r="A186" s="2" t="s">
        <v>9</v>
      </c>
      <c r="B186" s="2" t="s">
        <v>40</v>
      </c>
      <c r="C186" s="2" t="s">
        <v>361</v>
      </c>
      <c r="D186" s="2" t="e">
        <f>VLOOKUP(C:C,Vlookup!A:A,1,0)</f>
        <v>#N/A</v>
      </c>
      <c r="E186" s="2">
        <v>6</v>
      </c>
      <c r="F186" s="2" t="s">
        <v>10</v>
      </c>
      <c r="G186" s="2" t="s">
        <v>16</v>
      </c>
      <c r="H186" s="2" t="s">
        <v>11</v>
      </c>
      <c r="I186" s="2">
        <v>1</v>
      </c>
      <c r="J186" s="5">
        <v>46015</v>
      </c>
      <c r="K186" s="5">
        <v>46016</v>
      </c>
      <c r="L186" s="2" t="s">
        <v>865</v>
      </c>
      <c r="M186" s="5">
        <v>46091</v>
      </c>
      <c r="N186" s="3">
        <f>VLOOKUP(NavDataRegion[[#This Row],[Spool No]],[1]Sheet2!$B:$U,20,0)</f>
        <v>130.52964</v>
      </c>
      <c r="O186" s="2">
        <v>35</v>
      </c>
      <c r="P186" s="2">
        <v>6</v>
      </c>
      <c r="Q186" s="2"/>
    </row>
    <row r="187" spans="1:17" ht="20.100000000000001" customHeight="1">
      <c r="A187" s="2" t="s">
        <v>9</v>
      </c>
      <c r="B187" s="2" t="s">
        <v>44</v>
      </c>
      <c r="C187" s="2" t="s">
        <v>362</v>
      </c>
      <c r="D187" s="2" t="e">
        <f>VLOOKUP(C:C,Vlookup!A:A,1,0)</f>
        <v>#N/A</v>
      </c>
      <c r="E187" s="2">
        <v>6</v>
      </c>
      <c r="F187" s="2" t="s">
        <v>10</v>
      </c>
      <c r="G187" s="2" t="s">
        <v>16</v>
      </c>
      <c r="H187" s="2" t="s">
        <v>11</v>
      </c>
      <c r="I187" s="2">
        <v>1</v>
      </c>
      <c r="J187" s="5">
        <v>46015</v>
      </c>
      <c r="K187" s="5">
        <v>46016</v>
      </c>
      <c r="L187" s="2" t="s">
        <v>865</v>
      </c>
      <c r="M187" s="5">
        <v>46091</v>
      </c>
      <c r="N187" s="3">
        <f>VLOOKUP(NavDataRegion[[#This Row],[Spool No]],[1]Sheet2!$B:$U,20,0)</f>
        <v>139.14894000000001</v>
      </c>
      <c r="O187" s="2">
        <v>35</v>
      </c>
      <c r="P187" s="2">
        <v>6</v>
      </c>
      <c r="Q187" s="2"/>
    </row>
    <row r="188" spans="1:17" ht="20.100000000000001" customHeight="1">
      <c r="A188" s="2" t="s">
        <v>9</v>
      </c>
      <c r="B188" s="2" t="s">
        <v>48</v>
      </c>
      <c r="C188" s="2" t="s">
        <v>363</v>
      </c>
      <c r="D188" s="2" t="e">
        <f>VLOOKUP(C:C,Vlookup!A:A,1,0)</f>
        <v>#N/A</v>
      </c>
      <c r="E188" s="2">
        <v>6</v>
      </c>
      <c r="F188" s="2" t="s">
        <v>10</v>
      </c>
      <c r="G188" s="2" t="s">
        <v>16</v>
      </c>
      <c r="H188" s="2" t="s">
        <v>11</v>
      </c>
      <c r="I188" s="2">
        <v>1</v>
      </c>
      <c r="J188" s="5">
        <v>46015</v>
      </c>
      <c r="K188" s="5">
        <v>46016</v>
      </c>
      <c r="L188" s="2" t="s">
        <v>865</v>
      </c>
      <c r="M188" s="5">
        <v>46091</v>
      </c>
      <c r="N188" s="3">
        <f>VLOOKUP(NavDataRegion[[#This Row],[Spool No]],[1]Sheet2!$B:$U,20,0)</f>
        <v>130.55789999999999</v>
      </c>
      <c r="O188" s="2">
        <v>35</v>
      </c>
      <c r="P188" s="2">
        <v>6</v>
      </c>
      <c r="Q188" s="2"/>
    </row>
    <row r="189" spans="1:17" ht="20.100000000000001" customHeight="1">
      <c r="A189" s="2" t="s">
        <v>9</v>
      </c>
      <c r="B189" s="2" t="s">
        <v>52</v>
      </c>
      <c r="C189" s="2" t="s">
        <v>364</v>
      </c>
      <c r="D189" s="2" t="e">
        <f>VLOOKUP(C:C,Vlookup!A:A,1,0)</f>
        <v>#N/A</v>
      </c>
      <c r="E189" s="2">
        <v>7</v>
      </c>
      <c r="F189" s="2" t="s">
        <v>10</v>
      </c>
      <c r="G189" s="2" t="s">
        <v>16</v>
      </c>
      <c r="H189" s="2" t="s">
        <v>11</v>
      </c>
      <c r="I189" s="2">
        <v>1</v>
      </c>
      <c r="J189" s="5">
        <v>46029</v>
      </c>
      <c r="K189" s="5">
        <v>45665</v>
      </c>
      <c r="L189" s="2" t="s">
        <v>865</v>
      </c>
      <c r="M189" s="5">
        <v>46091</v>
      </c>
      <c r="N189" s="3">
        <f>VLOOKUP(NavDataRegion[[#This Row],[Spool No]],[1]Sheet2!$B:$U,20,0)</f>
        <v>139.14894000000001</v>
      </c>
      <c r="O189" s="2">
        <v>35</v>
      </c>
      <c r="P189" s="2">
        <v>6</v>
      </c>
      <c r="Q189" s="2"/>
    </row>
    <row r="190" spans="1:17" ht="20.100000000000001" customHeight="1">
      <c r="A190" s="2" t="s">
        <v>9</v>
      </c>
      <c r="B190" s="2" t="s">
        <v>56</v>
      </c>
      <c r="C190" s="2" t="s">
        <v>365</v>
      </c>
      <c r="D190" s="2" t="e">
        <f>VLOOKUP(C:C,Vlookup!A:A,1,0)</f>
        <v>#N/A</v>
      </c>
      <c r="E190" s="2">
        <v>8</v>
      </c>
      <c r="F190" s="2" t="s">
        <v>10</v>
      </c>
      <c r="G190" s="2" t="s">
        <v>16</v>
      </c>
      <c r="H190" s="2" t="s">
        <v>11</v>
      </c>
      <c r="I190" s="2">
        <v>1</v>
      </c>
      <c r="J190" s="5">
        <v>46045</v>
      </c>
      <c r="K190" s="5">
        <v>46048</v>
      </c>
      <c r="L190" s="2" t="s">
        <v>865</v>
      </c>
      <c r="M190" s="5">
        <v>46091</v>
      </c>
      <c r="N190" s="3">
        <f>VLOOKUP(NavDataRegion[[#This Row],[Spool No]],[1]Sheet2!$B:$U,20,0)</f>
        <v>130.50731999999999</v>
      </c>
      <c r="O190" s="2">
        <v>35</v>
      </c>
      <c r="P190" s="2">
        <v>6</v>
      </c>
      <c r="Q190" s="2"/>
    </row>
    <row r="191" spans="1:17" ht="20.100000000000001" customHeight="1">
      <c r="A191" s="2" t="s">
        <v>9</v>
      </c>
      <c r="B191" s="2" t="s">
        <v>60</v>
      </c>
      <c r="C191" s="2" t="s">
        <v>366</v>
      </c>
      <c r="D191" s="2" t="e">
        <f>VLOOKUP(C:C,Vlookup!A:A,1,0)</f>
        <v>#N/A</v>
      </c>
      <c r="E191" s="2">
        <v>6</v>
      </c>
      <c r="F191" s="2" t="s">
        <v>10</v>
      </c>
      <c r="G191" s="2" t="s">
        <v>16</v>
      </c>
      <c r="H191" s="2" t="s">
        <v>11</v>
      </c>
      <c r="I191" s="2">
        <v>1</v>
      </c>
      <c r="J191" s="5">
        <v>46029</v>
      </c>
      <c r="K191" s="5">
        <v>46029</v>
      </c>
      <c r="L191" s="2" t="s">
        <v>865</v>
      </c>
      <c r="M191" s="5">
        <v>46091</v>
      </c>
      <c r="N191" s="3">
        <f>VLOOKUP(NavDataRegion[[#This Row],[Spool No]],[1]Sheet2!$B:$U,20,0)</f>
        <v>139.12662</v>
      </c>
      <c r="O191" s="2">
        <v>35</v>
      </c>
      <c r="P191" s="2">
        <v>6</v>
      </c>
      <c r="Q191" s="2"/>
    </row>
    <row r="192" spans="1:17" ht="20.100000000000001" customHeight="1">
      <c r="A192" s="2" t="s">
        <v>9</v>
      </c>
      <c r="B192" s="2" t="s">
        <v>64</v>
      </c>
      <c r="C192" s="2" t="s">
        <v>367</v>
      </c>
      <c r="D192" s="2" t="e">
        <f>VLOOKUP(C:C,Vlookup!A:A,1,0)</f>
        <v>#N/A</v>
      </c>
      <c r="E192" s="2">
        <v>6</v>
      </c>
      <c r="F192" s="2" t="s">
        <v>10</v>
      </c>
      <c r="G192" s="2" t="s">
        <v>16</v>
      </c>
      <c r="H192" s="2" t="s">
        <v>11</v>
      </c>
      <c r="I192" s="2">
        <v>1</v>
      </c>
      <c r="J192" s="5">
        <v>46017</v>
      </c>
      <c r="K192" s="5">
        <v>46027</v>
      </c>
      <c r="L192" s="2" t="s">
        <v>865</v>
      </c>
      <c r="M192" s="5">
        <v>46091</v>
      </c>
      <c r="N192" s="3">
        <f>VLOOKUP(NavDataRegion[[#This Row],[Spool No]],[1]Sheet2!$B:$U,20,0)</f>
        <v>130.50138000000001</v>
      </c>
      <c r="O192" s="2">
        <v>35</v>
      </c>
      <c r="P192" s="2">
        <v>6</v>
      </c>
      <c r="Q192" s="2"/>
    </row>
    <row r="193" spans="1:17" ht="20.100000000000001" customHeight="1">
      <c r="A193" s="2" t="s">
        <v>9</v>
      </c>
      <c r="B193" s="2" t="s">
        <v>68</v>
      </c>
      <c r="C193" s="2" t="s">
        <v>368</v>
      </c>
      <c r="D193" s="2" t="e">
        <f>VLOOKUP(C:C,Vlookup!A:A,1,0)</f>
        <v>#N/A</v>
      </c>
      <c r="E193" s="2">
        <v>6</v>
      </c>
      <c r="F193" s="2" t="s">
        <v>10</v>
      </c>
      <c r="G193" s="2" t="s">
        <v>16</v>
      </c>
      <c r="H193" s="2" t="s">
        <v>11</v>
      </c>
      <c r="I193" s="2">
        <v>1</v>
      </c>
      <c r="J193" s="5">
        <v>46015</v>
      </c>
      <c r="K193" s="5">
        <v>46016</v>
      </c>
      <c r="L193" s="2" t="s">
        <v>865</v>
      </c>
      <c r="M193" s="5">
        <v>46091</v>
      </c>
      <c r="N193" s="3">
        <f>VLOOKUP(NavDataRegion[[#This Row],[Spool No]],[1]Sheet2!$B:$U,20,0)</f>
        <v>139.12067999999999</v>
      </c>
      <c r="O193" s="2">
        <v>35</v>
      </c>
      <c r="P193" s="2">
        <v>6</v>
      </c>
      <c r="Q193" s="2"/>
    </row>
    <row r="194" spans="1:17" ht="20.100000000000001" customHeight="1">
      <c r="A194" s="2" t="s">
        <v>9</v>
      </c>
      <c r="B194" s="2" t="s">
        <v>72</v>
      </c>
      <c r="C194" s="2" t="s">
        <v>369</v>
      </c>
      <c r="D194" s="2" t="e">
        <f>VLOOKUP(C:C,Vlookup!A:A,1,0)</f>
        <v>#N/A</v>
      </c>
      <c r="E194" s="2">
        <v>6</v>
      </c>
      <c r="F194" s="2" t="s">
        <v>10</v>
      </c>
      <c r="G194" s="2" t="s">
        <v>16</v>
      </c>
      <c r="H194" s="2" t="s">
        <v>11</v>
      </c>
      <c r="I194" s="2">
        <v>1</v>
      </c>
      <c r="J194" s="5">
        <v>46015</v>
      </c>
      <c r="K194" s="5">
        <v>46016</v>
      </c>
      <c r="L194" s="2" t="s">
        <v>865</v>
      </c>
      <c r="M194" s="5">
        <v>46091</v>
      </c>
      <c r="N194" s="3">
        <f>VLOOKUP(NavDataRegion[[#This Row],[Spool No]],[1]Sheet2!$B:$U,20,0)</f>
        <v>130.50138000000001</v>
      </c>
      <c r="O194" s="2">
        <v>35</v>
      </c>
      <c r="P194" s="2">
        <v>6</v>
      </c>
      <c r="Q194" s="2"/>
    </row>
    <row r="195" spans="1:17" ht="20.100000000000001" customHeight="1">
      <c r="A195" s="2" t="s">
        <v>9</v>
      </c>
      <c r="B195" s="2" t="s">
        <v>76</v>
      </c>
      <c r="C195" s="2" t="s">
        <v>370</v>
      </c>
      <c r="D195" s="2" t="e">
        <f>VLOOKUP(C:C,Vlookup!A:A,1,0)</f>
        <v>#N/A</v>
      </c>
      <c r="E195" s="2">
        <v>7</v>
      </c>
      <c r="F195" s="2" t="s">
        <v>10</v>
      </c>
      <c r="G195" s="2" t="s">
        <v>16</v>
      </c>
      <c r="H195" s="2" t="s">
        <v>11</v>
      </c>
      <c r="I195" s="2">
        <v>1</v>
      </c>
      <c r="J195" s="5">
        <v>46029</v>
      </c>
      <c r="K195" s="5">
        <v>45665</v>
      </c>
      <c r="L195" s="2" t="s">
        <v>865</v>
      </c>
      <c r="M195" s="5">
        <v>46091</v>
      </c>
      <c r="N195" s="3">
        <f>VLOOKUP(NavDataRegion[[#This Row],[Spool No]],[1]Sheet2!$B:$U,20,0)</f>
        <v>139.12067999999999</v>
      </c>
      <c r="O195" s="2">
        <v>35</v>
      </c>
      <c r="P195" s="2">
        <v>6</v>
      </c>
      <c r="Q195" s="2"/>
    </row>
    <row r="196" spans="1:17" ht="20.100000000000001" customHeight="1">
      <c r="A196" s="2" t="s">
        <v>9</v>
      </c>
      <c r="B196" s="2" t="s">
        <v>80</v>
      </c>
      <c r="C196" s="2" t="s">
        <v>371</v>
      </c>
      <c r="D196" s="2" t="e">
        <f>VLOOKUP(C:C,Vlookup!A:A,1,0)</f>
        <v>#N/A</v>
      </c>
      <c r="E196" s="2">
        <v>5</v>
      </c>
      <c r="F196" s="2" t="s">
        <v>10</v>
      </c>
      <c r="G196" s="2" t="s">
        <v>16</v>
      </c>
      <c r="H196" s="2" t="s">
        <v>11</v>
      </c>
      <c r="I196" s="2">
        <v>1</v>
      </c>
      <c r="J196" s="5">
        <v>46015</v>
      </c>
      <c r="K196" s="5">
        <v>46016</v>
      </c>
      <c r="L196" s="2" t="s">
        <v>865</v>
      </c>
      <c r="M196" s="5">
        <v>46090</v>
      </c>
      <c r="N196" s="3">
        <f>VLOOKUP(NavDataRegion[[#This Row],[Spool No]],[1]Sheet2!$B:$U,20,0)</f>
        <v>130.50138000000001</v>
      </c>
      <c r="O196" s="2">
        <v>35</v>
      </c>
      <c r="P196" s="2">
        <v>6</v>
      </c>
      <c r="Q196" s="2"/>
    </row>
    <row r="197" spans="1:17" ht="20.100000000000001" customHeight="1">
      <c r="A197" s="2" t="s">
        <v>9</v>
      </c>
      <c r="B197" s="2" t="s">
        <v>84</v>
      </c>
      <c r="C197" s="2" t="s">
        <v>372</v>
      </c>
      <c r="D197" s="2" t="e">
        <f>VLOOKUP(C:C,Vlookup!A:A,1,0)</f>
        <v>#N/A</v>
      </c>
      <c r="E197" s="2">
        <v>5</v>
      </c>
      <c r="F197" s="2" t="s">
        <v>10</v>
      </c>
      <c r="G197" s="2" t="s">
        <v>16</v>
      </c>
      <c r="H197" s="2" t="s">
        <v>11</v>
      </c>
      <c r="I197" s="2">
        <v>1</v>
      </c>
      <c r="J197" s="5">
        <v>46015</v>
      </c>
      <c r="K197" s="5">
        <v>46016</v>
      </c>
      <c r="L197" s="2" t="s">
        <v>865</v>
      </c>
      <c r="M197" s="5">
        <v>46090</v>
      </c>
      <c r="N197" s="3">
        <f>VLOOKUP(NavDataRegion[[#This Row],[Spool No]],[1]Sheet2!$B:$U,20,0)</f>
        <v>139.12067999999999</v>
      </c>
      <c r="O197" s="2">
        <v>35</v>
      </c>
      <c r="P197" s="2">
        <v>6</v>
      </c>
      <c r="Q197" s="2"/>
    </row>
    <row r="198" spans="1:17" ht="20.100000000000001" customHeight="1">
      <c r="A198" s="2" t="s">
        <v>9</v>
      </c>
      <c r="B198" s="2" t="s">
        <v>88</v>
      </c>
      <c r="C198" s="2" t="s">
        <v>373</v>
      </c>
      <c r="D198" s="2" t="e">
        <f>VLOOKUP(C:C,Vlookup!A:A,1,0)</f>
        <v>#N/A</v>
      </c>
      <c r="E198" s="2">
        <v>6</v>
      </c>
      <c r="F198" s="2" t="s">
        <v>10</v>
      </c>
      <c r="G198" s="2" t="s">
        <v>16</v>
      </c>
      <c r="H198" s="2" t="s">
        <v>11</v>
      </c>
      <c r="I198" s="2">
        <v>1</v>
      </c>
      <c r="J198" s="5">
        <v>46015</v>
      </c>
      <c r="K198" s="5">
        <v>46016</v>
      </c>
      <c r="L198" s="2" t="s">
        <v>865</v>
      </c>
      <c r="M198" s="5">
        <v>46091</v>
      </c>
      <c r="N198" s="3">
        <f>VLOOKUP(NavDataRegion[[#This Row],[Spool No]],[1]Sheet2!$B:$U,20,0)</f>
        <v>139.12067999999999</v>
      </c>
      <c r="O198" s="2">
        <v>35</v>
      </c>
      <c r="P198" s="2">
        <v>6</v>
      </c>
      <c r="Q198" s="2"/>
    </row>
    <row r="199" spans="1:17" ht="20.100000000000001" customHeight="1">
      <c r="A199" s="2" t="s">
        <v>9</v>
      </c>
      <c r="B199" s="2" t="s">
        <v>92</v>
      </c>
      <c r="C199" s="2" t="s">
        <v>374</v>
      </c>
      <c r="D199" s="2" t="e">
        <f>VLOOKUP(C:C,Vlookup!A:A,1,0)</f>
        <v>#N/A</v>
      </c>
      <c r="E199" s="2">
        <v>6</v>
      </c>
      <c r="F199" s="2" t="s">
        <v>10</v>
      </c>
      <c r="G199" s="2" t="s">
        <v>16</v>
      </c>
      <c r="H199" s="2" t="s">
        <v>11</v>
      </c>
      <c r="I199" s="2">
        <v>1</v>
      </c>
      <c r="J199" s="5">
        <v>46029</v>
      </c>
      <c r="K199" s="5">
        <v>46029</v>
      </c>
      <c r="L199" s="2" t="s">
        <v>865</v>
      </c>
      <c r="M199" s="5">
        <v>46091</v>
      </c>
      <c r="N199" s="3">
        <f>VLOOKUP(NavDataRegion[[#This Row],[Spool No]],[1]Sheet2!$B:$U,20,0)</f>
        <v>130.47906</v>
      </c>
      <c r="O199" s="2">
        <v>35</v>
      </c>
      <c r="P199" s="2">
        <v>6</v>
      </c>
      <c r="Q199" s="2"/>
    </row>
    <row r="200" spans="1:17" ht="20.100000000000001" customHeight="1">
      <c r="A200" s="2" t="s">
        <v>9</v>
      </c>
      <c r="B200" s="2" t="s">
        <v>96</v>
      </c>
      <c r="C200" s="2" t="s">
        <v>375</v>
      </c>
      <c r="D200" s="2" t="e">
        <f>VLOOKUP(C:C,Vlookup!A:A,1,0)</f>
        <v>#N/A</v>
      </c>
      <c r="E200" s="2">
        <v>6</v>
      </c>
      <c r="F200" s="2" t="s">
        <v>10</v>
      </c>
      <c r="G200" s="2" t="s">
        <v>16</v>
      </c>
      <c r="H200" s="2" t="s">
        <v>11</v>
      </c>
      <c r="I200" s="2">
        <v>1</v>
      </c>
      <c r="J200" s="5">
        <v>46017</v>
      </c>
      <c r="K200" s="5">
        <v>46027</v>
      </c>
      <c r="L200" s="2" t="s">
        <v>865</v>
      </c>
      <c r="M200" s="5">
        <v>46091</v>
      </c>
      <c r="N200" s="3">
        <f>VLOOKUP(NavDataRegion[[#This Row],[Spool No]],[1]Sheet2!$B:$U,20,0)</f>
        <v>139.11351527279999</v>
      </c>
      <c r="O200" s="2">
        <v>35</v>
      </c>
      <c r="P200" s="2">
        <v>6</v>
      </c>
      <c r="Q200" s="2"/>
    </row>
    <row r="201" spans="1:17" ht="20.100000000000001" customHeight="1">
      <c r="A201" s="2" t="s">
        <v>9</v>
      </c>
      <c r="B201" s="2" t="s">
        <v>100</v>
      </c>
      <c r="C201" s="2" t="s">
        <v>376</v>
      </c>
      <c r="D201" s="2" t="e">
        <f>VLOOKUP(C:C,Vlookup!A:A,1,0)</f>
        <v>#N/A</v>
      </c>
      <c r="E201" s="2">
        <v>6</v>
      </c>
      <c r="F201" s="2" t="s">
        <v>10</v>
      </c>
      <c r="G201" s="2" t="s">
        <v>16</v>
      </c>
      <c r="H201" s="2" t="s">
        <v>11</v>
      </c>
      <c r="I201" s="2">
        <v>1</v>
      </c>
      <c r="J201" s="5">
        <v>46029</v>
      </c>
      <c r="K201" s="5">
        <v>46029</v>
      </c>
      <c r="L201" s="2" t="s">
        <v>865</v>
      </c>
      <c r="M201" s="5">
        <v>46091</v>
      </c>
      <c r="N201" s="3">
        <f>VLOOKUP(NavDataRegion[[#This Row],[Spool No]],[1]Sheet2!$B:$U,20,0)</f>
        <v>130.58616000000001</v>
      </c>
      <c r="O201" s="2">
        <v>35</v>
      </c>
      <c r="P201" s="2">
        <v>6</v>
      </c>
      <c r="Q201" s="2"/>
    </row>
    <row r="202" spans="1:17" ht="20.100000000000001" customHeight="1">
      <c r="A202" s="2" t="s">
        <v>9</v>
      </c>
      <c r="B202" s="2" t="s">
        <v>104</v>
      </c>
      <c r="C202" s="2" t="s">
        <v>377</v>
      </c>
      <c r="D202" s="2" t="e">
        <f>VLOOKUP(C:C,Vlookup!A:A,1,0)</f>
        <v>#N/A</v>
      </c>
      <c r="E202" s="2">
        <v>5</v>
      </c>
      <c r="F202" s="2" t="s">
        <v>10</v>
      </c>
      <c r="G202" s="2" t="s">
        <v>16</v>
      </c>
      <c r="H202" s="2" t="s">
        <v>11</v>
      </c>
      <c r="I202" s="2">
        <v>1</v>
      </c>
      <c r="J202" s="5">
        <v>46015</v>
      </c>
      <c r="K202" s="5">
        <v>46016</v>
      </c>
      <c r="L202" s="2" t="s">
        <v>865</v>
      </c>
      <c r="M202" s="5">
        <v>46090</v>
      </c>
      <c r="N202" s="3">
        <f>VLOOKUP(NavDataRegion[[#This Row],[Spool No]],[1]Sheet2!$B:$U,20,0)</f>
        <v>139.14894000000001</v>
      </c>
      <c r="O202" s="2">
        <v>35</v>
      </c>
      <c r="P202" s="2">
        <v>6</v>
      </c>
      <c r="Q202" s="2"/>
    </row>
    <row r="203" spans="1:17" ht="20.100000000000001" customHeight="1">
      <c r="A203" s="2" t="s">
        <v>9</v>
      </c>
      <c r="B203" s="2" t="s">
        <v>108</v>
      </c>
      <c r="C203" s="2" t="s">
        <v>378</v>
      </c>
      <c r="D203" s="2" t="e">
        <f>VLOOKUP(C:C,Vlookup!A:A,1,0)</f>
        <v>#N/A</v>
      </c>
      <c r="E203" s="2">
        <v>6</v>
      </c>
      <c r="F203" s="2" t="s">
        <v>10</v>
      </c>
      <c r="G203" s="2" t="s">
        <v>16</v>
      </c>
      <c r="H203" s="2" t="s">
        <v>11</v>
      </c>
      <c r="I203" s="2">
        <v>1</v>
      </c>
      <c r="J203" s="5">
        <v>46015</v>
      </c>
      <c r="K203" s="5">
        <v>46016</v>
      </c>
      <c r="L203" s="2" t="s">
        <v>865</v>
      </c>
      <c r="M203" s="5">
        <v>46091</v>
      </c>
      <c r="N203" s="3">
        <f>VLOOKUP(NavDataRegion[[#This Row],[Spool No]],[1]Sheet2!$B:$U,20,0)</f>
        <v>130.56384</v>
      </c>
      <c r="O203" s="2">
        <v>35</v>
      </c>
      <c r="P203" s="2">
        <v>6</v>
      </c>
      <c r="Q203" s="2"/>
    </row>
    <row r="204" spans="1:17" ht="20.100000000000001" customHeight="1">
      <c r="A204" s="2" t="s">
        <v>9</v>
      </c>
      <c r="B204" s="2" t="s">
        <v>112</v>
      </c>
      <c r="C204" s="2" t="s">
        <v>379</v>
      </c>
      <c r="D204" s="2" t="e">
        <f>VLOOKUP(C:C,Vlookup!A:A,1,0)</f>
        <v>#N/A</v>
      </c>
      <c r="E204" s="2">
        <v>6</v>
      </c>
      <c r="F204" s="2" t="s">
        <v>10</v>
      </c>
      <c r="G204" s="2" t="s">
        <v>16</v>
      </c>
      <c r="H204" s="2" t="s">
        <v>11</v>
      </c>
      <c r="I204" s="2">
        <v>1</v>
      </c>
      <c r="J204" s="5">
        <v>46017</v>
      </c>
      <c r="K204" s="5">
        <v>46027</v>
      </c>
      <c r="L204" s="2" t="s">
        <v>865</v>
      </c>
      <c r="M204" s="5">
        <v>46091</v>
      </c>
      <c r="N204" s="3">
        <f>VLOOKUP(NavDataRegion[[#This Row],[Spool No]],[1]Sheet2!$B:$U,20,0)</f>
        <v>139.18314000000001</v>
      </c>
      <c r="O204" s="2">
        <v>35</v>
      </c>
      <c r="P204" s="2">
        <v>6</v>
      </c>
      <c r="Q204" s="2"/>
    </row>
    <row r="205" spans="1:17" ht="20.100000000000001" customHeight="1">
      <c r="A205" s="2" t="s">
        <v>9</v>
      </c>
      <c r="B205" s="2" t="s">
        <v>116</v>
      </c>
      <c r="C205" s="2" t="s">
        <v>380</v>
      </c>
      <c r="D205" s="2" t="e">
        <f>VLOOKUP(C:C,Vlookup!A:A,1,0)</f>
        <v>#N/A</v>
      </c>
      <c r="E205" s="2">
        <v>8</v>
      </c>
      <c r="F205" s="2" t="s">
        <v>10</v>
      </c>
      <c r="G205" s="2" t="s">
        <v>16</v>
      </c>
      <c r="H205" s="2" t="s">
        <v>11</v>
      </c>
      <c r="I205" s="2">
        <v>1</v>
      </c>
      <c r="J205" s="5">
        <v>46045</v>
      </c>
      <c r="K205" s="5">
        <v>46048</v>
      </c>
      <c r="L205" s="2" t="s">
        <v>865</v>
      </c>
      <c r="M205" s="5">
        <v>46091</v>
      </c>
      <c r="N205" s="3">
        <f>VLOOKUP(NavDataRegion[[#This Row],[Spool No]],[1]Sheet2!$B:$U,20,0)</f>
        <v>130.56384</v>
      </c>
      <c r="O205" s="2">
        <v>35</v>
      </c>
      <c r="P205" s="2">
        <v>6</v>
      </c>
      <c r="Q205" s="2"/>
    </row>
    <row r="206" spans="1:17" ht="20.100000000000001" customHeight="1">
      <c r="A206" s="2" t="s">
        <v>9</v>
      </c>
      <c r="B206" s="2" t="s">
        <v>120</v>
      </c>
      <c r="C206" s="2" t="s">
        <v>381</v>
      </c>
      <c r="D206" s="2" t="e">
        <f>VLOOKUP(C:C,Vlookup!A:A,1,0)</f>
        <v>#N/A</v>
      </c>
      <c r="E206" s="2">
        <v>6</v>
      </c>
      <c r="F206" s="2" t="s">
        <v>10</v>
      </c>
      <c r="G206" s="2" t="s">
        <v>10</v>
      </c>
      <c r="H206" s="2" t="s">
        <v>11</v>
      </c>
      <c r="I206" s="2">
        <v>1</v>
      </c>
      <c r="J206" s="5">
        <v>46017</v>
      </c>
      <c r="K206" s="5">
        <v>46027</v>
      </c>
      <c r="L206" s="2" t="s">
        <v>865</v>
      </c>
      <c r="M206" s="5">
        <v>46091</v>
      </c>
      <c r="N206" s="3">
        <f>VLOOKUP(NavDataRegion[[#This Row],[Spool No]],[1]Sheet2!$B:$U,20,0)</f>
        <v>139.16923645680001</v>
      </c>
      <c r="O206" s="2">
        <v>35</v>
      </c>
      <c r="P206" s="2">
        <v>6</v>
      </c>
      <c r="Q206" s="2"/>
    </row>
    <row r="207" spans="1:17" ht="20.100000000000001" customHeight="1">
      <c r="A207" s="2" t="s">
        <v>9</v>
      </c>
      <c r="B207" s="2" t="s">
        <v>124</v>
      </c>
      <c r="C207" s="2" t="s">
        <v>382</v>
      </c>
      <c r="D207" s="2" t="e">
        <f>VLOOKUP(C:C,Vlookup!A:A,1,0)</f>
        <v>#N/A</v>
      </c>
      <c r="E207" s="2">
        <v>5</v>
      </c>
      <c r="F207" s="2" t="s">
        <v>10</v>
      </c>
      <c r="G207" s="2" t="s">
        <v>16</v>
      </c>
      <c r="H207" s="2" t="s">
        <v>11</v>
      </c>
      <c r="I207" s="2">
        <v>1</v>
      </c>
      <c r="J207" s="5">
        <v>46015</v>
      </c>
      <c r="K207" s="5">
        <v>46016</v>
      </c>
      <c r="L207" s="2" t="s">
        <v>865</v>
      </c>
      <c r="M207" s="5">
        <v>46090</v>
      </c>
      <c r="N207" s="3">
        <f>VLOOKUP(NavDataRegion[[#This Row],[Spool No]],[1]Sheet2!$B:$U,20,0)</f>
        <v>130.57819645679999</v>
      </c>
      <c r="O207" s="2">
        <v>35</v>
      </c>
      <c r="P207" s="2">
        <v>6</v>
      </c>
      <c r="Q207" s="2"/>
    </row>
    <row r="208" spans="1:17" ht="20.100000000000001" customHeight="1">
      <c r="A208" s="2" t="s">
        <v>9</v>
      </c>
      <c r="B208" s="2" t="s">
        <v>102</v>
      </c>
      <c r="C208" s="2" t="s">
        <v>103</v>
      </c>
      <c r="D208" s="2" t="e">
        <f>VLOOKUP(C:C,Vlookup!A:A,1,0)</f>
        <v>#N/A</v>
      </c>
      <c r="E208" s="2">
        <v>1</v>
      </c>
      <c r="F208" s="2" t="s">
        <v>10</v>
      </c>
      <c r="G208" s="2" t="s">
        <v>25</v>
      </c>
      <c r="H208" s="2" t="s">
        <v>11</v>
      </c>
      <c r="I208" s="2">
        <v>1</v>
      </c>
      <c r="J208" s="5">
        <v>45975</v>
      </c>
      <c r="K208" s="5">
        <v>45764</v>
      </c>
      <c r="L208" s="2" t="s">
        <v>865</v>
      </c>
      <c r="M208" s="5">
        <v>46090</v>
      </c>
      <c r="N208" s="3">
        <f>VLOOKUP(NavDataRegion[[#This Row],[Spool No]],[1]Sheet2!$B:$U,20,0)</f>
        <v>170.67447999999999</v>
      </c>
      <c r="O208" s="2">
        <v>84</v>
      </c>
      <c r="P208" s="2">
        <v>6</v>
      </c>
      <c r="Q208" s="2"/>
    </row>
    <row r="209" spans="1:17" ht="20.100000000000001" customHeight="1">
      <c r="A209" s="2" t="s">
        <v>9</v>
      </c>
      <c r="B209" s="2" t="s">
        <v>106</v>
      </c>
      <c r="C209" s="2" t="s">
        <v>107</v>
      </c>
      <c r="D209" s="2" t="e">
        <f>VLOOKUP(C:C,Vlookup!A:A,1,0)</f>
        <v>#N/A</v>
      </c>
      <c r="E209" s="2">
        <v>1</v>
      </c>
      <c r="F209" s="2" t="s">
        <v>10</v>
      </c>
      <c r="G209" s="2" t="s">
        <v>25</v>
      </c>
      <c r="H209" s="2" t="s">
        <v>11</v>
      </c>
      <c r="I209" s="2">
        <v>1</v>
      </c>
      <c r="J209" s="5">
        <v>45975</v>
      </c>
      <c r="K209" s="5">
        <v>45764</v>
      </c>
      <c r="L209" s="2" t="s">
        <v>865</v>
      </c>
      <c r="M209" s="5">
        <v>46090</v>
      </c>
      <c r="N209" s="3">
        <f>VLOOKUP(NavDataRegion[[#This Row],[Spool No]],[1]Sheet2!$B:$U,20,0)</f>
        <v>170.67447999999999</v>
      </c>
      <c r="O209" s="2">
        <v>84</v>
      </c>
      <c r="P209" s="2">
        <v>6</v>
      </c>
      <c r="Q209" s="2"/>
    </row>
    <row r="210" spans="1:17" ht="20.100000000000001" customHeight="1">
      <c r="A210" s="2" t="s">
        <v>9</v>
      </c>
      <c r="B210" s="2" t="s">
        <v>128</v>
      </c>
      <c r="C210" s="2" t="s">
        <v>383</v>
      </c>
      <c r="D210" s="2" t="e">
        <f>VLOOKUP(C:C,Vlookup!A:A,1,0)</f>
        <v>#N/A</v>
      </c>
      <c r="E210" s="2">
        <v>6</v>
      </c>
      <c r="F210" s="2" t="s">
        <v>10</v>
      </c>
      <c r="G210" s="2" t="s">
        <v>16</v>
      </c>
      <c r="H210" s="2" t="s">
        <v>11</v>
      </c>
      <c r="I210" s="2">
        <v>1</v>
      </c>
      <c r="J210" s="5">
        <v>46017</v>
      </c>
      <c r="K210" s="5">
        <v>46027</v>
      </c>
      <c r="L210" s="2" t="s">
        <v>865</v>
      </c>
      <c r="M210" s="5">
        <v>46091</v>
      </c>
      <c r="N210" s="3">
        <f>VLOOKUP(NavDataRegion[[#This Row],[Spool No]],[1]Sheet2!$B:$U,20,0)</f>
        <v>139.1974964568</v>
      </c>
      <c r="O210" s="2">
        <v>35</v>
      </c>
      <c r="P210" s="2">
        <v>6</v>
      </c>
      <c r="Q210" s="2"/>
    </row>
    <row r="211" spans="1:17" ht="20.100000000000001" customHeight="1">
      <c r="A211" s="2" t="s">
        <v>9</v>
      </c>
      <c r="B211" s="2" t="s">
        <v>132</v>
      </c>
      <c r="C211" s="2" t="s">
        <v>384</v>
      </c>
      <c r="D211" s="2" t="e">
        <f>VLOOKUP(C:C,Vlookup!A:A,1,0)</f>
        <v>#N/A</v>
      </c>
      <c r="E211" s="2">
        <v>5</v>
      </c>
      <c r="F211" s="2" t="s">
        <v>10</v>
      </c>
      <c r="G211" s="2" t="s">
        <v>16</v>
      </c>
      <c r="H211" s="2" t="s">
        <v>11</v>
      </c>
      <c r="I211" s="2">
        <v>1</v>
      </c>
      <c r="J211" s="5">
        <v>46015</v>
      </c>
      <c r="K211" s="5">
        <v>46016</v>
      </c>
      <c r="L211" s="2" t="s">
        <v>865</v>
      </c>
      <c r="M211" s="5">
        <v>46090</v>
      </c>
      <c r="N211" s="3">
        <f>VLOOKUP(NavDataRegion[[#This Row],[Spool No]],[1]Sheet2!$B:$U,20,0)</f>
        <v>130.57819645679999</v>
      </c>
      <c r="O211" s="2">
        <v>35</v>
      </c>
      <c r="P211" s="2">
        <v>6</v>
      </c>
      <c r="Q211" s="2"/>
    </row>
    <row r="212" spans="1:17" ht="20.100000000000001" customHeight="1">
      <c r="A212" s="2" t="s">
        <v>9</v>
      </c>
      <c r="B212" s="2" t="s">
        <v>136</v>
      </c>
      <c r="C212" s="2" t="s">
        <v>385</v>
      </c>
      <c r="D212" s="2" t="e">
        <f>VLOOKUP(C:C,Vlookup!A:A,1,0)</f>
        <v>#N/A</v>
      </c>
      <c r="E212" s="2">
        <v>6</v>
      </c>
      <c r="F212" s="2" t="s">
        <v>10</v>
      </c>
      <c r="G212" s="2" t="s">
        <v>25</v>
      </c>
      <c r="H212" s="2" t="s">
        <v>11</v>
      </c>
      <c r="I212" s="2">
        <v>1</v>
      </c>
      <c r="J212" s="5">
        <v>46029</v>
      </c>
      <c r="K212" s="5">
        <v>46029</v>
      </c>
      <c r="L212" s="2" t="s">
        <v>865</v>
      </c>
      <c r="M212" s="5">
        <v>46091</v>
      </c>
      <c r="N212" s="3">
        <f>VLOOKUP(NavDataRegion[[#This Row],[Spool No]],[1]Sheet2!$B:$U,20,0)</f>
        <v>120.14884000000001</v>
      </c>
      <c r="O212" s="2">
        <v>6</v>
      </c>
      <c r="P212" s="2">
        <v>6</v>
      </c>
      <c r="Q212" s="2"/>
    </row>
    <row r="213" spans="1:17" ht="20.100000000000001" customHeight="1">
      <c r="A213" s="2" t="s">
        <v>9</v>
      </c>
      <c r="B213" s="2" t="s">
        <v>140</v>
      </c>
      <c r="C213" s="2" t="s">
        <v>386</v>
      </c>
      <c r="D213" s="2" t="e">
        <f>VLOOKUP(C:C,Vlookup!A:A,1,0)</f>
        <v>#N/A</v>
      </c>
      <c r="E213" s="2">
        <v>8</v>
      </c>
      <c r="F213" s="2" t="s">
        <v>10</v>
      </c>
      <c r="G213" s="2" t="s">
        <v>25</v>
      </c>
      <c r="H213" s="2" t="s">
        <v>11</v>
      </c>
      <c r="I213" s="2">
        <v>1</v>
      </c>
      <c r="J213" s="5">
        <v>46045</v>
      </c>
      <c r="K213" s="5">
        <v>46045</v>
      </c>
      <c r="L213" s="2" t="s">
        <v>865</v>
      </c>
      <c r="M213" s="5">
        <v>46091</v>
      </c>
      <c r="N213" s="3">
        <f>VLOOKUP(NavDataRegion[[#This Row],[Spool No]],[1]Sheet2!$B:$U,20,0)</f>
        <v>68.376519999999999</v>
      </c>
      <c r="O213" s="2">
        <v>6</v>
      </c>
      <c r="P213" s="2">
        <v>6</v>
      </c>
      <c r="Q213" s="2"/>
    </row>
    <row r="214" spans="1:17" ht="20.100000000000001" customHeight="1">
      <c r="A214" s="2" t="s">
        <v>9</v>
      </c>
      <c r="B214" s="2" t="s">
        <v>144</v>
      </c>
      <c r="C214" s="2" t="s">
        <v>387</v>
      </c>
      <c r="D214" s="2" t="e">
        <f>VLOOKUP(C:C,Vlookup!A:A,1,0)</f>
        <v>#N/A</v>
      </c>
      <c r="E214" s="2">
        <v>5</v>
      </c>
      <c r="F214" s="2" t="s">
        <v>10</v>
      </c>
      <c r="G214" s="2" t="s">
        <v>25</v>
      </c>
      <c r="H214" s="2" t="s">
        <v>11</v>
      </c>
      <c r="I214" s="2">
        <v>1</v>
      </c>
      <c r="J214" s="5">
        <v>46015</v>
      </c>
      <c r="K214" s="5">
        <v>46016</v>
      </c>
      <c r="L214" s="2" t="s">
        <v>865</v>
      </c>
      <c r="M214" s="5">
        <v>46090</v>
      </c>
      <c r="N214" s="3">
        <f>VLOOKUP(NavDataRegion[[#This Row],[Spool No]],[1]Sheet2!$B:$U,20,0)</f>
        <v>93.439099999999996</v>
      </c>
      <c r="O214" s="2">
        <v>18</v>
      </c>
      <c r="P214" s="2">
        <v>6</v>
      </c>
      <c r="Q214" s="2"/>
    </row>
    <row r="215" spans="1:17" ht="20.100000000000001" customHeight="1">
      <c r="A215" s="2" t="s">
        <v>9</v>
      </c>
      <c r="B215" s="2" t="s">
        <v>148</v>
      </c>
      <c r="C215" s="2" t="s">
        <v>388</v>
      </c>
      <c r="D215" s="2" t="e">
        <f>VLOOKUP(C:C,Vlookup!A:A,1,0)</f>
        <v>#N/A</v>
      </c>
      <c r="E215" s="2">
        <v>7</v>
      </c>
      <c r="F215" s="2" t="s">
        <v>10</v>
      </c>
      <c r="G215" s="2" t="s">
        <v>25</v>
      </c>
      <c r="H215" s="2" t="s">
        <v>11</v>
      </c>
      <c r="I215" s="2">
        <v>1</v>
      </c>
      <c r="J215" s="5">
        <v>46043</v>
      </c>
      <c r="K215" s="5">
        <v>46043</v>
      </c>
      <c r="L215" s="2" t="s">
        <v>865</v>
      </c>
      <c r="M215" s="5">
        <v>46091</v>
      </c>
      <c r="N215" s="3">
        <f>VLOOKUP(NavDataRegion[[#This Row],[Spool No]],[1]Sheet2!$B:$U,20,0)</f>
        <v>114.85209999999999</v>
      </c>
      <c r="O215" s="2">
        <v>36</v>
      </c>
      <c r="P215" s="2">
        <v>6</v>
      </c>
      <c r="Q215" s="2"/>
    </row>
    <row r="216" spans="1:17" ht="20.100000000000001" customHeight="1">
      <c r="A216" s="2" t="s">
        <v>9</v>
      </c>
      <c r="B216" s="2" t="s">
        <v>1261</v>
      </c>
      <c r="C216" s="2" t="s">
        <v>1744</v>
      </c>
      <c r="D216" s="2" t="e">
        <f>VLOOKUP(C:C,Vlookup!A:A,1,0)</f>
        <v>#N/A</v>
      </c>
      <c r="E216" s="2">
        <v>14</v>
      </c>
      <c r="F216" s="17" t="s">
        <v>10</v>
      </c>
      <c r="G216" s="17" t="s">
        <v>25</v>
      </c>
      <c r="H216" s="2" t="s">
        <v>11</v>
      </c>
      <c r="I216" s="2">
        <v>1</v>
      </c>
      <c r="J216" s="5">
        <v>46100</v>
      </c>
      <c r="K216" s="5">
        <v>46101</v>
      </c>
      <c r="L216" s="2" t="s">
        <v>865</v>
      </c>
      <c r="M216" s="5">
        <v>45754</v>
      </c>
      <c r="N216" s="3">
        <f>VLOOKUP(NavDataRegion[[#This Row],[Spool No]],[1]Sheet2!$B:$U,20,0)</f>
        <v>7.8585799999999999</v>
      </c>
      <c r="O216" s="2">
        <v>0.5</v>
      </c>
      <c r="P216" s="2">
        <v>0.5</v>
      </c>
      <c r="Q216" s="2"/>
    </row>
    <row r="217" spans="1:17" ht="20.100000000000001" customHeight="1">
      <c r="A217" s="2" t="s">
        <v>9</v>
      </c>
      <c r="B217" s="2" t="s">
        <v>174</v>
      </c>
      <c r="C217" s="2" t="s">
        <v>403</v>
      </c>
      <c r="D217" s="2" t="e">
        <f>VLOOKUP(C:C,Vlookup!A:A,1,0)</f>
        <v>#N/A</v>
      </c>
      <c r="E217" s="2">
        <v>5</v>
      </c>
      <c r="F217" s="2" t="s">
        <v>404</v>
      </c>
      <c r="G217" s="2" t="s">
        <v>25</v>
      </c>
      <c r="H217" s="2" t="s">
        <v>11</v>
      </c>
      <c r="I217" s="2">
        <v>1</v>
      </c>
      <c r="J217" s="5">
        <v>46015</v>
      </c>
      <c r="K217" s="5">
        <v>46016</v>
      </c>
      <c r="L217" s="2" t="s">
        <v>865</v>
      </c>
      <c r="M217" s="5">
        <v>46090</v>
      </c>
      <c r="N217" s="3">
        <f>VLOOKUP(NavDataRegion[[#This Row],[Spool No]],[1]Sheet2!$B:$U,20,0)</f>
        <v>370.62619000000001</v>
      </c>
      <c r="O217" s="2">
        <v>24</v>
      </c>
      <c r="P217" s="2">
        <v>6</v>
      </c>
      <c r="Q217" s="2"/>
    </row>
    <row r="218" spans="1:17" ht="20.100000000000001" customHeight="1">
      <c r="A218" s="2" t="s">
        <v>9</v>
      </c>
      <c r="B218" s="2" t="s">
        <v>28</v>
      </c>
      <c r="C218" s="2" t="s">
        <v>358</v>
      </c>
      <c r="D218" s="2" t="e">
        <f>VLOOKUP(C:C,Vlookup!A:A,1,0)</f>
        <v>#N/A</v>
      </c>
      <c r="E218" s="2">
        <v>1</v>
      </c>
      <c r="F218" s="2" t="s">
        <v>10</v>
      </c>
      <c r="G218" s="2" t="s">
        <v>25</v>
      </c>
      <c r="H218" s="2" t="s">
        <v>11</v>
      </c>
      <c r="I218" s="2">
        <v>1</v>
      </c>
      <c r="J218" s="5">
        <v>45975</v>
      </c>
      <c r="K218" s="5">
        <v>45764</v>
      </c>
      <c r="L218" s="2" t="s">
        <v>865</v>
      </c>
      <c r="M218" s="5">
        <v>46090</v>
      </c>
      <c r="N218" s="3">
        <f>VLOOKUP(NavDataRegion[[#This Row],[Spool No]],[1]Sheet2!$B:$U,20,0)</f>
        <v>122.7972</v>
      </c>
      <c r="O218" s="2">
        <v>30</v>
      </c>
      <c r="P218" s="2">
        <v>6</v>
      </c>
      <c r="Q218" s="2"/>
    </row>
    <row r="219" spans="1:17" ht="20.100000000000001" customHeight="1">
      <c r="A219" s="2" t="s">
        <v>9</v>
      </c>
      <c r="B219" s="2" t="s">
        <v>351</v>
      </c>
      <c r="C219" s="2" t="s">
        <v>613</v>
      </c>
      <c r="D219" s="2" t="e">
        <f>VLOOKUP(C:C,Vlookup!A:A,1,0)</f>
        <v>#N/A</v>
      </c>
      <c r="E219" s="2">
        <v>17</v>
      </c>
      <c r="F219" s="2" t="s">
        <v>10</v>
      </c>
      <c r="G219" s="2" t="s">
        <v>25</v>
      </c>
      <c r="H219" s="2" t="s">
        <v>11</v>
      </c>
      <c r="I219" s="2">
        <v>1</v>
      </c>
      <c r="J219" s="5">
        <v>46107</v>
      </c>
      <c r="K219" s="5">
        <v>46111</v>
      </c>
      <c r="L219" s="2" t="s">
        <v>865</v>
      </c>
      <c r="M219" s="5">
        <v>45754</v>
      </c>
      <c r="N219" s="3">
        <f>VLOOKUP(NavDataRegion[[#This Row],[Spool No]],[1]Sheet2!$B:$U,20,0)</f>
        <v>32.311619999999998</v>
      </c>
      <c r="O219" s="2">
        <v>5</v>
      </c>
      <c r="P219" s="2">
        <v>2.5</v>
      </c>
      <c r="Q219" s="2"/>
    </row>
    <row r="220" spans="1:17" ht="20.100000000000001" customHeight="1">
      <c r="A220" s="2" t="s">
        <v>9</v>
      </c>
      <c r="B220" s="2" t="s">
        <v>195</v>
      </c>
      <c r="C220" s="2" t="s">
        <v>414</v>
      </c>
      <c r="D220" s="2" t="e">
        <f>VLOOKUP(C:C,Vlookup!A:A,1,0)</f>
        <v>#N/A</v>
      </c>
      <c r="E220" s="2">
        <v>4</v>
      </c>
      <c r="F220" s="2" t="s">
        <v>415</v>
      </c>
      <c r="G220" s="2" t="s">
        <v>16</v>
      </c>
      <c r="H220" s="2" t="s">
        <v>11</v>
      </c>
      <c r="I220" s="2">
        <v>1</v>
      </c>
      <c r="J220" s="5">
        <v>46008</v>
      </c>
      <c r="K220" s="5">
        <v>46009</v>
      </c>
      <c r="L220" s="2" t="s">
        <v>865</v>
      </c>
      <c r="M220" s="5">
        <v>46090</v>
      </c>
      <c r="N220" s="3">
        <f>VLOOKUP(NavDataRegion[[#This Row],[Spool No]],[1]Sheet2!$B:$U,20,0)</f>
        <v>297.05650060800002</v>
      </c>
      <c r="O220" s="2">
        <v>57</v>
      </c>
      <c r="P220" s="2">
        <v>6</v>
      </c>
      <c r="Q220" s="2"/>
    </row>
    <row r="221" spans="1:17" ht="20.100000000000001" customHeight="1">
      <c r="A221" s="2" t="s">
        <v>9</v>
      </c>
      <c r="B221" s="2" t="s">
        <v>223</v>
      </c>
      <c r="C221" s="2" t="s">
        <v>428</v>
      </c>
      <c r="D221" s="2" t="e">
        <f>VLOOKUP(C:C,Vlookup!A:A,1,0)</f>
        <v>#N/A</v>
      </c>
      <c r="E221" s="2">
        <v>9</v>
      </c>
      <c r="F221" s="2" t="s">
        <v>10</v>
      </c>
      <c r="G221" s="2" t="s">
        <v>25</v>
      </c>
      <c r="H221" s="2" t="s">
        <v>11</v>
      </c>
      <c r="I221" s="2">
        <v>1</v>
      </c>
      <c r="J221" s="5">
        <v>46051</v>
      </c>
      <c r="K221" s="5">
        <v>46055</v>
      </c>
      <c r="L221" s="2" t="s">
        <v>865</v>
      </c>
      <c r="M221" s="5">
        <v>46091</v>
      </c>
      <c r="N221" s="3">
        <f>VLOOKUP(NavDataRegion[[#This Row],[Spool No]],[1]Sheet2!$B:$U,20,0)</f>
        <v>84.504819999999995</v>
      </c>
      <c r="O221" s="2">
        <v>12</v>
      </c>
      <c r="P221" s="2">
        <v>6</v>
      </c>
      <c r="Q221" s="2"/>
    </row>
    <row r="222" spans="1:17" ht="20.100000000000001" customHeight="1">
      <c r="A222" s="2" t="s">
        <v>9</v>
      </c>
      <c r="B222" s="2" t="s">
        <v>237</v>
      </c>
      <c r="C222" s="2" t="s">
        <v>436</v>
      </c>
      <c r="D222" s="2" t="e">
        <f>VLOOKUP(C:C,Vlookup!A:A,1,0)</f>
        <v>#N/A</v>
      </c>
      <c r="E222" s="2">
        <v>2</v>
      </c>
      <c r="F222" s="2" t="s">
        <v>437</v>
      </c>
      <c r="G222" s="2" t="s">
        <v>25</v>
      </c>
      <c r="H222" s="2" t="s">
        <v>11</v>
      </c>
      <c r="I222" s="2">
        <v>1</v>
      </c>
      <c r="J222" s="5">
        <v>45988</v>
      </c>
      <c r="K222" s="5">
        <v>45989</v>
      </c>
      <c r="L222" s="2" t="s">
        <v>865</v>
      </c>
      <c r="M222" s="5">
        <v>46090</v>
      </c>
      <c r="N222" s="3">
        <f>VLOOKUP(NavDataRegion[[#This Row],[Spool No]],[1]Sheet2!$B:$U,20,0)</f>
        <v>86.782420000000002</v>
      </c>
      <c r="O222" s="2">
        <v>6</v>
      </c>
      <c r="P222" s="2">
        <v>6</v>
      </c>
      <c r="Q222" s="2"/>
    </row>
    <row r="223" spans="1:17" ht="20.100000000000001" customHeight="1">
      <c r="A223" s="2" t="s">
        <v>9</v>
      </c>
      <c r="B223" s="2" t="s">
        <v>240</v>
      </c>
      <c r="C223" s="2" t="s">
        <v>438</v>
      </c>
      <c r="D223" s="2" t="e">
        <f>VLOOKUP(C:C,Vlookup!A:A,1,0)</f>
        <v>#N/A</v>
      </c>
      <c r="E223" s="2">
        <v>2</v>
      </c>
      <c r="F223" s="2" t="s">
        <v>439</v>
      </c>
      <c r="G223" s="2" t="s">
        <v>25</v>
      </c>
      <c r="H223" s="2" t="s">
        <v>11</v>
      </c>
      <c r="I223" s="2">
        <v>1</v>
      </c>
      <c r="J223" s="5">
        <v>45988</v>
      </c>
      <c r="K223" s="5">
        <v>45989</v>
      </c>
      <c r="L223" s="2" t="s">
        <v>865</v>
      </c>
      <c r="M223" s="5">
        <v>46090</v>
      </c>
      <c r="N223" s="3">
        <f>VLOOKUP(NavDataRegion[[#This Row],[Spool No]],[1]Sheet2!$B:$U,20,0)</f>
        <v>88.223680000000002</v>
      </c>
      <c r="O223" s="2">
        <v>6</v>
      </c>
      <c r="P223" s="2">
        <v>6</v>
      </c>
      <c r="Q223" s="2"/>
    </row>
    <row r="224" spans="1:17" ht="20.100000000000001" customHeight="1">
      <c r="A224" s="2" t="s">
        <v>9</v>
      </c>
      <c r="B224" s="2" t="s">
        <v>201</v>
      </c>
      <c r="C224" s="2" t="s">
        <v>202</v>
      </c>
      <c r="D224" s="2" t="e">
        <f>VLOOKUP(C:C,Vlookup!A:A,1,0)</f>
        <v>#N/A</v>
      </c>
      <c r="E224" s="2">
        <v>17</v>
      </c>
      <c r="F224" s="2" t="s">
        <v>203</v>
      </c>
      <c r="G224" s="2" t="s">
        <v>16</v>
      </c>
      <c r="H224" s="2" t="s">
        <v>11</v>
      </c>
      <c r="I224" s="2">
        <v>1</v>
      </c>
      <c r="J224" s="5">
        <v>46105</v>
      </c>
      <c r="K224" s="5">
        <v>46111</v>
      </c>
      <c r="L224" s="2" t="s">
        <v>865</v>
      </c>
      <c r="M224" s="5">
        <v>45754</v>
      </c>
      <c r="N224" s="3">
        <f>VLOOKUP(NavDataRegion[[#This Row],[Spool No]],[1]Sheet2!$B:$U,20,0)</f>
        <v>22.818960000000001</v>
      </c>
      <c r="O224" s="2">
        <v>12</v>
      </c>
      <c r="P224" s="2">
        <v>4</v>
      </c>
      <c r="Q224" s="2"/>
    </row>
    <row r="225" spans="1:17" ht="20.100000000000001" customHeight="1">
      <c r="A225" s="2" t="s">
        <v>9</v>
      </c>
      <c r="B225" s="2" t="s">
        <v>252</v>
      </c>
      <c r="C225" s="2" t="s">
        <v>446</v>
      </c>
      <c r="D225" s="2" t="e">
        <f>VLOOKUP(C:C,Vlookup!A:A,1,0)</f>
        <v>#N/A</v>
      </c>
      <c r="E225" s="2">
        <v>1</v>
      </c>
      <c r="F225" s="2" t="s">
        <v>447</v>
      </c>
      <c r="G225" s="2" t="s">
        <v>25</v>
      </c>
      <c r="H225" s="2" t="s">
        <v>11</v>
      </c>
      <c r="I225" s="2">
        <v>1</v>
      </c>
      <c r="J225" s="5">
        <v>45975</v>
      </c>
      <c r="K225" s="5">
        <v>45764</v>
      </c>
      <c r="L225" s="2" t="s">
        <v>865</v>
      </c>
      <c r="M225" s="5">
        <v>46090</v>
      </c>
      <c r="N225" s="3">
        <f>VLOOKUP(NavDataRegion[[#This Row],[Spool No]],[1]Sheet2!$B:$U,20,0)</f>
        <v>94.850459999999998</v>
      </c>
      <c r="O225" s="2">
        <v>8.3622047239999997</v>
      </c>
      <c r="P225" s="2">
        <v>6</v>
      </c>
      <c r="Q225" s="2"/>
    </row>
    <row r="226" spans="1:17" ht="20.100000000000001" customHeight="1">
      <c r="A226" s="2" t="s">
        <v>9</v>
      </c>
      <c r="B226" s="2" t="s">
        <v>246</v>
      </c>
      <c r="C226" s="2" t="s">
        <v>442</v>
      </c>
      <c r="D226" s="2" t="e">
        <f>VLOOKUP(C:C,Vlookup!A:A,1,0)</f>
        <v>#N/A</v>
      </c>
      <c r="E226" s="2">
        <v>2</v>
      </c>
      <c r="F226" s="2" t="s">
        <v>443</v>
      </c>
      <c r="G226" s="2" t="s">
        <v>25</v>
      </c>
      <c r="H226" s="2" t="s">
        <v>11</v>
      </c>
      <c r="I226" s="2">
        <v>1</v>
      </c>
      <c r="J226" s="5">
        <v>45988</v>
      </c>
      <c r="K226" s="5">
        <v>45989</v>
      </c>
      <c r="L226" s="2" t="s">
        <v>865</v>
      </c>
      <c r="M226" s="5">
        <v>46090</v>
      </c>
      <c r="N226" s="3">
        <f>VLOOKUP(NavDataRegion[[#This Row],[Spool No]],[1]Sheet2!$B:$U,20,0)</f>
        <v>91.106200000000001</v>
      </c>
      <c r="O226" s="2">
        <v>6</v>
      </c>
      <c r="P226" s="2">
        <v>6</v>
      </c>
      <c r="Q226" s="2"/>
    </row>
    <row r="227" spans="1:17" ht="20.100000000000001" customHeight="1">
      <c r="A227" s="2" t="s">
        <v>9</v>
      </c>
      <c r="B227" s="2" t="s">
        <v>249</v>
      </c>
      <c r="C227" s="2" t="s">
        <v>444</v>
      </c>
      <c r="D227" s="2" t="e">
        <f>VLOOKUP(C:C,Vlookup!A:A,1,0)</f>
        <v>#N/A</v>
      </c>
      <c r="E227" s="2">
        <v>2</v>
      </c>
      <c r="F227" s="2" t="s">
        <v>445</v>
      </c>
      <c r="G227" s="2" t="s">
        <v>25</v>
      </c>
      <c r="H227" s="2" t="s">
        <v>11</v>
      </c>
      <c r="I227" s="2">
        <v>1</v>
      </c>
      <c r="J227" s="5">
        <v>45988</v>
      </c>
      <c r="K227" s="5">
        <v>45989</v>
      </c>
      <c r="L227" s="2" t="s">
        <v>865</v>
      </c>
      <c r="M227" s="5">
        <v>46090</v>
      </c>
      <c r="N227" s="3">
        <f>VLOOKUP(NavDataRegion[[#This Row],[Spool No]],[1]Sheet2!$B:$U,20,0)</f>
        <v>92.519199999999998</v>
      </c>
      <c r="O227" s="2">
        <v>6</v>
      </c>
      <c r="P227" s="2">
        <v>6</v>
      </c>
      <c r="Q227" s="2"/>
    </row>
    <row r="228" spans="1:17" ht="20.100000000000001" customHeight="1">
      <c r="A228" s="2" t="s">
        <v>9</v>
      </c>
      <c r="B228" s="2" t="s">
        <v>319</v>
      </c>
      <c r="C228" s="2" t="s">
        <v>479</v>
      </c>
      <c r="D228" s="2" t="e">
        <f>VLOOKUP(C:C,Vlookup!A:A,1,0)</f>
        <v>#N/A</v>
      </c>
      <c r="E228" s="2">
        <v>9</v>
      </c>
      <c r="F228" s="2" t="s">
        <v>10</v>
      </c>
      <c r="G228" s="2" t="s">
        <v>281</v>
      </c>
      <c r="H228" s="2" t="s">
        <v>11</v>
      </c>
      <c r="I228" s="2">
        <v>1</v>
      </c>
      <c r="J228" s="5">
        <v>46051</v>
      </c>
      <c r="K228" s="5">
        <v>46055</v>
      </c>
      <c r="L228" s="2" t="s">
        <v>865</v>
      </c>
      <c r="M228" s="5">
        <v>46091</v>
      </c>
      <c r="N228" s="3">
        <f>VLOOKUP(NavDataRegion[[#This Row],[Spool No]],[1]Sheet2!$B:$U,20,0)</f>
        <v>110.83168000000001</v>
      </c>
      <c r="O228" s="2">
        <v>6</v>
      </c>
      <c r="P228" s="2">
        <v>6</v>
      </c>
      <c r="Q228" s="2"/>
    </row>
    <row r="229" spans="1:17" ht="20.100000000000001" customHeight="1">
      <c r="A229" s="2" t="s">
        <v>9</v>
      </c>
      <c r="B229" s="2" t="s">
        <v>23</v>
      </c>
      <c r="C229" s="2" t="s">
        <v>496</v>
      </c>
      <c r="D229" s="2" t="e">
        <f>VLOOKUP(C:C,Vlookup!A:A,1,0)</f>
        <v>#N/A</v>
      </c>
      <c r="E229" s="2">
        <v>1</v>
      </c>
      <c r="F229" s="2" t="s">
        <v>10</v>
      </c>
      <c r="G229" s="2" t="s">
        <v>25</v>
      </c>
      <c r="H229" s="2" t="s">
        <v>11</v>
      </c>
      <c r="I229" s="2">
        <v>1</v>
      </c>
      <c r="J229" s="5">
        <v>45975</v>
      </c>
      <c r="K229" s="5">
        <v>45764</v>
      </c>
      <c r="L229" s="2" t="s">
        <v>865</v>
      </c>
      <c r="M229" s="5">
        <v>46090</v>
      </c>
      <c r="N229" s="3">
        <f>VLOOKUP(NavDataRegion[[#This Row],[Spool No]],[1]Sheet2!$B:$U,20,0)</f>
        <v>110.24406</v>
      </c>
      <c r="O229" s="2">
        <v>60</v>
      </c>
      <c r="P229" s="2">
        <v>6</v>
      </c>
      <c r="Q229" s="2"/>
    </row>
    <row r="230" spans="1:17" ht="20.100000000000001" customHeight="1">
      <c r="A230" s="2" t="s">
        <v>9</v>
      </c>
      <c r="B230" s="2" t="s">
        <v>336</v>
      </c>
      <c r="C230" s="2" t="s">
        <v>485</v>
      </c>
      <c r="D230" s="2" t="e">
        <f>VLOOKUP(C:C,Vlookup!A:A,1,0)</f>
        <v>#N/A</v>
      </c>
      <c r="E230" s="2">
        <v>2</v>
      </c>
      <c r="F230" s="2" t="s">
        <v>486</v>
      </c>
      <c r="G230" s="2" t="s">
        <v>25</v>
      </c>
      <c r="H230" s="2" t="s">
        <v>11</v>
      </c>
      <c r="I230" s="2">
        <v>1</v>
      </c>
      <c r="J230" s="5">
        <v>45988</v>
      </c>
      <c r="K230" s="5">
        <v>45989</v>
      </c>
      <c r="L230" s="2" t="s">
        <v>865</v>
      </c>
      <c r="M230" s="5">
        <v>46090</v>
      </c>
      <c r="N230" s="3">
        <f>VLOOKUP(NavDataRegion[[#This Row],[Spool No]],[1]Sheet2!$B:$U,20,0)</f>
        <v>42.075099999999999</v>
      </c>
      <c r="O230" s="2">
        <v>12</v>
      </c>
      <c r="P230" s="2">
        <v>6</v>
      </c>
      <c r="Q230" s="2"/>
    </row>
    <row r="231" spans="1:17" ht="20.100000000000001" customHeight="1">
      <c r="A231" s="2" t="s">
        <v>9</v>
      </c>
      <c r="B231" s="2" t="s">
        <v>1279</v>
      </c>
      <c r="C231" s="2" t="s">
        <v>1596</v>
      </c>
      <c r="D231" s="2" t="e">
        <f>VLOOKUP(C:C,Vlookup!A:A,1,0)</f>
        <v>#N/A</v>
      </c>
      <c r="E231" s="2">
        <v>14</v>
      </c>
      <c r="F231" s="17" t="s">
        <v>10</v>
      </c>
      <c r="G231" s="17" t="s">
        <v>25</v>
      </c>
      <c r="H231" s="2" t="s">
        <v>11</v>
      </c>
      <c r="I231" s="2">
        <v>1</v>
      </c>
      <c r="J231" s="5">
        <v>46105</v>
      </c>
      <c r="K231" s="5">
        <v>46106</v>
      </c>
      <c r="L231" s="2" t="s">
        <v>865</v>
      </c>
      <c r="M231" s="5">
        <v>45754</v>
      </c>
      <c r="N231" s="3">
        <f>VLOOKUP(NavDataRegion[[#This Row],[Spool No]],[1]Sheet2!$B:$U,20,0)</f>
        <v>8.5145199999999992</v>
      </c>
      <c r="O231" s="2">
        <v>1.5</v>
      </c>
      <c r="P231" s="2">
        <v>0.5</v>
      </c>
      <c r="Q231" s="2"/>
    </row>
    <row r="232" spans="1:17" ht="20.100000000000001" customHeight="1">
      <c r="A232" s="2" t="s">
        <v>9</v>
      </c>
      <c r="B232" s="2" t="s">
        <v>215</v>
      </c>
      <c r="C232" s="2" t="s">
        <v>660</v>
      </c>
      <c r="D232" s="2" t="e">
        <f>VLOOKUP(C:C,Vlookup!A:A,1,0)</f>
        <v>#N/A</v>
      </c>
      <c r="E232" s="2">
        <v>1</v>
      </c>
      <c r="F232" s="2" t="s">
        <v>661</v>
      </c>
      <c r="G232" s="2" t="s">
        <v>25</v>
      </c>
      <c r="H232" s="2" t="s">
        <v>11</v>
      </c>
      <c r="I232" s="2">
        <v>1</v>
      </c>
      <c r="J232" s="5">
        <v>45975</v>
      </c>
      <c r="K232" s="5">
        <v>45764</v>
      </c>
      <c r="L232" s="2" t="s">
        <v>865</v>
      </c>
      <c r="M232" s="5">
        <v>46090</v>
      </c>
      <c r="N232" s="3">
        <f>VLOOKUP(NavDataRegion[[#This Row],[Spool No]],[1]Sheet2!$B:$U,20,0)</f>
        <v>196.97215</v>
      </c>
      <c r="O232" s="2">
        <v>40</v>
      </c>
      <c r="P232" s="2">
        <v>8</v>
      </c>
      <c r="Q232" s="2"/>
    </row>
    <row r="233" spans="1:17" ht="20.100000000000001" customHeight="1">
      <c r="A233" s="2" t="s">
        <v>9</v>
      </c>
      <c r="B233" s="2" t="s">
        <v>28</v>
      </c>
      <c r="C233" s="2" t="s">
        <v>497</v>
      </c>
      <c r="D233" s="2" t="e">
        <f>VLOOKUP(C:C,Vlookup!A:A,1,0)</f>
        <v>#N/A</v>
      </c>
      <c r="E233" s="2">
        <v>2</v>
      </c>
      <c r="F233" s="2" t="s">
        <v>10</v>
      </c>
      <c r="G233" s="2" t="s">
        <v>16</v>
      </c>
      <c r="H233" s="2" t="s">
        <v>11</v>
      </c>
      <c r="I233" s="2">
        <v>1</v>
      </c>
      <c r="J233" s="5">
        <v>45988</v>
      </c>
      <c r="K233" s="5">
        <v>45989</v>
      </c>
      <c r="L233" s="2" t="s">
        <v>865</v>
      </c>
      <c r="M233" s="5">
        <v>46090</v>
      </c>
      <c r="N233" s="3">
        <f>VLOOKUP(NavDataRegion[[#This Row],[Spool No]],[1]Sheet2!$B:$U,20,0)</f>
        <v>130.860766592</v>
      </c>
      <c r="O233" s="2">
        <v>53</v>
      </c>
      <c r="P233" s="2">
        <v>6</v>
      </c>
      <c r="Q233" s="2"/>
    </row>
    <row r="234" spans="1:17" ht="20.100000000000001" customHeight="1">
      <c r="A234" s="2" t="s">
        <v>9</v>
      </c>
      <c r="B234" s="2" t="s">
        <v>32</v>
      </c>
      <c r="C234" s="2" t="s">
        <v>498</v>
      </c>
      <c r="D234" s="2" t="e">
        <f>VLOOKUP(C:C,Vlookup!A:A,1,0)</f>
        <v>#N/A</v>
      </c>
      <c r="E234" s="2">
        <v>2</v>
      </c>
      <c r="F234" s="2" t="s">
        <v>10</v>
      </c>
      <c r="G234" s="2" t="s">
        <v>25</v>
      </c>
      <c r="H234" s="2" t="s">
        <v>11</v>
      </c>
      <c r="I234" s="2">
        <v>1</v>
      </c>
      <c r="J234" s="5">
        <v>45988</v>
      </c>
      <c r="K234" s="5">
        <v>45989</v>
      </c>
      <c r="L234" s="2" t="s">
        <v>865</v>
      </c>
      <c r="M234" s="5">
        <v>46090</v>
      </c>
      <c r="N234" s="3">
        <f>VLOOKUP(NavDataRegion[[#This Row],[Spool No]],[1]Sheet2!$B:$U,20,0)</f>
        <v>42.272919999999999</v>
      </c>
      <c r="O234" s="2">
        <v>6</v>
      </c>
      <c r="P234" s="2">
        <v>6</v>
      </c>
      <c r="Q234" s="2"/>
    </row>
    <row r="235" spans="1:17" ht="20.100000000000001" customHeight="1">
      <c r="A235" s="2" t="s">
        <v>9</v>
      </c>
      <c r="B235" s="2" t="s">
        <v>36</v>
      </c>
      <c r="C235" s="2" t="s">
        <v>499</v>
      </c>
      <c r="D235" s="2" t="e">
        <f>VLOOKUP(C:C,Vlookup!A:A,1,0)</f>
        <v>#N/A</v>
      </c>
      <c r="E235" s="2">
        <v>2</v>
      </c>
      <c r="F235" s="2" t="s">
        <v>10</v>
      </c>
      <c r="G235" s="2" t="s">
        <v>25</v>
      </c>
      <c r="H235" s="2" t="s">
        <v>11</v>
      </c>
      <c r="I235" s="2">
        <v>1</v>
      </c>
      <c r="J235" s="5">
        <v>45988</v>
      </c>
      <c r="K235" s="5">
        <v>45989</v>
      </c>
      <c r="L235" s="2" t="s">
        <v>865</v>
      </c>
      <c r="M235" s="5">
        <v>46090</v>
      </c>
      <c r="N235" s="3">
        <f>VLOOKUP(NavDataRegion[[#This Row],[Spool No]],[1]Sheet2!$B:$U,20,0)</f>
        <v>55.216000000000001</v>
      </c>
      <c r="O235" s="2">
        <v>6</v>
      </c>
      <c r="P235" s="2">
        <v>6</v>
      </c>
      <c r="Q235" s="2"/>
    </row>
    <row r="236" spans="1:17" ht="20.100000000000001" customHeight="1">
      <c r="A236" s="2" t="s">
        <v>9</v>
      </c>
      <c r="B236" s="2" t="s">
        <v>287</v>
      </c>
      <c r="C236" s="2" t="s">
        <v>465</v>
      </c>
      <c r="D236" s="2" t="e">
        <f>VLOOKUP(C:C,Vlookup!A:A,1,0)</f>
        <v>#N/A</v>
      </c>
      <c r="E236" s="2">
        <v>1</v>
      </c>
      <c r="F236" s="2" t="s">
        <v>466</v>
      </c>
      <c r="G236" s="2" t="s">
        <v>25</v>
      </c>
      <c r="H236" s="2" t="s">
        <v>11</v>
      </c>
      <c r="I236" s="2">
        <v>1</v>
      </c>
      <c r="J236" s="5">
        <v>45975</v>
      </c>
      <c r="K236" s="5">
        <v>45764</v>
      </c>
      <c r="L236" s="2" t="s">
        <v>865</v>
      </c>
      <c r="M236" s="5">
        <v>46090</v>
      </c>
      <c r="N236" s="3">
        <f>VLOOKUP(NavDataRegion[[#This Row],[Spool No]],[1]Sheet2!$B:$U,20,0)</f>
        <v>259.95006000000001</v>
      </c>
      <c r="O236" s="2">
        <v>30</v>
      </c>
      <c r="P236" s="2">
        <v>10</v>
      </c>
      <c r="Q236" s="2"/>
    </row>
    <row r="237" spans="1:17" ht="20.100000000000001" customHeight="1">
      <c r="A237" s="2" t="s">
        <v>9</v>
      </c>
      <c r="B237" s="2" t="s">
        <v>40</v>
      </c>
      <c r="C237" s="2" t="s">
        <v>500</v>
      </c>
      <c r="D237" s="2" t="e">
        <f>VLOOKUP(C:C,Vlookup!A:A,1,0)</f>
        <v>#N/A</v>
      </c>
      <c r="E237" s="2">
        <v>5</v>
      </c>
      <c r="F237" s="2" t="s">
        <v>10</v>
      </c>
      <c r="G237" s="2" t="s">
        <v>16</v>
      </c>
      <c r="H237" s="2" t="s">
        <v>11</v>
      </c>
      <c r="I237" s="2">
        <v>1</v>
      </c>
      <c r="J237" s="5">
        <v>46010</v>
      </c>
      <c r="K237" s="5">
        <v>46013</v>
      </c>
      <c r="L237" s="2" t="s">
        <v>865</v>
      </c>
      <c r="M237" s="5">
        <v>46090</v>
      </c>
      <c r="N237" s="3">
        <f>VLOOKUP(NavDataRegion[[#This Row],[Spool No]],[1]Sheet2!$B:$U,20,0)</f>
        <v>171.35028</v>
      </c>
      <c r="O237" s="2">
        <v>35</v>
      </c>
      <c r="P237" s="2">
        <v>6</v>
      </c>
      <c r="Q237" s="2"/>
    </row>
    <row r="238" spans="1:17" ht="20.100000000000001" customHeight="1">
      <c r="A238" s="2" t="s">
        <v>9</v>
      </c>
      <c r="B238" s="2" t="s">
        <v>262</v>
      </c>
      <c r="C238" s="2" t="s">
        <v>452</v>
      </c>
      <c r="D238" s="2" t="e">
        <f>VLOOKUP(C:C,Vlookup!A:A,1,0)</f>
        <v>#N/A</v>
      </c>
      <c r="E238" s="2">
        <v>1</v>
      </c>
      <c r="F238" s="2" t="s">
        <v>10</v>
      </c>
      <c r="G238" s="2" t="s">
        <v>25</v>
      </c>
      <c r="H238" s="2" t="s">
        <v>11</v>
      </c>
      <c r="I238" s="2">
        <v>1</v>
      </c>
      <c r="J238" s="5">
        <v>45975</v>
      </c>
      <c r="K238" s="5">
        <v>45764</v>
      </c>
      <c r="L238" s="2" t="s">
        <v>865</v>
      </c>
      <c r="M238" s="5">
        <v>46090</v>
      </c>
      <c r="N238" s="3">
        <f>VLOOKUP(NavDataRegion[[#This Row],[Spool No]],[1]Sheet2!$B:$U,20,0)</f>
        <v>459.05811</v>
      </c>
      <c r="O238" s="2">
        <v>24</v>
      </c>
      <c r="P238" s="2">
        <v>12</v>
      </c>
      <c r="Q238" s="2"/>
    </row>
    <row r="239" spans="1:17" ht="20.100000000000001" customHeight="1">
      <c r="A239" s="2" t="s">
        <v>9</v>
      </c>
      <c r="B239" s="2" t="s">
        <v>44</v>
      </c>
      <c r="C239" s="2" t="s">
        <v>501</v>
      </c>
      <c r="D239" s="2" t="e">
        <f>VLOOKUP(C:C,Vlookup!A:A,1,0)</f>
        <v>#N/A</v>
      </c>
      <c r="E239" s="2">
        <v>4</v>
      </c>
      <c r="F239" s="2" t="s">
        <v>10</v>
      </c>
      <c r="G239" s="2" t="s">
        <v>16</v>
      </c>
      <c r="H239" s="2" t="s">
        <v>11</v>
      </c>
      <c r="I239" s="2">
        <v>1</v>
      </c>
      <c r="J239" s="5">
        <v>46008</v>
      </c>
      <c r="K239" s="5">
        <v>46009</v>
      </c>
      <c r="L239" s="2" t="s">
        <v>865</v>
      </c>
      <c r="M239" s="5">
        <v>46090</v>
      </c>
      <c r="N239" s="3">
        <f>VLOOKUP(NavDataRegion[[#This Row],[Spool No]],[1]Sheet2!$B:$U,20,0)</f>
        <v>169.23078000000001</v>
      </c>
      <c r="O239" s="2">
        <v>35</v>
      </c>
      <c r="P239" s="2">
        <v>6</v>
      </c>
      <c r="Q239" s="2"/>
    </row>
    <row r="240" spans="1:17" ht="20.100000000000001" customHeight="1">
      <c r="A240" s="2" t="s">
        <v>9</v>
      </c>
      <c r="B240" s="2" t="s">
        <v>48</v>
      </c>
      <c r="C240" s="2" t="s">
        <v>502</v>
      </c>
      <c r="D240" s="2" t="e">
        <f>VLOOKUP(C:C,Vlookup!A:A,1,0)</f>
        <v>#N/A</v>
      </c>
      <c r="E240" s="2">
        <v>2</v>
      </c>
      <c r="F240" s="2" t="s">
        <v>10</v>
      </c>
      <c r="G240" s="2" t="s">
        <v>16</v>
      </c>
      <c r="H240" s="2" t="s">
        <v>11</v>
      </c>
      <c r="I240" s="2">
        <v>1</v>
      </c>
      <c r="J240" s="5">
        <v>45988</v>
      </c>
      <c r="K240" s="5">
        <v>45989</v>
      </c>
      <c r="L240" s="2" t="s">
        <v>865</v>
      </c>
      <c r="M240" s="5">
        <v>46090</v>
      </c>
      <c r="N240" s="3">
        <f>VLOOKUP(NavDataRegion[[#This Row],[Spool No]],[1]Sheet2!$B:$U,20,0)</f>
        <v>169.20251999999999</v>
      </c>
      <c r="O240" s="2">
        <v>35</v>
      </c>
      <c r="P240" s="2">
        <v>6</v>
      </c>
      <c r="Q240" s="2"/>
    </row>
    <row r="241" spans="1:17" ht="20.100000000000001" customHeight="1">
      <c r="A241" s="2" t="s">
        <v>9</v>
      </c>
      <c r="B241" s="2" t="s">
        <v>52</v>
      </c>
      <c r="C241" s="2" t="s">
        <v>503</v>
      </c>
      <c r="D241" s="2" t="e">
        <f>VLOOKUP(C:C,Vlookup!A:A,1,0)</f>
        <v>#N/A</v>
      </c>
      <c r="E241" s="2">
        <v>2</v>
      </c>
      <c r="F241" s="2" t="s">
        <v>10</v>
      </c>
      <c r="G241" s="2" t="s">
        <v>16</v>
      </c>
      <c r="H241" s="2" t="s">
        <v>11</v>
      </c>
      <c r="I241" s="2">
        <v>1</v>
      </c>
      <c r="J241" s="5">
        <v>45988</v>
      </c>
      <c r="K241" s="5">
        <v>45989</v>
      </c>
      <c r="L241" s="2" t="s">
        <v>865</v>
      </c>
      <c r="M241" s="5">
        <v>46090</v>
      </c>
      <c r="N241" s="3">
        <f>VLOOKUP(NavDataRegion[[#This Row],[Spool No]],[1]Sheet2!$B:$U,20,0)</f>
        <v>169.20251999999999</v>
      </c>
      <c r="O241" s="2">
        <v>35</v>
      </c>
      <c r="P241" s="2">
        <v>6</v>
      </c>
      <c r="Q241" s="2"/>
    </row>
    <row r="242" spans="1:17" ht="20.100000000000001" customHeight="1">
      <c r="A242" s="2" t="s">
        <v>9</v>
      </c>
      <c r="B242" s="2" t="s">
        <v>56</v>
      </c>
      <c r="C242" s="2" t="s">
        <v>504</v>
      </c>
      <c r="D242" s="2" t="e">
        <f>VLOOKUP(C:C,Vlookup!A:A,1,0)</f>
        <v>#N/A</v>
      </c>
      <c r="E242" s="2">
        <v>2</v>
      </c>
      <c r="F242" s="2" t="s">
        <v>10</v>
      </c>
      <c r="G242" s="2" t="s">
        <v>16</v>
      </c>
      <c r="H242" s="2" t="s">
        <v>11</v>
      </c>
      <c r="I242" s="2">
        <v>1</v>
      </c>
      <c r="J242" s="5">
        <v>45988</v>
      </c>
      <c r="K242" s="5">
        <v>45989</v>
      </c>
      <c r="L242" s="2" t="s">
        <v>865</v>
      </c>
      <c r="M242" s="5">
        <v>46090</v>
      </c>
      <c r="N242" s="3">
        <f>VLOOKUP(NavDataRegion[[#This Row],[Spool No]],[1]Sheet2!$B:$U,20,0)</f>
        <v>169.20251999999999</v>
      </c>
      <c r="O242" s="2">
        <v>35</v>
      </c>
      <c r="P242" s="2">
        <v>6</v>
      </c>
      <c r="Q242" s="2"/>
    </row>
    <row r="243" spans="1:17" ht="20.100000000000001" customHeight="1">
      <c r="A243" s="2" t="s">
        <v>9</v>
      </c>
      <c r="B243" s="2" t="s">
        <v>60</v>
      </c>
      <c r="C243" s="2" t="s">
        <v>505</v>
      </c>
      <c r="D243" s="2" t="e">
        <f>VLOOKUP(C:C,Vlookup!A:A,1,0)</f>
        <v>#N/A</v>
      </c>
      <c r="E243" s="2">
        <v>5</v>
      </c>
      <c r="F243" s="2" t="s">
        <v>10</v>
      </c>
      <c r="G243" s="2" t="s">
        <v>16</v>
      </c>
      <c r="H243" s="2" t="s">
        <v>11</v>
      </c>
      <c r="I243" s="2">
        <v>1</v>
      </c>
      <c r="J243" s="5">
        <v>46010</v>
      </c>
      <c r="K243" s="5">
        <v>46013</v>
      </c>
      <c r="L243" s="2" t="s">
        <v>865</v>
      </c>
      <c r="M243" s="5">
        <v>46090</v>
      </c>
      <c r="N243" s="3">
        <f>VLOOKUP(NavDataRegion[[#This Row],[Spool No]],[1]Sheet2!$B:$U,20,0)</f>
        <v>169.20251999999999</v>
      </c>
      <c r="O243" s="2">
        <v>35</v>
      </c>
      <c r="P243" s="2">
        <v>6</v>
      </c>
      <c r="Q243" s="2"/>
    </row>
    <row r="244" spans="1:17" ht="20.100000000000001" customHeight="1">
      <c r="A244" s="2" t="s">
        <v>9</v>
      </c>
      <c r="B244" s="2" t="s">
        <v>64</v>
      </c>
      <c r="C244" s="2" t="s">
        <v>506</v>
      </c>
      <c r="D244" s="2" t="e">
        <f>VLOOKUP(C:C,Vlookup!A:A,1,0)</f>
        <v>#N/A</v>
      </c>
      <c r="E244" s="2">
        <v>5</v>
      </c>
      <c r="F244" s="2" t="s">
        <v>10</v>
      </c>
      <c r="G244" s="2" t="s">
        <v>16</v>
      </c>
      <c r="H244" s="2" t="s">
        <v>11</v>
      </c>
      <c r="I244" s="2">
        <v>1</v>
      </c>
      <c r="J244" s="5">
        <v>46010</v>
      </c>
      <c r="K244" s="5">
        <v>46013</v>
      </c>
      <c r="L244" s="2" t="s">
        <v>865</v>
      </c>
      <c r="M244" s="5">
        <v>46090</v>
      </c>
      <c r="N244" s="3">
        <f>VLOOKUP(NavDataRegion[[#This Row],[Spool No]],[1]Sheet2!$B:$U,20,0)</f>
        <v>169.20251999999999</v>
      </c>
      <c r="O244" s="2">
        <v>35</v>
      </c>
      <c r="P244" s="2">
        <v>6</v>
      </c>
      <c r="Q244" s="2"/>
    </row>
    <row r="245" spans="1:17" ht="20.100000000000001" customHeight="1">
      <c r="A245" s="2" t="s">
        <v>9</v>
      </c>
      <c r="B245" s="2" t="s">
        <v>68</v>
      </c>
      <c r="C245" s="2" t="s">
        <v>507</v>
      </c>
      <c r="D245" s="2" t="e">
        <f>VLOOKUP(C:C,Vlookup!A:A,1,0)</f>
        <v>#N/A</v>
      </c>
      <c r="E245" s="2">
        <v>4</v>
      </c>
      <c r="F245" s="2" t="s">
        <v>10</v>
      </c>
      <c r="G245" s="2" t="s">
        <v>16</v>
      </c>
      <c r="H245" s="2" t="s">
        <v>11</v>
      </c>
      <c r="I245" s="2">
        <v>1</v>
      </c>
      <c r="J245" s="5">
        <v>46008</v>
      </c>
      <c r="K245" s="5">
        <v>46009</v>
      </c>
      <c r="L245" s="2" t="s">
        <v>865</v>
      </c>
      <c r="M245" s="5">
        <v>46090</v>
      </c>
      <c r="N245" s="3">
        <f>VLOOKUP(NavDataRegion[[#This Row],[Spool No]],[1]Sheet2!$B:$U,20,0)</f>
        <v>169.20251999999999</v>
      </c>
      <c r="O245" s="2">
        <v>35</v>
      </c>
      <c r="P245" s="2">
        <v>6</v>
      </c>
      <c r="Q245" s="2"/>
    </row>
    <row r="246" spans="1:17" ht="20.100000000000001" customHeight="1">
      <c r="A246" s="2" t="s">
        <v>9</v>
      </c>
      <c r="B246" s="2" t="s">
        <v>270</v>
      </c>
      <c r="C246" s="2" t="s">
        <v>455</v>
      </c>
      <c r="D246" s="2" t="e">
        <f>VLOOKUP(C:C,Vlookup!A:A,1,0)</f>
        <v>#N/A</v>
      </c>
      <c r="E246" s="2">
        <v>1</v>
      </c>
      <c r="F246" s="2" t="s">
        <v>456</v>
      </c>
      <c r="G246" s="2" t="s">
        <v>25</v>
      </c>
      <c r="H246" s="2" t="s">
        <v>11</v>
      </c>
      <c r="I246" s="2">
        <v>1</v>
      </c>
      <c r="J246" s="5">
        <v>45975</v>
      </c>
      <c r="K246" s="5">
        <v>45764</v>
      </c>
      <c r="L246" s="2" t="s">
        <v>865</v>
      </c>
      <c r="M246" s="5">
        <v>46090</v>
      </c>
      <c r="N246" s="3">
        <f>VLOOKUP(NavDataRegion[[#This Row],[Spool No]],[1]Sheet2!$B:$U,20,0)</f>
        <v>265.36281000000002</v>
      </c>
      <c r="O246" s="2">
        <v>24</v>
      </c>
      <c r="P246" s="2">
        <v>12</v>
      </c>
      <c r="Q246" s="2"/>
    </row>
    <row r="247" spans="1:17" ht="20.100000000000001" customHeight="1">
      <c r="A247" s="2" t="s">
        <v>9</v>
      </c>
      <c r="B247" s="2" t="s">
        <v>282</v>
      </c>
      <c r="C247" s="2" t="s">
        <v>462</v>
      </c>
      <c r="D247" s="2" t="e">
        <f>VLOOKUP(C:C,Vlookup!A:A,1,0)</f>
        <v>#N/A</v>
      </c>
      <c r="E247" s="2">
        <v>1</v>
      </c>
      <c r="F247" s="2" t="s">
        <v>463</v>
      </c>
      <c r="G247" s="2" t="s">
        <v>25</v>
      </c>
      <c r="H247" s="2" t="s">
        <v>11</v>
      </c>
      <c r="I247" s="2">
        <v>1</v>
      </c>
      <c r="J247" s="5">
        <v>45975</v>
      </c>
      <c r="K247" s="5">
        <v>45764</v>
      </c>
      <c r="L247" s="2" t="s">
        <v>865</v>
      </c>
      <c r="M247" s="5">
        <v>46090</v>
      </c>
      <c r="N247" s="3">
        <f>VLOOKUP(NavDataRegion[[#This Row],[Spool No]],[1]Sheet2!$B:$U,20,0)</f>
        <v>206.53683000000001</v>
      </c>
      <c r="O247" s="2">
        <v>12</v>
      </c>
      <c r="P247" s="2">
        <v>12</v>
      </c>
      <c r="Q247" s="2"/>
    </row>
    <row r="248" spans="1:17" ht="20.100000000000001" customHeight="1">
      <c r="A248" s="2" t="s">
        <v>9</v>
      </c>
      <c r="B248" s="2" t="s">
        <v>72</v>
      </c>
      <c r="C248" s="2" t="s">
        <v>508</v>
      </c>
      <c r="D248" s="2" t="e">
        <f>VLOOKUP(C:C,Vlookup!A:A,1,0)</f>
        <v>#N/A</v>
      </c>
      <c r="E248" s="2">
        <v>5</v>
      </c>
      <c r="F248" s="2" t="s">
        <v>10</v>
      </c>
      <c r="G248" s="2" t="s">
        <v>16</v>
      </c>
      <c r="H248" s="2" t="s">
        <v>11</v>
      </c>
      <c r="I248" s="2">
        <v>1</v>
      </c>
      <c r="J248" s="5">
        <v>46010</v>
      </c>
      <c r="K248" s="5">
        <v>46013</v>
      </c>
      <c r="L248" s="2" t="s">
        <v>865</v>
      </c>
      <c r="M248" s="5">
        <v>46090</v>
      </c>
      <c r="N248" s="3">
        <f>VLOOKUP(NavDataRegion[[#This Row],[Spool No]],[1]Sheet2!$B:$U,20,0)</f>
        <v>169.20251999999999</v>
      </c>
      <c r="O248" s="2">
        <v>35</v>
      </c>
      <c r="P248" s="2">
        <v>6</v>
      </c>
      <c r="Q248" s="2"/>
    </row>
    <row r="249" spans="1:17" ht="20.100000000000001" customHeight="1">
      <c r="A249" s="2" t="s">
        <v>9</v>
      </c>
      <c r="B249" s="2" t="s">
        <v>76</v>
      </c>
      <c r="C249" s="2" t="s">
        <v>509</v>
      </c>
      <c r="D249" s="2" t="e">
        <f>VLOOKUP(C:C,Vlookup!A:A,1,0)</f>
        <v>#N/A</v>
      </c>
      <c r="E249" s="2">
        <v>4</v>
      </c>
      <c r="F249" s="2" t="s">
        <v>10</v>
      </c>
      <c r="G249" s="2" t="s">
        <v>16</v>
      </c>
      <c r="H249" s="2" t="s">
        <v>11</v>
      </c>
      <c r="I249" s="2">
        <v>1</v>
      </c>
      <c r="J249" s="5">
        <v>46008</v>
      </c>
      <c r="K249" s="5">
        <v>46009</v>
      </c>
      <c r="L249" s="2" t="s">
        <v>865</v>
      </c>
      <c r="M249" s="5">
        <v>46090</v>
      </c>
      <c r="N249" s="3">
        <f>VLOOKUP(NavDataRegion[[#This Row],[Spool No]],[1]Sheet2!$B:$U,20,0)</f>
        <v>169.20251999999999</v>
      </c>
      <c r="O249" s="2">
        <v>35</v>
      </c>
      <c r="P249" s="2">
        <v>6</v>
      </c>
      <c r="Q249" s="2"/>
    </row>
    <row r="250" spans="1:17" ht="20.100000000000001" customHeight="1">
      <c r="A250" s="2" t="s">
        <v>9</v>
      </c>
      <c r="B250" s="2" t="s">
        <v>80</v>
      </c>
      <c r="C250" s="2" t="s">
        <v>510</v>
      </c>
      <c r="D250" s="2" t="e">
        <f>VLOOKUP(C:C,Vlookup!A:A,1,0)</f>
        <v>#N/A</v>
      </c>
      <c r="E250" s="2">
        <v>4</v>
      </c>
      <c r="F250" s="2" t="s">
        <v>10</v>
      </c>
      <c r="G250" s="2" t="s">
        <v>16</v>
      </c>
      <c r="H250" s="2" t="s">
        <v>11</v>
      </c>
      <c r="I250" s="2">
        <v>1</v>
      </c>
      <c r="J250" s="5">
        <v>46008</v>
      </c>
      <c r="K250" s="5">
        <v>46009</v>
      </c>
      <c r="L250" s="2" t="s">
        <v>865</v>
      </c>
      <c r="M250" s="5">
        <v>46090</v>
      </c>
      <c r="N250" s="3">
        <f>VLOOKUP(NavDataRegion[[#This Row],[Spool No]],[1]Sheet2!$B:$U,20,0)</f>
        <v>169.20251999999999</v>
      </c>
      <c r="O250" s="2">
        <v>35</v>
      </c>
      <c r="P250" s="2">
        <v>6</v>
      </c>
      <c r="Q250" s="2"/>
    </row>
    <row r="251" spans="1:17" ht="20.100000000000001" customHeight="1">
      <c r="A251" s="2" t="s">
        <v>9</v>
      </c>
      <c r="B251" s="2" t="s">
        <v>84</v>
      </c>
      <c r="C251" s="2" t="s">
        <v>511</v>
      </c>
      <c r="D251" s="2" t="e">
        <f>VLOOKUP(C:C,Vlookup!A:A,1,0)</f>
        <v>#N/A</v>
      </c>
      <c r="E251" s="2">
        <v>4</v>
      </c>
      <c r="F251" s="2" t="s">
        <v>10</v>
      </c>
      <c r="G251" s="2" t="s">
        <v>16</v>
      </c>
      <c r="H251" s="2" t="s">
        <v>11</v>
      </c>
      <c r="I251" s="2">
        <v>1</v>
      </c>
      <c r="J251" s="5">
        <v>46008</v>
      </c>
      <c r="K251" s="5">
        <v>46009</v>
      </c>
      <c r="L251" s="2" t="s">
        <v>865</v>
      </c>
      <c r="M251" s="5">
        <v>46090</v>
      </c>
      <c r="N251" s="3">
        <f>VLOOKUP(NavDataRegion[[#This Row],[Spool No]],[1]Sheet2!$B:$U,20,0)</f>
        <v>169.20251999999999</v>
      </c>
      <c r="O251" s="2">
        <v>35</v>
      </c>
      <c r="P251" s="2">
        <v>6</v>
      </c>
      <c r="Q251" s="2"/>
    </row>
    <row r="252" spans="1:17" ht="20.100000000000001" customHeight="1">
      <c r="A252" s="2" t="s">
        <v>9</v>
      </c>
      <c r="B252" s="2" t="s">
        <v>88</v>
      </c>
      <c r="C252" s="2" t="s">
        <v>512</v>
      </c>
      <c r="D252" s="2" t="e">
        <f>VLOOKUP(C:C,Vlookup!A:A,1,0)</f>
        <v>#N/A</v>
      </c>
      <c r="E252" s="2">
        <v>3</v>
      </c>
      <c r="F252" s="2" t="s">
        <v>10</v>
      </c>
      <c r="G252" s="2" t="s">
        <v>16</v>
      </c>
      <c r="H252" s="2" t="s">
        <v>11</v>
      </c>
      <c r="I252" s="2">
        <v>1</v>
      </c>
      <c r="J252" s="5">
        <v>46003</v>
      </c>
      <c r="K252" s="5">
        <v>46006</v>
      </c>
      <c r="L252" s="2" t="s">
        <v>865</v>
      </c>
      <c r="M252" s="5">
        <v>46090</v>
      </c>
      <c r="N252" s="3">
        <f>VLOOKUP(NavDataRegion[[#This Row],[Spool No]],[1]Sheet2!$B:$U,20,0)</f>
        <v>169.20251999999999</v>
      </c>
      <c r="O252" s="2">
        <v>35</v>
      </c>
      <c r="P252" s="2">
        <v>6</v>
      </c>
      <c r="Q252" s="2"/>
    </row>
    <row r="253" spans="1:17" ht="20.100000000000001" customHeight="1">
      <c r="A253" s="2" t="s">
        <v>9</v>
      </c>
      <c r="B253" s="2" t="s">
        <v>76</v>
      </c>
      <c r="C253" s="2" t="s">
        <v>782</v>
      </c>
      <c r="D253" s="2" t="e">
        <f>VLOOKUP(C:C,Vlookup!A:A,1,0)</f>
        <v>#N/A</v>
      </c>
      <c r="E253" s="2">
        <v>3</v>
      </c>
      <c r="F253" s="2" t="s">
        <v>10</v>
      </c>
      <c r="G253" s="2" t="s">
        <v>16</v>
      </c>
      <c r="H253" s="2" t="s">
        <v>11</v>
      </c>
      <c r="I253" s="2">
        <v>1</v>
      </c>
      <c r="J253" s="5">
        <v>45989</v>
      </c>
      <c r="K253" s="5">
        <v>45992</v>
      </c>
      <c r="L253" s="2" t="s">
        <v>865</v>
      </c>
      <c r="M253" s="5">
        <v>46090</v>
      </c>
      <c r="N253" s="3">
        <f>VLOOKUP(NavDataRegion[[#This Row],[Spool No]],[1]Sheet2!$B:$U,20,0)</f>
        <v>158.81338</v>
      </c>
      <c r="O253" s="2">
        <v>16</v>
      </c>
      <c r="P253" s="2">
        <v>6</v>
      </c>
      <c r="Q253" s="2"/>
    </row>
    <row r="254" spans="1:17" ht="20.100000000000001" customHeight="1">
      <c r="A254" s="2" t="s">
        <v>9</v>
      </c>
      <c r="B254" s="2" t="s">
        <v>96</v>
      </c>
      <c r="C254" s="2" t="s">
        <v>514</v>
      </c>
      <c r="D254" s="2" t="e">
        <f>VLOOKUP(C:C,Vlookup!A:A,1,0)</f>
        <v>#N/A</v>
      </c>
      <c r="E254" s="2">
        <v>5</v>
      </c>
      <c r="F254" s="2" t="s">
        <v>10</v>
      </c>
      <c r="G254" s="2" t="s">
        <v>16</v>
      </c>
      <c r="H254" s="2" t="s">
        <v>11</v>
      </c>
      <c r="I254" s="2">
        <v>1</v>
      </c>
      <c r="J254" s="5">
        <v>46010</v>
      </c>
      <c r="K254" s="5">
        <v>46013</v>
      </c>
      <c r="L254" s="2" t="s">
        <v>865</v>
      </c>
      <c r="M254" s="5">
        <v>46090</v>
      </c>
      <c r="N254" s="3">
        <f>VLOOKUP(NavDataRegion[[#This Row],[Spool No]],[1]Sheet2!$B:$U,20,0)</f>
        <v>169.22681983199999</v>
      </c>
      <c r="O254" s="2">
        <v>35</v>
      </c>
      <c r="P254" s="2">
        <v>6</v>
      </c>
      <c r="Q254" s="2"/>
    </row>
    <row r="255" spans="1:17" ht="20.100000000000001" customHeight="1">
      <c r="A255" s="2" t="s">
        <v>9</v>
      </c>
      <c r="B255" s="2" t="s">
        <v>100</v>
      </c>
      <c r="C255" s="2" t="s">
        <v>515</v>
      </c>
      <c r="D255" s="2" t="e">
        <f>VLOOKUP(C:C,Vlookup!A:A,1,0)</f>
        <v>#N/A</v>
      </c>
      <c r="E255" s="2">
        <v>3</v>
      </c>
      <c r="F255" s="2" t="s">
        <v>10</v>
      </c>
      <c r="G255" s="2" t="s">
        <v>16</v>
      </c>
      <c r="H255" s="2" t="s">
        <v>11</v>
      </c>
      <c r="I255" s="2">
        <v>1</v>
      </c>
      <c r="J255" s="5">
        <v>46003</v>
      </c>
      <c r="K255" s="5">
        <v>46006</v>
      </c>
      <c r="L255" s="2" t="s">
        <v>865</v>
      </c>
      <c r="M255" s="5">
        <v>46090</v>
      </c>
      <c r="N255" s="3">
        <f>VLOOKUP(NavDataRegion[[#This Row],[Spool No]],[1]Sheet2!$B:$U,20,0)</f>
        <v>169.20251999999999</v>
      </c>
      <c r="O255" s="2">
        <v>35</v>
      </c>
      <c r="P255" s="2">
        <v>6</v>
      </c>
      <c r="Q255" s="2"/>
    </row>
    <row r="256" spans="1:17" ht="20.100000000000001" customHeight="1">
      <c r="A256" s="2" t="s">
        <v>9</v>
      </c>
      <c r="B256" s="2" t="s">
        <v>104</v>
      </c>
      <c r="C256" s="2" t="s">
        <v>516</v>
      </c>
      <c r="D256" s="2" t="e">
        <f>VLOOKUP(C:C,Vlookup!A:A,1,0)</f>
        <v>#N/A</v>
      </c>
      <c r="E256" s="2">
        <v>2</v>
      </c>
      <c r="F256" s="2" t="s">
        <v>10</v>
      </c>
      <c r="G256" s="2" t="s">
        <v>16</v>
      </c>
      <c r="H256" s="2" t="s">
        <v>11</v>
      </c>
      <c r="I256" s="2">
        <v>1</v>
      </c>
      <c r="J256" s="5">
        <v>45988</v>
      </c>
      <c r="K256" s="5">
        <v>45989</v>
      </c>
      <c r="L256" s="2" t="s">
        <v>865</v>
      </c>
      <c r="M256" s="5">
        <v>46090</v>
      </c>
      <c r="N256" s="3">
        <f>VLOOKUP(NavDataRegion[[#This Row],[Spool No]],[1]Sheet2!$B:$U,20,0)</f>
        <v>169.20251999999999</v>
      </c>
      <c r="O256" s="2">
        <v>35</v>
      </c>
      <c r="P256" s="2">
        <v>6</v>
      </c>
      <c r="Q256" s="2"/>
    </row>
    <row r="257" spans="1:17" ht="20.100000000000001" customHeight="1">
      <c r="A257" s="2" t="s">
        <v>9</v>
      </c>
      <c r="B257" s="2" t="s">
        <v>108</v>
      </c>
      <c r="C257" s="2" t="s">
        <v>517</v>
      </c>
      <c r="D257" s="2" t="e">
        <f>VLOOKUP(C:C,Vlookup!A:A,1,0)</f>
        <v>#N/A</v>
      </c>
      <c r="E257" s="2">
        <v>4</v>
      </c>
      <c r="F257" s="2" t="s">
        <v>10</v>
      </c>
      <c r="G257" s="2" t="s">
        <v>16</v>
      </c>
      <c r="H257" s="2" t="s">
        <v>11</v>
      </c>
      <c r="I257" s="2">
        <v>1</v>
      </c>
      <c r="J257" s="5">
        <v>46008</v>
      </c>
      <c r="K257" s="5">
        <v>46009</v>
      </c>
      <c r="L257" s="2" t="s">
        <v>865</v>
      </c>
      <c r="M257" s="5">
        <v>46090</v>
      </c>
      <c r="N257" s="3">
        <f>VLOOKUP(NavDataRegion[[#This Row],[Spool No]],[1]Sheet2!$B:$U,20,0)</f>
        <v>169.20251999999999</v>
      </c>
      <c r="O257" s="2">
        <v>35</v>
      </c>
      <c r="P257" s="2">
        <v>6</v>
      </c>
      <c r="Q257" s="2"/>
    </row>
    <row r="258" spans="1:17" ht="20.100000000000001" customHeight="1">
      <c r="A258" s="2" t="s">
        <v>9</v>
      </c>
      <c r="B258" s="2" t="s">
        <v>112</v>
      </c>
      <c r="C258" s="2" t="s">
        <v>518</v>
      </c>
      <c r="D258" s="2" t="e">
        <f>VLOOKUP(C:C,Vlookup!A:A,1,0)</f>
        <v>#N/A</v>
      </c>
      <c r="E258" s="2">
        <v>6</v>
      </c>
      <c r="F258" s="2" t="s">
        <v>10</v>
      </c>
      <c r="G258" s="2" t="s">
        <v>16</v>
      </c>
      <c r="H258" s="2" t="s">
        <v>11</v>
      </c>
      <c r="I258" s="2">
        <v>1</v>
      </c>
      <c r="J258" s="5">
        <v>46015</v>
      </c>
      <c r="K258" s="5">
        <v>46016</v>
      </c>
      <c r="L258" s="2" t="s">
        <v>865</v>
      </c>
      <c r="M258" s="5">
        <v>46091</v>
      </c>
      <c r="N258" s="3">
        <f>VLOOKUP(NavDataRegion[[#This Row],[Spool No]],[1]Sheet2!$B:$U,20,0)</f>
        <v>169.20251999999999</v>
      </c>
      <c r="O258" s="2">
        <v>35</v>
      </c>
      <c r="P258" s="2">
        <v>6</v>
      </c>
      <c r="Q258" s="2"/>
    </row>
    <row r="259" spans="1:17" ht="20.100000000000001" customHeight="1">
      <c r="A259" s="2" t="s">
        <v>9</v>
      </c>
      <c r="B259" s="2" t="s">
        <v>116</v>
      </c>
      <c r="C259" s="2" t="s">
        <v>519</v>
      </c>
      <c r="D259" s="2" t="e">
        <f>VLOOKUP(C:C,Vlookup!A:A,1,0)</f>
        <v>#N/A</v>
      </c>
      <c r="E259" s="2">
        <v>6</v>
      </c>
      <c r="F259" s="2" t="s">
        <v>10</v>
      </c>
      <c r="G259" s="2" t="s">
        <v>16</v>
      </c>
      <c r="H259" s="2" t="s">
        <v>11</v>
      </c>
      <c r="I259" s="2">
        <v>1</v>
      </c>
      <c r="J259" s="5">
        <v>46015</v>
      </c>
      <c r="K259" s="5">
        <v>46016</v>
      </c>
      <c r="L259" s="2" t="s">
        <v>865</v>
      </c>
      <c r="M259" s="5">
        <v>46091</v>
      </c>
      <c r="N259" s="3">
        <f>VLOOKUP(NavDataRegion[[#This Row],[Spool No]],[1]Sheet2!$B:$U,20,0)</f>
        <v>169.20251999999999</v>
      </c>
      <c r="O259" s="2">
        <v>35</v>
      </c>
      <c r="P259" s="2">
        <v>6</v>
      </c>
      <c r="Q259" s="2"/>
    </row>
    <row r="260" spans="1:17" ht="20.100000000000001" customHeight="1">
      <c r="A260" s="2" t="s">
        <v>9</v>
      </c>
      <c r="B260" s="2" t="s">
        <v>120</v>
      </c>
      <c r="C260" s="2" t="s">
        <v>520</v>
      </c>
      <c r="D260" s="2" t="e">
        <f>VLOOKUP(C:C,Vlookup!A:A,1,0)</f>
        <v>#N/A</v>
      </c>
      <c r="E260" s="2">
        <v>5</v>
      </c>
      <c r="F260" s="2" t="s">
        <v>10</v>
      </c>
      <c r="G260" s="2" t="s">
        <v>16</v>
      </c>
      <c r="H260" s="2" t="s">
        <v>11</v>
      </c>
      <c r="I260" s="2">
        <v>1</v>
      </c>
      <c r="J260" s="5">
        <v>46015</v>
      </c>
      <c r="K260" s="5">
        <v>46016</v>
      </c>
      <c r="L260" s="2" t="s">
        <v>865</v>
      </c>
      <c r="M260" s="5">
        <v>46090</v>
      </c>
      <c r="N260" s="3">
        <f>VLOOKUP(NavDataRegion[[#This Row],[Spool No]],[1]Sheet2!$B:$U,20,0)</f>
        <v>169.22681983199999</v>
      </c>
      <c r="O260" s="2">
        <v>35</v>
      </c>
      <c r="P260" s="2">
        <v>6</v>
      </c>
      <c r="Q260" s="2"/>
    </row>
    <row r="261" spans="1:17" ht="20.100000000000001" customHeight="1">
      <c r="A261" s="2" t="s">
        <v>9</v>
      </c>
      <c r="B261" s="2" t="s">
        <v>84</v>
      </c>
      <c r="C261" s="2" t="s">
        <v>713</v>
      </c>
      <c r="D261" s="2" t="e">
        <f>VLOOKUP(C:C,Vlookup!A:A,1,0)</f>
        <v>#N/A</v>
      </c>
      <c r="E261" s="2">
        <v>3</v>
      </c>
      <c r="F261" s="2" t="s">
        <v>10</v>
      </c>
      <c r="G261" s="2" t="s">
        <v>16</v>
      </c>
      <c r="H261" s="2" t="s">
        <v>11</v>
      </c>
      <c r="I261" s="2">
        <v>1</v>
      </c>
      <c r="J261" s="5">
        <v>45989</v>
      </c>
      <c r="K261" s="5">
        <v>45992</v>
      </c>
      <c r="L261" s="2" t="s">
        <v>865</v>
      </c>
      <c r="M261" s="5">
        <v>46090</v>
      </c>
      <c r="N261" s="3">
        <f>VLOOKUP(NavDataRegion[[#This Row],[Spool No]],[1]Sheet2!$B:$U,20,0)</f>
        <v>155.10632000000001</v>
      </c>
      <c r="O261" s="2">
        <v>29</v>
      </c>
      <c r="P261" s="2">
        <v>6</v>
      </c>
      <c r="Q261" s="2"/>
    </row>
    <row r="262" spans="1:17" ht="20.100000000000001" customHeight="1">
      <c r="A262" s="2" t="s">
        <v>9</v>
      </c>
      <c r="B262" s="2" t="s">
        <v>315</v>
      </c>
      <c r="C262" s="2" t="s">
        <v>477</v>
      </c>
      <c r="D262" s="2" t="e">
        <f>VLOOKUP(C:C,Vlookup!A:A,1,0)</f>
        <v>#N/A</v>
      </c>
      <c r="E262" s="2">
        <v>1</v>
      </c>
      <c r="F262" s="2" t="s">
        <v>10</v>
      </c>
      <c r="G262" s="2" t="s">
        <v>281</v>
      </c>
      <c r="H262" s="2" t="s">
        <v>11</v>
      </c>
      <c r="I262" s="2">
        <v>1</v>
      </c>
      <c r="J262" s="5">
        <v>45975</v>
      </c>
      <c r="K262" s="5">
        <v>45764</v>
      </c>
      <c r="L262" s="2" t="s">
        <v>865</v>
      </c>
      <c r="M262" s="5">
        <v>46090</v>
      </c>
      <c r="N262" s="3">
        <f>VLOOKUP(NavDataRegion[[#This Row],[Spool No]],[1]Sheet2!$B:$U,20,0)</f>
        <v>944.01374999999996</v>
      </c>
      <c r="O262" s="2">
        <v>12</v>
      </c>
      <c r="P262" s="2">
        <v>12</v>
      </c>
      <c r="Q262" s="2"/>
    </row>
    <row r="263" spans="1:17" ht="20.100000000000001" customHeight="1">
      <c r="A263" s="2" t="s">
        <v>9</v>
      </c>
      <c r="B263" s="2" t="s">
        <v>128</v>
      </c>
      <c r="C263" s="2" t="s">
        <v>522</v>
      </c>
      <c r="D263" s="2" t="e">
        <f>VLOOKUP(C:C,Vlookup!A:A,1,0)</f>
        <v>#N/A</v>
      </c>
      <c r="E263" s="2">
        <v>8</v>
      </c>
      <c r="F263" s="2" t="s">
        <v>10</v>
      </c>
      <c r="G263" s="2" t="s">
        <v>16</v>
      </c>
      <c r="H263" s="2" t="s">
        <v>11</v>
      </c>
      <c r="I263" s="2">
        <v>1</v>
      </c>
      <c r="J263" s="5">
        <v>46045</v>
      </c>
      <c r="K263" s="5">
        <v>46048</v>
      </c>
      <c r="L263" s="2" t="s">
        <v>865</v>
      </c>
      <c r="M263" s="5">
        <v>46091</v>
      </c>
      <c r="N263" s="3">
        <f>VLOOKUP(NavDataRegion[[#This Row],[Spool No]],[1]Sheet2!$B:$U,20,0)</f>
        <v>231.06090044000001</v>
      </c>
      <c r="O263" s="2">
        <v>58</v>
      </c>
      <c r="P263" s="2">
        <v>6</v>
      </c>
      <c r="Q263" s="2"/>
    </row>
    <row r="264" spans="1:17" ht="20.100000000000001" customHeight="1">
      <c r="A264" s="2" t="s">
        <v>9</v>
      </c>
      <c r="B264" s="2" t="s">
        <v>132</v>
      </c>
      <c r="C264" s="2" t="s">
        <v>523</v>
      </c>
      <c r="D264" s="2" t="e">
        <f>VLOOKUP(C:C,Vlookup!A:A,1,0)</f>
        <v>#N/A</v>
      </c>
      <c r="E264" s="2">
        <v>5</v>
      </c>
      <c r="F264" s="2" t="s">
        <v>10</v>
      </c>
      <c r="G264" s="2" t="s">
        <v>16</v>
      </c>
      <c r="H264" s="2" t="s">
        <v>11</v>
      </c>
      <c r="I264" s="2">
        <v>1</v>
      </c>
      <c r="J264" s="5">
        <v>46015</v>
      </c>
      <c r="K264" s="5">
        <v>46016</v>
      </c>
      <c r="L264" s="2" t="s">
        <v>865</v>
      </c>
      <c r="M264" s="5">
        <v>46090</v>
      </c>
      <c r="N264" s="3">
        <f>VLOOKUP(NavDataRegion[[#This Row],[Spool No]],[1]Sheet2!$B:$U,20,0)</f>
        <v>190.79444043999999</v>
      </c>
      <c r="O264" s="2">
        <v>46</v>
      </c>
      <c r="P264" s="2">
        <v>6</v>
      </c>
      <c r="Q264" s="2"/>
    </row>
    <row r="265" spans="1:17" ht="20.100000000000001" customHeight="1">
      <c r="A265" s="2" t="s">
        <v>9</v>
      </c>
      <c r="B265" s="2" t="s">
        <v>136</v>
      </c>
      <c r="C265" s="2" t="s">
        <v>524</v>
      </c>
      <c r="D265" s="2" t="e">
        <f>VLOOKUP(C:C,Vlookup!A:A,1,0)</f>
        <v>#N/A</v>
      </c>
      <c r="E265" s="2">
        <v>4</v>
      </c>
      <c r="F265" s="2" t="s">
        <v>10</v>
      </c>
      <c r="G265" s="2" t="s">
        <v>16</v>
      </c>
      <c r="H265" s="2" t="s">
        <v>11</v>
      </c>
      <c r="I265" s="2">
        <v>1</v>
      </c>
      <c r="J265" s="5">
        <v>46008</v>
      </c>
      <c r="K265" s="5">
        <v>46009</v>
      </c>
      <c r="L265" s="2" t="s">
        <v>865</v>
      </c>
      <c r="M265" s="5">
        <v>46090</v>
      </c>
      <c r="N265" s="3">
        <f>VLOOKUP(NavDataRegion[[#This Row],[Spool No]],[1]Sheet2!$B:$U,20,0)</f>
        <v>103.402346592</v>
      </c>
      <c r="O265" s="2">
        <v>29</v>
      </c>
      <c r="P265" s="2">
        <v>6</v>
      </c>
      <c r="Q265" s="2"/>
    </row>
    <row r="266" spans="1:17" ht="20.100000000000001" customHeight="1">
      <c r="A266" s="2" t="s">
        <v>9</v>
      </c>
      <c r="B266" s="2" t="s">
        <v>140</v>
      </c>
      <c r="C266" s="2" t="s">
        <v>525</v>
      </c>
      <c r="D266" s="2" t="e">
        <f>VLOOKUP(C:C,Vlookup!A:A,1,0)</f>
        <v>#N/A</v>
      </c>
      <c r="E266" s="2">
        <v>4</v>
      </c>
      <c r="F266" s="2" t="s">
        <v>10</v>
      </c>
      <c r="G266" s="2" t="s">
        <v>16</v>
      </c>
      <c r="H266" s="2" t="s">
        <v>11</v>
      </c>
      <c r="I266" s="2">
        <v>1</v>
      </c>
      <c r="J266" s="5">
        <v>46008</v>
      </c>
      <c r="K266" s="5">
        <v>46009</v>
      </c>
      <c r="L266" s="2" t="s">
        <v>865</v>
      </c>
      <c r="M266" s="5">
        <v>46090</v>
      </c>
      <c r="N266" s="3">
        <f>VLOOKUP(NavDataRegion[[#This Row],[Spool No]],[1]Sheet2!$B:$U,20,0)</f>
        <v>90.487526591999995</v>
      </c>
      <c r="O266" s="2">
        <v>29</v>
      </c>
      <c r="P266" s="2">
        <v>6</v>
      </c>
      <c r="Q266" s="2"/>
    </row>
    <row r="267" spans="1:17" ht="20.100000000000001" customHeight="1">
      <c r="A267" s="2" t="s">
        <v>9</v>
      </c>
      <c r="B267" s="2" t="s">
        <v>144</v>
      </c>
      <c r="C267" s="2" t="s">
        <v>526</v>
      </c>
      <c r="D267" s="2" t="e">
        <f>VLOOKUP(C:C,Vlookup!A:A,1,0)</f>
        <v>#N/A</v>
      </c>
      <c r="E267" s="2">
        <v>4</v>
      </c>
      <c r="F267" s="2" t="s">
        <v>10</v>
      </c>
      <c r="G267" s="2" t="s">
        <v>16</v>
      </c>
      <c r="H267" s="2" t="s">
        <v>11</v>
      </c>
      <c r="I267" s="2">
        <v>1</v>
      </c>
      <c r="J267" s="5">
        <v>46008</v>
      </c>
      <c r="K267" s="5">
        <v>46009</v>
      </c>
      <c r="L267" s="2" t="s">
        <v>865</v>
      </c>
      <c r="M267" s="5">
        <v>46090</v>
      </c>
      <c r="N267" s="3">
        <f>VLOOKUP(NavDataRegion[[#This Row],[Spool No]],[1]Sheet2!$B:$U,20,0)</f>
        <v>117.697866592</v>
      </c>
      <c r="O267" s="2">
        <v>41</v>
      </c>
      <c r="P267" s="2">
        <v>6</v>
      </c>
      <c r="Q267" s="2"/>
    </row>
    <row r="268" spans="1:17" ht="20.100000000000001" customHeight="1">
      <c r="A268" s="2" t="s">
        <v>9</v>
      </c>
      <c r="B268" s="2" t="s">
        <v>148</v>
      </c>
      <c r="C268" s="2" t="s">
        <v>527</v>
      </c>
      <c r="D268" s="2" t="e">
        <f>VLOOKUP(C:C,Vlookup!A:A,1,0)</f>
        <v>#N/A</v>
      </c>
      <c r="E268" s="2">
        <v>5</v>
      </c>
      <c r="F268" s="2" t="s">
        <v>10</v>
      </c>
      <c r="G268" s="2" t="s">
        <v>16</v>
      </c>
      <c r="H268" s="2" t="s">
        <v>11</v>
      </c>
      <c r="I268" s="2">
        <v>1</v>
      </c>
      <c r="J268" s="5">
        <v>46015</v>
      </c>
      <c r="K268" s="5">
        <v>46016</v>
      </c>
      <c r="L268" s="2" t="s">
        <v>865</v>
      </c>
      <c r="M268" s="5">
        <v>46090</v>
      </c>
      <c r="N268" s="3">
        <f>VLOOKUP(NavDataRegion[[#This Row],[Spool No]],[1]Sheet2!$B:$U,20,0)</f>
        <v>82.592086592000001</v>
      </c>
      <c r="O268" s="2">
        <v>23</v>
      </c>
      <c r="P268" s="2">
        <v>6</v>
      </c>
      <c r="Q268" s="2"/>
    </row>
    <row r="269" spans="1:17" ht="20.100000000000001" customHeight="1">
      <c r="A269" s="2" t="s">
        <v>9</v>
      </c>
      <c r="B269" s="2" t="s">
        <v>167</v>
      </c>
      <c r="C269" s="2" t="s">
        <v>535</v>
      </c>
      <c r="D269" s="2" t="e">
        <f>VLOOKUP(C:C,Vlookup!A:A,1,0)</f>
        <v>#N/A</v>
      </c>
      <c r="E269" s="2">
        <v>7</v>
      </c>
      <c r="F269" s="2" t="s">
        <v>536</v>
      </c>
      <c r="G269" s="2" t="s">
        <v>25</v>
      </c>
      <c r="H269" s="2" t="s">
        <v>11</v>
      </c>
      <c r="I269" s="2">
        <v>1</v>
      </c>
      <c r="J269" s="5">
        <v>46043</v>
      </c>
      <c r="K269" s="5">
        <v>46043</v>
      </c>
      <c r="L269" s="2" t="s">
        <v>865</v>
      </c>
      <c r="M269" s="5">
        <v>46091</v>
      </c>
      <c r="N269" s="3">
        <f>VLOOKUP(NavDataRegion[[#This Row],[Spool No]],[1]Sheet2!$B:$U,20,0)</f>
        <v>227.17744999999999</v>
      </c>
      <c r="O269" s="2">
        <v>30</v>
      </c>
      <c r="P269" s="2">
        <v>6</v>
      </c>
      <c r="Q269" s="2"/>
    </row>
    <row r="270" spans="1:17" ht="20.100000000000001" customHeight="1">
      <c r="A270" s="2" t="s">
        <v>9</v>
      </c>
      <c r="B270" s="2" t="s">
        <v>174</v>
      </c>
      <c r="C270" s="2" t="s">
        <v>540</v>
      </c>
      <c r="D270" s="2" t="e">
        <f>VLOOKUP(C:C,Vlookup!A:A,1,0)</f>
        <v>#N/A</v>
      </c>
      <c r="E270" s="2">
        <v>7</v>
      </c>
      <c r="F270" s="2" t="s">
        <v>541</v>
      </c>
      <c r="G270" s="2" t="s">
        <v>25</v>
      </c>
      <c r="H270" s="2" t="s">
        <v>11</v>
      </c>
      <c r="I270" s="2">
        <v>1</v>
      </c>
      <c r="J270" s="5">
        <v>46043</v>
      </c>
      <c r="K270" s="5">
        <v>46043</v>
      </c>
      <c r="L270" s="2" t="s">
        <v>865</v>
      </c>
      <c r="M270" s="5">
        <v>46091</v>
      </c>
      <c r="N270" s="3">
        <f>VLOOKUP(NavDataRegion[[#This Row],[Spool No]],[1]Sheet2!$B:$U,20,0)</f>
        <v>190.80914999999999</v>
      </c>
      <c r="O270" s="2">
        <v>19</v>
      </c>
      <c r="P270" s="2">
        <v>6</v>
      </c>
      <c r="Q270" s="2"/>
    </row>
    <row r="271" spans="1:17" ht="20.100000000000001" customHeight="1">
      <c r="A271" s="2" t="s">
        <v>9</v>
      </c>
      <c r="B271" s="2" t="s">
        <v>342</v>
      </c>
      <c r="C271" s="2" t="s">
        <v>343</v>
      </c>
      <c r="D271" s="2" t="e">
        <f>VLOOKUP(C:C,Vlookup!A:A,1,0)</f>
        <v>#N/A</v>
      </c>
      <c r="E271" s="2">
        <v>13</v>
      </c>
      <c r="F271" s="2" t="s">
        <v>10</v>
      </c>
      <c r="G271" s="2" t="s">
        <v>16</v>
      </c>
      <c r="H271" s="2" t="s">
        <v>11</v>
      </c>
      <c r="I271" s="2">
        <v>1</v>
      </c>
      <c r="J271" s="5">
        <v>46087</v>
      </c>
      <c r="K271" s="5">
        <v>46094</v>
      </c>
      <c r="L271" s="2" t="s">
        <v>865</v>
      </c>
      <c r="M271" s="5">
        <v>46105</v>
      </c>
      <c r="N271" s="3">
        <f>VLOOKUP(NavDataRegion[[#This Row],[Spool No]],[1]Sheet2!$B:$U,20,0)</f>
        <v>235.058826592</v>
      </c>
      <c r="O271" s="2">
        <v>11</v>
      </c>
      <c r="P271" s="2">
        <v>6</v>
      </c>
      <c r="Q271" s="2"/>
    </row>
    <row r="272" spans="1:17" ht="20.100000000000001" customHeight="1">
      <c r="A272" s="2" t="s">
        <v>9</v>
      </c>
      <c r="B272" s="2" t="s">
        <v>237</v>
      </c>
      <c r="C272" s="2" t="s">
        <v>566</v>
      </c>
      <c r="D272" s="2" t="e">
        <f>VLOOKUP(C:C,Vlookup!A:A,1,0)</f>
        <v>#N/A</v>
      </c>
      <c r="E272" s="2">
        <v>4</v>
      </c>
      <c r="F272" s="2" t="s">
        <v>567</v>
      </c>
      <c r="G272" s="2" t="s">
        <v>16</v>
      </c>
      <c r="H272" s="2" t="s">
        <v>11</v>
      </c>
      <c r="I272" s="2">
        <v>1</v>
      </c>
      <c r="J272" s="5">
        <v>46008</v>
      </c>
      <c r="K272" s="5">
        <v>46009</v>
      </c>
      <c r="L272" s="2" t="s">
        <v>865</v>
      </c>
      <c r="M272" s="5">
        <v>46090</v>
      </c>
      <c r="N272" s="3">
        <f>VLOOKUP(NavDataRegion[[#This Row],[Spool No]],[1]Sheet2!$B:$U,20,0)</f>
        <v>120.7625118</v>
      </c>
      <c r="O272" s="2">
        <v>27.5</v>
      </c>
      <c r="P272" s="2">
        <v>6</v>
      </c>
      <c r="Q272" s="2"/>
    </row>
    <row r="273" spans="1:17" ht="20.100000000000001" customHeight="1">
      <c r="A273" s="2" t="s">
        <v>9</v>
      </c>
      <c r="B273" s="2" t="s">
        <v>240</v>
      </c>
      <c r="C273" s="2" t="s">
        <v>568</v>
      </c>
      <c r="D273" s="2" t="e">
        <f>VLOOKUP(C:C,Vlookup!A:A,1,0)</f>
        <v>#N/A</v>
      </c>
      <c r="E273" s="2">
        <v>3</v>
      </c>
      <c r="F273" s="2" t="s">
        <v>569</v>
      </c>
      <c r="G273" s="2" t="s">
        <v>16</v>
      </c>
      <c r="H273" s="2" t="s">
        <v>11</v>
      </c>
      <c r="I273" s="2">
        <v>1</v>
      </c>
      <c r="J273" s="5">
        <v>46003</v>
      </c>
      <c r="K273" s="5">
        <v>46006</v>
      </c>
      <c r="L273" s="2" t="s">
        <v>865</v>
      </c>
      <c r="M273" s="5">
        <v>46090</v>
      </c>
      <c r="N273" s="3">
        <f>VLOOKUP(NavDataRegion[[#This Row],[Spool No]],[1]Sheet2!$B:$U,20,0)</f>
        <v>132.23607179999999</v>
      </c>
      <c r="O273" s="2">
        <v>27.5</v>
      </c>
      <c r="P273" s="2">
        <v>6</v>
      </c>
      <c r="Q273" s="2"/>
    </row>
    <row r="274" spans="1:17" ht="20.100000000000001" customHeight="1">
      <c r="A274" s="2" t="s">
        <v>9</v>
      </c>
      <c r="B274" s="2" t="s">
        <v>243</v>
      </c>
      <c r="C274" s="2" t="s">
        <v>570</v>
      </c>
      <c r="D274" s="2" t="e">
        <f>VLOOKUP(C:C,Vlookup!A:A,1,0)</f>
        <v>#N/A</v>
      </c>
      <c r="E274" s="2">
        <v>4</v>
      </c>
      <c r="F274" s="2" t="s">
        <v>571</v>
      </c>
      <c r="G274" s="2" t="s">
        <v>16</v>
      </c>
      <c r="H274" s="2" t="s">
        <v>11</v>
      </c>
      <c r="I274" s="2">
        <v>1</v>
      </c>
      <c r="J274" s="5">
        <v>46008</v>
      </c>
      <c r="K274" s="5">
        <v>46009</v>
      </c>
      <c r="L274" s="2" t="s">
        <v>865</v>
      </c>
      <c r="M274" s="5">
        <v>46090</v>
      </c>
      <c r="N274" s="3">
        <f>VLOOKUP(NavDataRegion[[#This Row],[Spool No]],[1]Sheet2!$B:$U,20,0)</f>
        <v>143.7378918</v>
      </c>
      <c r="O274" s="2">
        <v>27.5</v>
      </c>
      <c r="P274" s="2">
        <v>6</v>
      </c>
      <c r="Q274" s="2"/>
    </row>
    <row r="275" spans="1:17" ht="20.100000000000001" customHeight="1">
      <c r="A275" s="2" t="s">
        <v>9</v>
      </c>
      <c r="B275" s="2" t="s">
        <v>246</v>
      </c>
      <c r="C275" s="2" t="s">
        <v>572</v>
      </c>
      <c r="D275" s="2" t="e">
        <f>VLOOKUP(C:C,Vlookup!A:A,1,0)</f>
        <v>#N/A</v>
      </c>
      <c r="E275" s="2">
        <v>5</v>
      </c>
      <c r="F275" s="2" t="s">
        <v>573</v>
      </c>
      <c r="G275" s="2" t="s">
        <v>16</v>
      </c>
      <c r="H275" s="2" t="s">
        <v>11</v>
      </c>
      <c r="I275" s="2">
        <v>1</v>
      </c>
      <c r="J275" s="5">
        <v>46010</v>
      </c>
      <c r="K275" s="5">
        <v>46013</v>
      </c>
      <c r="L275" s="2" t="s">
        <v>865</v>
      </c>
      <c r="M275" s="5">
        <v>46090</v>
      </c>
      <c r="N275" s="3">
        <f>VLOOKUP(NavDataRegion[[#This Row],[Spool No]],[1]Sheet2!$B:$U,20,0)</f>
        <v>155.21145179999999</v>
      </c>
      <c r="O275" s="2">
        <v>27.5</v>
      </c>
      <c r="P275" s="2">
        <v>6</v>
      </c>
      <c r="Q275" s="2"/>
    </row>
    <row r="276" spans="1:17" ht="20.100000000000001" customHeight="1">
      <c r="A276" s="2" t="s">
        <v>9</v>
      </c>
      <c r="B276" s="2" t="s">
        <v>249</v>
      </c>
      <c r="C276" s="2" t="s">
        <v>574</v>
      </c>
      <c r="D276" s="2" t="e">
        <f>VLOOKUP(C:C,Vlookup!A:A,1,0)</f>
        <v>#N/A</v>
      </c>
      <c r="E276" s="2">
        <v>4</v>
      </c>
      <c r="F276" s="2" t="s">
        <v>575</v>
      </c>
      <c r="G276" s="2" t="s">
        <v>16</v>
      </c>
      <c r="H276" s="2" t="s">
        <v>11</v>
      </c>
      <c r="I276" s="2">
        <v>1</v>
      </c>
      <c r="J276" s="5">
        <v>46008</v>
      </c>
      <c r="K276" s="5">
        <v>46009</v>
      </c>
      <c r="L276" s="2" t="s">
        <v>865</v>
      </c>
      <c r="M276" s="5">
        <v>46090</v>
      </c>
      <c r="N276" s="3">
        <f>VLOOKUP(NavDataRegion[[#This Row],[Spool No]],[1]Sheet2!$B:$U,20,0)</f>
        <v>166.68501180000001</v>
      </c>
      <c r="O276" s="2">
        <v>27.5</v>
      </c>
      <c r="P276" s="2">
        <v>6</v>
      </c>
      <c r="Q276" s="2"/>
    </row>
    <row r="277" spans="1:17" ht="20.100000000000001" customHeight="1">
      <c r="A277" s="2" t="s">
        <v>9</v>
      </c>
      <c r="B277" s="2" t="s">
        <v>252</v>
      </c>
      <c r="C277" s="2" t="s">
        <v>576</v>
      </c>
      <c r="D277" s="2" t="e">
        <f>VLOOKUP(C:C,Vlookup!A:A,1,0)</f>
        <v>#N/A</v>
      </c>
      <c r="E277" s="2">
        <v>5</v>
      </c>
      <c r="F277" s="2" t="s">
        <v>577</v>
      </c>
      <c r="G277" s="2" t="s">
        <v>16</v>
      </c>
      <c r="H277" s="2" t="s">
        <v>11</v>
      </c>
      <c r="I277" s="2">
        <v>1</v>
      </c>
      <c r="J277" s="5">
        <v>46010</v>
      </c>
      <c r="K277" s="5">
        <v>46013</v>
      </c>
      <c r="L277" s="2" t="s">
        <v>865</v>
      </c>
      <c r="M277" s="5">
        <v>46090</v>
      </c>
      <c r="N277" s="3">
        <f>VLOOKUP(NavDataRegion[[#This Row],[Spool No]],[1]Sheet2!$B:$U,20,0)</f>
        <v>178.18683179999999</v>
      </c>
      <c r="O277" s="2">
        <v>27.5</v>
      </c>
      <c r="P277" s="2">
        <v>6</v>
      </c>
      <c r="Q277" s="2"/>
    </row>
    <row r="278" spans="1:17" ht="20.100000000000001" customHeight="1">
      <c r="A278" s="2" t="s">
        <v>9</v>
      </c>
      <c r="B278" s="2" t="s">
        <v>255</v>
      </c>
      <c r="C278" s="2" t="s">
        <v>578</v>
      </c>
      <c r="D278" s="2" t="e">
        <f>VLOOKUP(C:C,Vlookup!A:A,1,0)</f>
        <v>#N/A</v>
      </c>
      <c r="E278" s="2">
        <v>8</v>
      </c>
      <c r="F278" s="2" t="s">
        <v>579</v>
      </c>
      <c r="G278" s="2" t="s">
        <v>25</v>
      </c>
      <c r="H278" s="2" t="s">
        <v>11</v>
      </c>
      <c r="I278" s="2">
        <v>1</v>
      </c>
      <c r="J278" s="5">
        <v>46045</v>
      </c>
      <c r="K278" s="5">
        <v>46045</v>
      </c>
      <c r="L278" s="2" t="s">
        <v>865</v>
      </c>
      <c r="M278" s="5">
        <v>46091</v>
      </c>
      <c r="N278" s="3">
        <f>VLOOKUP(NavDataRegion[[#This Row],[Spool No]],[1]Sheet2!$B:$U,20,0)</f>
        <v>16.950659999999999</v>
      </c>
      <c r="O278" s="2">
        <v>12</v>
      </c>
      <c r="P278" s="2">
        <v>6</v>
      </c>
      <c r="Q278" s="2"/>
    </row>
    <row r="279" spans="1:17" ht="20.100000000000001" customHeight="1">
      <c r="A279" s="2" t="s">
        <v>9</v>
      </c>
      <c r="B279" s="2" t="s">
        <v>319</v>
      </c>
      <c r="C279" s="2" t="s">
        <v>606</v>
      </c>
      <c r="D279" s="2" t="e">
        <f>VLOOKUP(C:C,Vlookup!A:A,1,0)</f>
        <v>#N/A</v>
      </c>
      <c r="E279" s="2">
        <v>7</v>
      </c>
      <c r="F279" s="2" t="s">
        <v>10</v>
      </c>
      <c r="G279" s="2" t="s">
        <v>281</v>
      </c>
      <c r="H279" s="2" t="s">
        <v>11</v>
      </c>
      <c r="I279" s="2">
        <v>1</v>
      </c>
      <c r="J279" s="5">
        <v>46043</v>
      </c>
      <c r="K279" s="5">
        <v>46043</v>
      </c>
      <c r="L279" s="2" t="s">
        <v>865</v>
      </c>
      <c r="M279" s="5">
        <v>46091</v>
      </c>
      <c r="N279" s="3">
        <f>VLOOKUP(NavDataRegion[[#This Row],[Spool No]],[1]Sheet2!$B:$U,20,0)</f>
        <v>318.71627999999998</v>
      </c>
      <c r="O279" s="2">
        <v>6</v>
      </c>
      <c r="P279" s="2">
        <v>6</v>
      </c>
      <c r="Q279" s="2"/>
    </row>
    <row r="280" spans="1:17" ht="20.100000000000001" customHeight="1">
      <c r="A280" s="2" t="s">
        <v>9</v>
      </c>
      <c r="B280" s="2" t="s">
        <v>32</v>
      </c>
      <c r="C280" s="2" t="s">
        <v>616</v>
      </c>
      <c r="D280" s="2" t="e">
        <f>VLOOKUP(C:C,Vlookup!A:A,1,0)</f>
        <v>#N/A</v>
      </c>
      <c r="E280" s="2">
        <v>4</v>
      </c>
      <c r="F280" s="2" t="s">
        <v>10</v>
      </c>
      <c r="G280" s="2" t="s">
        <v>16</v>
      </c>
      <c r="H280" s="2" t="s">
        <v>11</v>
      </c>
      <c r="I280" s="2">
        <v>1</v>
      </c>
      <c r="J280" s="5">
        <v>46008</v>
      </c>
      <c r="K280" s="5">
        <v>46009</v>
      </c>
      <c r="L280" s="2" t="s">
        <v>865</v>
      </c>
      <c r="M280" s="5">
        <v>46090</v>
      </c>
      <c r="N280" s="3">
        <f>VLOOKUP(NavDataRegion[[#This Row],[Spool No]],[1]Sheet2!$B:$U,20,0)</f>
        <v>119.34576</v>
      </c>
      <c r="O280" s="2">
        <v>29</v>
      </c>
      <c r="P280" s="2">
        <v>6</v>
      </c>
      <c r="Q280" s="2"/>
    </row>
    <row r="281" spans="1:17" ht="20.100000000000001" customHeight="1">
      <c r="A281" s="2" t="s">
        <v>9</v>
      </c>
      <c r="B281" s="2" t="s">
        <v>36</v>
      </c>
      <c r="C281" s="2" t="s">
        <v>617</v>
      </c>
      <c r="D281" s="2" t="e">
        <f>VLOOKUP(C:C,Vlookup!A:A,1,0)</f>
        <v>#N/A</v>
      </c>
      <c r="E281" s="2">
        <v>2</v>
      </c>
      <c r="F281" s="2" t="s">
        <v>10</v>
      </c>
      <c r="G281" s="2" t="s">
        <v>16</v>
      </c>
      <c r="H281" s="2" t="s">
        <v>11</v>
      </c>
      <c r="I281" s="2">
        <v>1</v>
      </c>
      <c r="J281" s="5">
        <v>45988</v>
      </c>
      <c r="K281" s="5">
        <v>45989</v>
      </c>
      <c r="L281" s="2" t="s">
        <v>865</v>
      </c>
      <c r="M281" s="5">
        <v>46090</v>
      </c>
      <c r="N281" s="3">
        <f>VLOOKUP(NavDataRegion[[#This Row],[Spool No]],[1]Sheet2!$B:$U,20,0)</f>
        <v>119.34576</v>
      </c>
      <c r="O281" s="2">
        <v>29</v>
      </c>
      <c r="P281" s="2">
        <v>6</v>
      </c>
      <c r="Q281" s="2"/>
    </row>
    <row r="282" spans="1:17" ht="20.100000000000001" customHeight="1">
      <c r="A282" s="2" t="s">
        <v>9</v>
      </c>
      <c r="B282" s="2" t="s">
        <v>40</v>
      </c>
      <c r="C282" s="2" t="s">
        <v>618</v>
      </c>
      <c r="D282" s="2" t="e">
        <f>VLOOKUP(C:C,Vlookup!A:A,1,0)</f>
        <v>#N/A</v>
      </c>
      <c r="E282" s="2">
        <v>2</v>
      </c>
      <c r="F282" s="2" t="s">
        <v>10</v>
      </c>
      <c r="G282" s="2" t="s">
        <v>16</v>
      </c>
      <c r="H282" s="2" t="s">
        <v>11</v>
      </c>
      <c r="I282" s="2">
        <v>1</v>
      </c>
      <c r="J282" s="5">
        <v>45988</v>
      </c>
      <c r="K282" s="5">
        <v>45989</v>
      </c>
      <c r="L282" s="2" t="s">
        <v>865</v>
      </c>
      <c r="M282" s="5">
        <v>46090</v>
      </c>
      <c r="N282" s="3">
        <f>VLOOKUP(NavDataRegion[[#This Row],[Spool No]],[1]Sheet2!$B:$U,20,0)</f>
        <v>46.713679999999997</v>
      </c>
      <c r="O282" s="2">
        <v>17</v>
      </c>
      <c r="P282" s="2">
        <v>6</v>
      </c>
      <c r="Q282" s="2"/>
    </row>
    <row r="283" spans="1:17" ht="20.100000000000001" customHeight="1">
      <c r="A283" s="2" t="s">
        <v>9</v>
      </c>
      <c r="B283" s="2" t="s">
        <v>44</v>
      </c>
      <c r="C283" s="2" t="s">
        <v>619</v>
      </c>
      <c r="D283" s="2" t="e">
        <f>VLOOKUP(C:C,Vlookup!A:A,1,0)</f>
        <v>#N/A</v>
      </c>
      <c r="E283" s="2">
        <v>2</v>
      </c>
      <c r="F283" s="2" t="s">
        <v>10</v>
      </c>
      <c r="G283" s="2" t="s">
        <v>16</v>
      </c>
      <c r="H283" s="2" t="s">
        <v>11</v>
      </c>
      <c r="I283" s="2">
        <v>1</v>
      </c>
      <c r="J283" s="5">
        <v>45988</v>
      </c>
      <c r="K283" s="5">
        <v>45989</v>
      </c>
      <c r="L283" s="2" t="s">
        <v>865</v>
      </c>
      <c r="M283" s="5">
        <v>46090</v>
      </c>
      <c r="N283" s="3">
        <f>VLOOKUP(NavDataRegion[[#This Row],[Spool No]],[1]Sheet2!$B:$U,20,0)</f>
        <v>99.894959999999998</v>
      </c>
      <c r="O283" s="2">
        <v>29</v>
      </c>
      <c r="P283" s="2">
        <v>6</v>
      </c>
      <c r="Q283" s="2"/>
    </row>
    <row r="284" spans="1:17" ht="20.100000000000001" customHeight="1">
      <c r="A284" s="2" t="s">
        <v>9</v>
      </c>
      <c r="B284" s="2" t="s">
        <v>48</v>
      </c>
      <c r="C284" s="2" t="s">
        <v>620</v>
      </c>
      <c r="D284" s="2" t="e">
        <f>VLOOKUP(C:C,Vlookup!A:A,1,0)</f>
        <v>#N/A</v>
      </c>
      <c r="E284" s="2">
        <v>2</v>
      </c>
      <c r="F284" s="2" t="s">
        <v>10</v>
      </c>
      <c r="G284" s="2" t="s">
        <v>16</v>
      </c>
      <c r="H284" s="2" t="s">
        <v>11</v>
      </c>
      <c r="I284" s="2">
        <v>1</v>
      </c>
      <c r="J284" s="5">
        <v>45988</v>
      </c>
      <c r="K284" s="5">
        <v>45989</v>
      </c>
      <c r="L284" s="2" t="s">
        <v>865</v>
      </c>
      <c r="M284" s="5">
        <v>46090</v>
      </c>
      <c r="N284" s="3">
        <f>VLOOKUP(NavDataRegion[[#This Row],[Spool No]],[1]Sheet2!$B:$U,20,0)</f>
        <v>156.04758000000001</v>
      </c>
      <c r="O284" s="2">
        <v>29</v>
      </c>
      <c r="P284" s="2">
        <v>6</v>
      </c>
      <c r="Q284" s="2"/>
    </row>
    <row r="285" spans="1:17" ht="20.100000000000001" customHeight="1">
      <c r="A285" s="2" t="s">
        <v>9</v>
      </c>
      <c r="B285" s="2" t="s">
        <v>52</v>
      </c>
      <c r="C285" s="2" t="s">
        <v>621</v>
      </c>
      <c r="D285" s="2" t="e">
        <f>VLOOKUP(C:C,Vlookup!A:A,1,0)</f>
        <v>#N/A</v>
      </c>
      <c r="E285" s="2">
        <v>3</v>
      </c>
      <c r="F285" s="2" t="s">
        <v>10</v>
      </c>
      <c r="G285" s="2" t="s">
        <v>16</v>
      </c>
      <c r="H285" s="2" t="s">
        <v>11</v>
      </c>
      <c r="I285" s="2">
        <v>1</v>
      </c>
      <c r="J285" s="5">
        <v>45995</v>
      </c>
      <c r="K285" s="5">
        <v>45999</v>
      </c>
      <c r="L285" s="2" t="s">
        <v>865</v>
      </c>
      <c r="M285" s="5">
        <v>46090</v>
      </c>
      <c r="N285" s="3">
        <f>VLOOKUP(NavDataRegion[[#This Row],[Spool No]],[1]Sheet2!$B:$U,20,0)</f>
        <v>148.19756000000001</v>
      </c>
      <c r="O285" s="2">
        <v>17</v>
      </c>
      <c r="P285" s="2">
        <v>6</v>
      </c>
      <c r="Q285" s="2"/>
    </row>
    <row r="286" spans="1:17" ht="20.100000000000001" customHeight="1">
      <c r="A286" s="2" t="s">
        <v>9</v>
      </c>
      <c r="B286" s="2" t="s">
        <v>56</v>
      </c>
      <c r="C286" s="2" t="s">
        <v>622</v>
      </c>
      <c r="D286" s="2" t="e">
        <f>VLOOKUP(C:C,Vlookup!A:A,1,0)</f>
        <v>#N/A</v>
      </c>
      <c r="E286" s="2">
        <v>4</v>
      </c>
      <c r="F286" s="2" t="s">
        <v>10</v>
      </c>
      <c r="G286" s="2" t="s">
        <v>16</v>
      </c>
      <c r="H286" s="2" t="s">
        <v>11</v>
      </c>
      <c r="I286" s="2">
        <v>1</v>
      </c>
      <c r="J286" s="5">
        <v>46008</v>
      </c>
      <c r="K286" s="5">
        <v>46009</v>
      </c>
      <c r="L286" s="2" t="s">
        <v>865</v>
      </c>
      <c r="M286" s="5">
        <v>46090</v>
      </c>
      <c r="N286" s="3">
        <f>VLOOKUP(NavDataRegion[[#This Row],[Spool No]],[1]Sheet2!$B:$U,20,0)</f>
        <v>202.81226000000001</v>
      </c>
      <c r="O286" s="2">
        <v>22</v>
      </c>
      <c r="P286" s="2">
        <v>6</v>
      </c>
      <c r="Q286" s="2"/>
    </row>
    <row r="287" spans="1:17" ht="20.100000000000001" customHeight="1">
      <c r="A287" s="2" t="s">
        <v>9</v>
      </c>
      <c r="B287" s="2" t="s">
        <v>60</v>
      </c>
      <c r="C287" s="2" t="s">
        <v>623</v>
      </c>
      <c r="D287" s="2" t="e">
        <f>VLOOKUP(C:C,Vlookup!A:A,1,0)</f>
        <v>#N/A</v>
      </c>
      <c r="E287" s="2">
        <v>4</v>
      </c>
      <c r="F287" s="2" t="s">
        <v>10</v>
      </c>
      <c r="G287" s="2" t="s">
        <v>16</v>
      </c>
      <c r="H287" s="2" t="s">
        <v>11</v>
      </c>
      <c r="I287" s="2">
        <v>1</v>
      </c>
      <c r="J287" s="5">
        <v>46008</v>
      </c>
      <c r="K287" s="5">
        <v>46009</v>
      </c>
      <c r="L287" s="2" t="s">
        <v>865</v>
      </c>
      <c r="M287" s="5">
        <v>46090</v>
      </c>
      <c r="N287" s="3">
        <f>VLOOKUP(NavDataRegion[[#This Row],[Spool No]],[1]Sheet2!$B:$U,20,0)</f>
        <v>173.53963999999999</v>
      </c>
      <c r="O287" s="2">
        <v>17</v>
      </c>
      <c r="P287" s="2">
        <v>6</v>
      </c>
      <c r="Q287" s="2"/>
    </row>
    <row r="288" spans="1:17" ht="20.100000000000001" customHeight="1">
      <c r="A288" s="2" t="s">
        <v>9</v>
      </c>
      <c r="B288" s="2" t="s">
        <v>64</v>
      </c>
      <c r="C288" s="2" t="s">
        <v>624</v>
      </c>
      <c r="D288" s="2" t="e">
        <f>VLOOKUP(C:C,Vlookup!A:A,1,0)</f>
        <v>#N/A</v>
      </c>
      <c r="E288" s="2">
        <v>4</v>
      </c>
      <c r="F288" s="2" t="s">
        <v>10</v>
      </c>
      <c r="G288" s="2" t="s">
        <v>16</v>
      </c>
      <c r="H288" s="2" t="s">
        <v>11</v>
      </c>
      <c r="I288" s="2">
        <v>1</v>
      </c>
      <c r="J288" s="5">
        <v>46008</v>
      </c>
      <c r="K288" s="5">
        <v>46009</v>
      </c>
      <c r="L288" s="2" t="s">
        <v>865</v>
      </c>
      <c r="M288" s="5">
        <v>46090</v>
      </c>
      <c r="N288" s="3">
        <f>VLOOKUP(NavDataRegion[[#This Row],[Spool No]],[1]Sheet2!$B:$U,20,0)</f>
        <v>173.53963999999999</v>
      </c>
      <c r="O288" s="2">
        <v>17</v>
      </c>
      <c r="P288" s="2">
        <v>6</v>
      </c>
      <c r="Q288" s="2"/>
    </row>
    <row r="289" spans="1:17" ht="20.100000000000001" customHeight="1">
      <c r="A289" s="2" t="s">
        <v>9</v>
      </c>
      <c r="B289" s="2" t="s">
        <v>68</v>
      </c>
      <c r="C289" s="2" t="s">
        <v>625</v>
      </c>
      <c r="D289" s="2" t="e">
        <f>VLOOKUP(C:C,Vlookup!A:A,1,0)</f>
        <v>#N/A</v>
      </c>
      <c r="E289" s="2">
        <v>4</v>
      </c>
      <c r="F289" s="2" t="s">
        <v>10</v>
      </c>
      <c r="G289" s="2" t="s">
        <v>16</v>
      </c>
      <c r="H289" s="2" t="s">
        <v>11</v>
      </c>
      <c r="I289" s="2">
        <v>1</v>
      </c>
      <c r="J289" s="5">
        <v>46008</v>
      </c>
      <c r="K289" s="5">
        <v>46009</v>
      </c>
      <c r="L289" s="2" t="s">
        <v>865</v>
      </c>
      <c r="M289" s="5">
        <v>46090</v>
      </c>
      <c r="N289" s="3">
        <f>VLOOKUP(NavDataRegion[[#This Row],[Spool No]],[1]Sheet2!$B:$U,20,0)</f>
        <v>173.53963999999999</v>
      </c>
      <c r="O289" s="2">
        <v>17</v>
      </c>
      <c r="P289" s="2">
        <v>6</v>
      </c>
      <c r="Q289" s="2"/>
    </row>
    <row r="290" spans="1:17" ht="20.100000000000001" customHeight="1">
      <c r="A290" s="2" t="s">
        <v>9</v>
      </c>
      <c r="B290" s="2" t="s">
        <v>72</v>
      </c>
      <c r="C290" s="2" t="s">
        <v>626</v>
      </c>
      <c r="D290" s="2" t="e">
        <f>VLOOKUP(C:C,Vlookup!A:A,1,0)</f>
        <v>#N/A</v>
      </c>
      <c r="E290" s="2">
        <v>4</v>
      </c>
      <c r="F290" s="2" t="s">
        <v>10</v>
      </c>
      <c r="G290" s="2" t="s">
        <v>16</v>
      </c>
      <c r="H290" s="2" t="s">
        <v>11</v>
      </c>
      <c r="I290" s="2">
        <v>1</v>
      </c>
      <c r="J290" s="5">
        <v>46008</v>
      </c>
      <c r="K290" s="5">
        <v>46009</v>
      </c>
      <c r="L290" s="2" t="s">
        <v>865</v>
      </c>
      <c r="M290" s="5">
        <v>46090</v>
      </c>
      <c r="N290" s="3">
        <f>VLOOKUP(NavDataRegion[[#This Row],[Spool No]],[1]Sheet2!$B:$U,20,0)</f>
        <v>173.53963999999999</v>
      </c>
      <c r="O290" s="2">
        <v>17</v>
      </c>
      <c r="P290" s="2">
        <v>6</v>
      </c>
      <c r="Q290" s="2"/>
    </row>
    <row r="291" spans="1:17" ht="20.100000000000001" customHeight="1">
      <c r="A291" s="2" t="s">
        <v>9</v>
      </c>
      <c r="B291" s="2" t="s">
        <v>76</v>
      </c>
      <c r="C291" s="2" t="s">
        <v>627</v>
      </c>
      <c r="D291" s="2" t="e">
        <f>VLOOKUP(C:C,Vlookup!A:A,1,0)</f>
        <v>#N/A</v>
      </c>
      <c r="E291" s="2">
        <v>4</v>
      </c>
      <c r="F291" s="2" t="s">
        <v>10</v>
      </c>
      <c r="G291" s="2" t="s">
        <v>16</v>
      </c>
      <c r="H291" s="2" t="s">
        <v>11</v>
      </c>
      <c r="I291" s="2">
        <v>1</v>
      </c>
      <c r="J291" s="5">
        <v>46008</v>
      </c>
      <c r="K291" s="5">
        <v>46009</v>
      </c>
      <c r="L291" s="2" t="s">
        <v>865</v>
      </c>
      <c r="M291" s="5">
        <v>46090</v>
      </c>
      <c r="N291" s="3">
        <f>VLOOKUP(NavDataRegion[[#This Row],[Spool No]],[1]Sheet2!$B:$U,20,0)</f>
        <v>173.53963999999999</v>
      </c>
      <c r="O291" s="2">
        <v>17</v>
      </c>
      <c r="P291" s="2">
        <v>6</v>
      </c>
      <c r="Q291" s="2"/>
    </row>
    <row r="292" spans="1:17" ht="20.100000000000001" customHeight="1">
      <c r="A292" s="2" t="s">
        <v>9</v>
      </c>
      <c r="B292" s="2" t="s">
        <v>80</v>
      </c>
      <c r="C292" s="2" t="s">
        <v>628</v>
      </c>
      <c r="D292" s="2" t="e">
        <f>VLOOKUP(C:C,Vlookup!A:A,1,0)</f>
        <v>#N/A</v>
      </c>
      <c r="E292" s="2">
        <v>5</v>
      </c>
      <c r="F292" s="2" t="s">
        <v>10</v>
      </c>
      <c r="G292" s="2" t="s">
        <v>16</v>
      </c>
      <c r="H292" s="2" t="s">
        <v>11</v>
      </c>
      <c r="I292" s="2">
        <v>1</v>
      </c>
      <c r="J292" s="5">
        <v>46015</v>
      </c>
      <c r="K292" s="5">
        <v>46016</v>
      </c>
      <c r="L292" s="2" t="s">
        <v>865</v>
      </c>
      <c r="M292" s="5">
        <v>46090</v>
      </c>
      <c r="N292" s="3">
        <f>VLOOKUP(NavDataRegion[[#This Row],[Spool No]],[1]Sheet2!$B:$U,20,0)</f>
        <v>173.53963999999999</v>
      </c>
      <c r="O292" s="2">
        <v>17</v>
      </c>
      <c r="P292" s="2">
        <v>6</v>
      </c>
      <c r="Q292" s="2"/>
    </row>
    <row r="293" spans="1:17" ht="20.100000000000001" customHeight="1">
      <c r="A293" s="2" t="s">
        <v>9</v>
      </c>
      <c r="B293" s="2" t="s">
        <v>84</v>
      </c>
      <c r="C293" s="2" t="s">
        <v>629</v>
      </c>
      <c r="D293" s="2" t="e">
        <f>VLOOKUP(C:C,Vlookup!A:A,1,0)</f>
        <v>#N/A</v>
      </c>
      <c r="E293" s="2">
        <v>3</v>
      </c>
      <c r="F293" s="2" t="s">
        <v>10</v>
      </c>
      <c r="G293" s="2" t="s">
        <v>16</v>
      </c>
      <c r="H293" s="2" t="s">
        <v>11</v>
      </c>
      <c r="I293" s="2">
        <v>1</v>
      </c>
      <c r="J293" s="5">
        <v>46003</v>
      </c>
      <c r="K293" s="5">
        <v>46006</v>
      </c>
      <c r="L293" s="2" t="s">
        <v>865</v>
      </c>
      <c r="M293" s="5">
        <v>46090</v>
      </c>
      <c r="N293" s="3">
        <f>VLOOKUP(NavDataRegion[[#This Row],[Spool No]],[1]Sheet2!$B:$U,20,0)</f>
        <v>173.53963999999999</v>
      </c>
      <c r="O293" s="2">
        <v>17</v>
      </c>
      <c r="P293" s="2">
        <v>6</v>
      </c>
      <c r="Q293" s="2"/>
    </row>
    <row r="294" spans="1:17" ht="20.100000000000001" customHeight="1">
      <c r="A294" s="2" t="s">
        <v>9</v>
      </c>
      <c r="B294" s="2" t="s">
        <v>88</v>
      </c>
      <c r="C294" s="2" t="s">
        <v>630</v>
      </c>
      <c r="D294" s="2" t="e">
        <f>VLOOKUP(C:C,Vlookup!A:A,1,0)</f>
        <v>#N/A</v>
      </c>
      <c r="E294" s="2">
        <v>4</v>
      </c>
      <c r="F294" s="2" t="s">
        <v>10</v>
      </c>
      <c r="G294" s="2" t="s">
        <v>16</v>
      </c>
      <c r="H294" s="2" t="s">
        <v>11</v>
      </c>
      <c r="I294" s="2">
        <v>1</v>
      </c>
      <c r="J294" s="5">
        <v>46008</v>
      </c>
      <c r="K294" s="5">
        <v>46009</v>
      </c>
      <c r="L294" s="2" t="s">
        <v>865</v>
      </c>
      <c r="M294" s="5">
        <v>46090</v>
      </c>
      <c r="N294" s="3">
        <f>VLOOKUP(NavDataRegion[[#This Row],[Spool No]],[1]Sheet2!$B:$U,20,0)</f>
        <v>173.53963999999999</v>
      </c>
      <c r="O294" s="2">
        <v>17</v>
      </c>
      <c r="P294" s="2">
        <v>6</v>
      </c>
      <c r="Q294" s="2"/>
    </row>
    <row r="295" spans="1:17" ht="20.100000000000001" customHeight="1">
      <c r="A295" s="2" t="s">
        <v>9</v>
      </c>
      <c r="B295" s="2" t="s">
        <v>92</v>
      </c>
      <c r="C295" s="2" t="s">
        <v>631</v>
      </c>
      <c r="D295" s="2" t="e">
        <f>VLOOKUP(C:C,Vlookup!A:A,1,0)</f>
        <v>#N/A</v>
      </c>
      <c r="E295" s="2">
        <v>2</v>
      </c>
      <c r="F295" s="2" t="s">
        <v>10</v>
      </c>
      <c r="G295" s="2" t="s">
        <v>16</v>
      </c>
      <c r="H295" s="2" t="s">
        <v>11</v>
      </c>
      <c r="I295" s="2">
        <v>1</v>
      </c>
      <c r="J295" s="5">
        <v>45988</v>
      </c>
      <c r="K295" s="5">
        <v>45989</v>
      </c>
      <c r="L295" s="2" t="s">
        <v>865</v>
      </c>
      <c r="M295" s="5">
        <v>46090</v>
      </c>
      <c r="N295" s="3">
        <f>VLOOKUP(NavDataRegion[[#This Row],[Spool No]],[1]Sheet2!$B:$U,20,0)</f>
        <v>173.53963999999999</v>
      </c>
      <c r="O295" s="2">
        <v>17</v>
      </c>
      <c r="P295" s="2">
        <v>6</v>
      </c>
      <c r="Q295" s="2"/>
    </row>
    <row r="296" spans="1:17" ht="20.100000000000001" customHeight="1">
      <c r="A296" s="2" t="s">
        <v>9</v>
      </c>
      <c r="B296" s="2" t="s">
        <v>96</v>
      </c>
      <c r="C296" s="2" t="s">
        <v>632</v>
      </c>
      <c r="D296" s="2" t="e">
        <f>VLOOKUP(C:C,Vlookup!A:A,1,0)</f>
        <v>#N/A</v>
      </c>
      <c r="E296" s="2">
        <v>2</v>
      </c>
      <c r="F296" s="2" t="s">
        <v>10</v>
      </c>
      <c r="G296" s="2" t="s">
        <v>16</v>
      </c>
      <c r="H296" s="2" t="s">
        <v>11</v>
      </c>
      <c r="I296" s="2">
        <v>1</v>
      </c>
      <c r="J296" s="5">
        <v>45988</v>
      </c>
      <c r="K296" s="5">
        <v>45989</v>
      </c>
      <c r="L296" s="2" t="s">
        <v>865</v>
      </c>
      <c r="M296" s="5">
        <v>46090</v>
      </c>
      <c r="N296" s="3">
        <f>VLOOKUP(NavDataRegion[[#This Row],[Spool No]],[1]Sheet2!$B:$U,20,0)</f>
        <v>173.5771152728</v>
      </c>
      <c r="O296" s="2">
        <v>17</v>
      </c>
      <c r="P296" s="2">
        <v>6</v>
      </c>
      <c r="Q296" s="2"/>
    </row>
    <row r="297" spans="1:17" ht="20.100000000000001" customHeight="1">
      <c r="A297" s="2" t="s">
        <v>9</v>
      </c>
      <c r="B297" s="2" t="s">
        <v>100</v>
      </c>
      <c r="C297" s="2" t="s">
        <v>633</v>
      </c>
      <c r="D297" s="2" t="e">
        <f>VLOOKUP(C:C,Vlookup!A:A,1,0)</f>
        <v>#N/A</v>
      </c>
      <c r="E297" s="2">
        <v>2</v>
      </c>
      <c r="F297" s="2" t="s">
        <v>10</v>
      </c>
      <c r="G297" s="2" t="s">
        <v>16</v>
      </c>
      <c r="H297" s="2" t="s">
        <v>11</v>
      </c>
      <c r="I297" s="2">
        <v>1</v>
      </c>
      <c r="J297" s="5">
        <v>45988</v>
      </c>
      <c r="K297" s="5">
        <v>45989</v>
      </c>
      <c r="L297" s="2" t="s">
        <v>865</v>
      </c>
      <c r="M297" s="5">
        <v>46090</v>
      </c>
      <c r="N297" s="3">
        <f>VLOOKUP(NavDataRegion[[#This Row],[Spool No]],[1]Sheet2!$B:$U,20,0)</f>
        <v>173.53963999999999</v>
      </c>
      <c r="O297" s="2">
        <v>17</v>
      </c>
      <c r="P297" s="2">
        <v>6</v>
      </c>
      <c r="Q297" s="2"/>
    </row>
    <row r="298" spans="1:17" ht="20.100000000000001" customHeight="1">
      <c r="A298" s="2" t="s">
        <v>9</v>
      </c>
      <c r="B298" s="2" t="s">
        <v>104</v>
      </c>
      <c r="C298" s="2" t="s">
        <v>634</v>
      </c>
      <c r="D298" s="2" t="e">
        <f>VLOOKUP(C:C,Vlookup!A:A,1,0)</f>
        <v>#N/A</v>
      </c>
      <c r="E298" s="2">
        <v>2</v>
      </c>
      <c r="F298" s="2" t="s">
        <v>10</v>
      </c>
      <c r="G298" s="2" t="s">
        <v>16</v>
      </c>
      <c r="H298" s="2" t="s">
        <v>11</v>
      </c>
      <c r="I298" s="2">
        <v>1</v>
      </c>
      <c r="J298" s="5">
        <v>45988</v>
      </c>
      <c r="K298" s="5">
        <v>45989</v>
      </c>
      <c r="L298" s="2" t="s">
        <v>865</v>
      </c>
      <c r="M298" s="5">
        <v>46090</v>
      </c>
      <c r="N298" s="3">
        <f>VLOOKUP(NavDataRegion[[#This Row],[Spool No]],[1]Sheet2!$B:$U,20,0)</f>
        <v>173.53963999999999</v>
      </c>
      <c r="O298" s="2">
        <v>17</v>
      </c>
      <c r="P298" s="2">
        <v>6</v>
      </c>
      <c r="Q298" s="2"/>
    </row>
    <row r="299" spans="1:17" ht="20.100000000000001" customHeight="1">
      <c r="A299" s="2" t="s">
        <v>9</v>
      </c>
      <c r="B299" s="2" t="s">
        <v>108</v>
      </c>
      <c r="C299" s="2" t="s">
        <v>635</v>
      </c>
      <c r="D299" s="2" t="e">
        <f>VLOOKUP(C:C,Vlookup!A:A,1,0)</f>
        <v>#N/A</v>
      </c>
      <c r="E299" s="2">
        <v>4</v>
      </c>
      <c r="F299" s="2" t="s">
        <v>10</v>
      </c>
      <c r="G299" s="2" t="s">
        <v>16</v>
      </c>
      <c r="H299" s="2" t="s">
        <v>11</v>
      </c>
      <c r="I299" s="2">
        <v>1</v>
      </c>
      <c r="J299" s="5">
        <v>46008</v>
      </c>
      <c r="K299" s="5">
        <v>46009</v>
      </c>
      <c r="L299" s="2" t="s">
        <v>865</v>
      </c>
      <c r="M299" s="5">
        <v>46090</v>
      </c>
      <c r="N299" s="3">
        <f>VLOOKUP(NavDataRegion[[#This Row],[Spool No]],[1]Sheet2!$B:$U,20,0)</f>
        <v>173.53963999999999</v>
      </c>
      <c r="O299" s="2">
        <v>17</v>
      </c>
      <c r="P299" s="2">
        <v>6</v>
      </c>
      <c r="Q299" s="2"/>
    </row>
    <row r="300" spans="1:17" ht="20.100000000000001" customHeight="1">
      <c r="A300" s="2" t="s">
        <v>9</v>
      </c>
      <c r="B300" s="2" t="s">
        <v>112</v>
      </c>
      <c r="C300" s="2" t="s">
        <v>636</v>
      </c>
      <c r="D300" s="2" t="e">
        <f>VLOOKUP(C:C,Vlookup!A:A,1,0)</f>
        <v>#N/A</v>
      </c>
      <c r="E300" s="2">
        <v>4</v>
      </c>
      <c r="F300" s="2" t="s">
        <v>10</v>
      </c>
      <c r="G300" s="2" t="s">
        <v>16</v>
      </c>
      <c r="H300" s="2" t="s">
        <v>11</v>
      </c>
      <c r="I300" s="2">
        <v>1</v>
      </c>
      <c r="J300" s="5">
        <v>46008</v>
      </c>
      <c r="K300" s="5">
        <v>46009</v>
      </c>
      <c r="L300" s="2" t="s">
        <v>865</v>
      </c>
      <c r="M300" s="5">
        <v>46090</v>
      </c>
      <c r="N300" s="3">
        <f>VLOOKUP(NavDataRegion[[#This Row],[Spool No]],[1]Sheet2!$B:$U,20,0)</f>
        <v>173.53963999999999</v>
      </c>
      <c r="O300" s="2">
        <v>17</v>
      </c>
      <c r="P300" s="2">
        <v>6</v>
      </c>
      <c r="Q300" s="2"/>
    </row>
    <row r="301" spans="1:17" ht="20.100000000000001" customHeight="1">
      <c r="A301" s="2" t="s">
        <v>9</v>
      </c>
      <c r="B301" s="2" t="s">
        <v>116</v>
      </c>
      <c r="C301" s="2" t="s">
        <v>637</v>
      </c>
      <c r="D301" s="2" t="e">
        <f>VLOOKUP(C:C,Vlookup!A:A,1,0)</f>
        <v>#N/A</v>
      </c>
      <c r="E301" s="2">
        <v>4</v>
      </c>
      <c r="F301" s="2" t="s">
        <v>10</v>
      </c>
      <c r="G301" s="2" t="s">
        <v>16</v>
      </c>
      <c r="H301" s="2" t="s">
        <v>11</v>
      </c>
      <c r="I301" s="2">
        <v>1</v>
      </c>
      <c r="J301" s="5">
        <v>46008</v>
      </c>
      <c r="K301" s="5">
        <v>46009</v>
      </c>
      <c r="L301" s="2" t="s">
        <v>865</v>
      </c>
      <c r="M301" s="5">
        <v>46090</v>
      </c>
      <c r="N301" s="3">
        <f>VLOOKUP(NavDataRegion[[#This Row],[Spool No]],[1]Sheet2!$B:$U,20,0)</f>
        <v>202.81226000000001</v>
      </c>
      <c r="O301" s="2">
        <v>22</v>
      </c>
      <c r="P301" s="2">
        <v>6</v>
      </c>
      <c r="Q301" s="2"/>
    </row>
    <row r="302" spans="1:17" ht="20.100000000000001" customHeight="1">
      <c r="A302" s="2" t="s">
        <v>9</v>
      </c>
      <c r="B302" s="2" t="s">
        <v>120</v>
      </c>
      <c r="C302" s="2" t="s">
        <v>638</v>
      </c>
      <c r="D302" s="2" t="e">
        <f>VLOOKUP(C:C,Vlookup!A:A,1,0)</f>
        <v>#N/A</v>
      </c>
      <c r="E302" s="2">
        <v>9</v>
      </c>
      <c r="F302" s="2" t="s">
        <v>10</v>
      </c>
      <c r="G302" s="2" t="s">
        <v>16</v>
      </c>
      <c r="H302" s="2" t="s">
        <v>11</v>
      </c>
      <c r="I302" s="2">
        <v>1</v>
      </c>
      <c r="J302" s="5">
        <v>46049</v>
      </c>
      <c r="K302" s="5">
        <v>46050</v>
      </c>
      <c r="L302" s="2" t="s">
        <v>865</v>
      </c>
      <c r="M302" s="5">
        <v>46091</v>
      </c>
      <c r="N302" s="3">
        <f>VLOOKUP(NavDataRegion[[#This Row],[Spool No]],[1]Sheet2!$B:$U,20,0)</f>
        <v>148.22490060800001</v>
      </c>
      <c r="O302" s="2">
        <v>17</v>
      </c>
      <c r="P302" s="2">
        <v>6</v>
      </c>
      <c r="Q302" s="2"/>
    </row>
    <row r="303" spans="1:17" ht="20.100000000000001" customHeight="1">
      <c r="A303" s="2" t="s">
        <v>9</v>
      </c>
      <c r="B303" s="2" t="s">
        <v>124</v>
      </c>
      <c r="C303" s="2" t="s">
        <v>639</v>
      </c>
      <c r="D303" s="2" t="e">
        <f>VLOOKUP(C:C,Vlookup!A:A,1,0)</f>
        <v>#N/A</v>
      </c>
      <c r="E303" s="2">
        <v>2</v>
      </c>
      <c r="F303" s="2" t="s">
        <v>10</v>
      </c>
      <c r="G303" s="2" t="s">
        <v>25</v>
      </c>
      <c r="H303" s="2" t="s">
        <v>11</v>
      </c>
      <c r="I303" s="2">
        <v>1</v>
      </c>
      <c r="J303" s="5">
        <v>45988</v>
      </c>
      <c r="K303" s="5">
        <v>45989</v>
      </c>
      <c r="L303" s="2" t="s">
        <v>865</v>
      </c>
      <c r="M303" s="5">
        <v>46090</v>
      </c>
      <c r="N303" s="3">
        <f>VLOOKUP(NavDataRegion[[#This Row],[Spool No]],[1]Sheet2!$B:$U,20,0)</f>
        <v>53.17906</v>
      </c>
      <c r="O303" s="2">
        <v>6</v>
      </c>
      <c r="P303" s="2">
        <v>6</v>
      </c>
      <c r="Q303" s="2"/>
    </row>
    <row r="304" spans="1:17" ht="20.100000000000001" customHeight="1">
      <c r="A304" s="2" t="s">
        <v>9</v>
      </c>
      <c r="B304" s="2" t="s">
        <v>128</v>
      </c>
      <c r="C304" s="2" t="s">
        <v>640</v>
      </c>
      <c r="D304" s="2" t="e">
        <f>VLOOKUP(C:C,Vlookup!A:A,1,0)</f>
        <v>#N/A</v>
      </c>
      <c r="E304" s="2">
        <v>2</v>
      </c>
      <c r="F304" s="2" t="s">
        <v>10</v>
      </c>
      <c r="G304" s="2" t="s">
        <v>25</v>
      </c>
      <c r="H304" s="2" t="s">
        <v>11</v>
      </c>
      <c r="I304" s="2">
        <v>1</v>
      </c>
      <c r="J304" s="5">
        <v>45988</v>
      </c>
      <c r="K304" s="5">
        <v>45989</v>
      </c>
      <c r="L304" s="2" t="s">
        <v>865</v>
      </c>
      <c r="M304" s="5">
        <v>46090</v>
      </c>
      <c r="N304" s="3">
        <f>VLOOKUP(NavDataRegion[[#This Row],[Spool No]],[1]Sheet2!$B:$U,20,0)</f>
        <v>40.264240000000001</v>
      </c>
      <c r="O304" s="2">
        <v>6</v>
      </c>
      <c r="P304" s="2">
        <v>6</v>
      </c>
      <c r="Q304" s="2"/>
    </row>
    <row r="305" spans="1:17" ht="20.100000000000001" customHeight="1">
      <c r="A305" s="2" t="s">
        <v>9</v>
      </c>
      <c r="B305" s="2" t="s">
        <v>132</v>
      </c>
      <c r="C305" s="2" t="s">
        <v>641</v>
      </c>
      <c r="D305" s="2" t="e">
        <f>VLOOKUP(C:C,Vlookup!A:A,1,0)</f>
        <v>#N/A</v>
      </c>
      <c r="E305" s="2">
        <v>2</v>
      </c>
      <c r="F305" s="2" t="s">
        <v>10</v>
      </c>
      <c r="G305" s="2" t="s">
        <v>25</v>
      </c>
      <c r="H305" s="2" t="s">
        <v>11</v>
      </c>
      <c r="I305" s="2">
        <v>1</v>
      </c>
      <c r="J305" s="5">
        <v>45988</v>
      </c>
      <c r="K305" s="5">
        <v>45989</v>
      </c>
      <c r="L305" s="2" t="s">
        <v>865</v>
      </c>
      <c r="M305" s="5">
        <v>46090</v>
      </c>
      <c r="N305" s="3">
        <f>VLOOKUP(NavDataRegion[[#This Row],[Spool No]],[1]Sheet2!$B:$U,20,0)</f>
        <v>27.349419999999999</v>
      </c>
      <c r="O305" s="2">
        <v>6</v>
      </c>
      <c r="P305" s="2">
        <v>6</v>
      </c>
      <c r="Q305" s="2"/>
    </row>
    <row r="306" spans="1:17" ht="20.100000000000001" customHeight="1">
      <c r="A306" s="2" t="s">
        <v>9</v>
      </c>
      <c r="B306" s="2" t="s">
        <v>136</v>
      </c>
      <c r="C306" s="2" t="s">
        <v>642</v>
      </c>
      <c r="D306" s="2" t="e">
        <f>VLOOKUP(C:C,Vlookup!A:A,1,0)</f>
        <v>#N/A</v>
      </c>
      <c r="E306" s="2">
        <v>2</v>
      </c>
      <c r="F306" s="2" t="s">
        <v>10</v>
      </c>
      <c r="G306" s="2" t="s">
        <v>25</v>
      </c>
      <c r="H306" s="2" t="s">
        <v>11</v>
      </c>
      <c r="I306" s="2">
        <v>1</v>
      </c>
      <c r="J306" s="5">
        <v>45988</v>
      </c>
      <c r="K306" s="5">
        <v>45989</v>
      </c>
      <c r="L306" s="2" t="s">
        <v>865</v>
      </c>
      <c r="M306" s="5">
        <v>46090</v>
      </c>
      <c r="N306" s="3">
        <f>VLOOKUP(NavDataRegion[[#This Row],[Spool No]],[1]Sheet2!$B:$U,20,0)</f>
        <v>71.180679999999995</v>
      </c>
      <c r="O306" s="2">
        <v>6</v>
      </c>
      <c r="P306" s="2">
        <v>6</v>
      </c>
      <c r="Q306" s="2"/>
    </row>
    <row r="307" spans="1:17" ht="20.100000000000001" customHeight="1">
      <c r="A307" s="2" t="s">
        <v>9</v>
      </c>
      <c r="B307" s="2" t="s">
        <v>140</v>
      </c>
      <c r="C307" s="2" t="s">
        <v>643</v>
      </c>
      <c r="D307" s="2" t="e">
        <f>VLOOKUP(C:C,Vlookup!A:A,1,0)</f>
        <v>#N/A</v>
      </c>
      <c r="E307" s="2">
        <v>2</v>
      </c>
      <c r="F307" s="2" t="s">
        <v>10</v>
      </c>
      <c r="G307" s="2" t="s">
        <v>25</v>
      </c>
      <c r="H307" s="2" t="s">
        <v>11</v>
      </c>
      <c r="I307" s="2">
        <v>1</v>
      </c>
      <c r="J307" s="5">
        <v>45988</v>
      </c>
      <c r="K307" s="5">
        <v>45989</v>
      </c>
      <c r="L307" s="2" t="s">
        <v>865</v>
      </c>
      <c r="M307" s="5">
        <v>46090</v>
      </c>
      <c r="N307" s="3">
        <f>VLOOKUP(NavDataRegion[[#This Row],[Spool No]],[1]Sheet2!$B:$U,20,0)</f>
        <v>71.180679999999995</v>
      </c>
      <c r="O307" s="2">
        <v>6</v>
      </c>
      <c r="P307" s="2">
        <v>6</v>
      </c>
      <c r="Q307" s="2"/>
    </row>
    <row r="308" spans="1:17" ht="20.100000000000001" customHeight="1">
      <c r="A308" s="2" t="s">
        <v>9</v>
      </c>
      <c r="B308" s="2" t="s">
        <v>266</v>
      </c>
      <c r="C308" s="2" t="s">
        <v>583</v>
      </c>
      <c r="D308" s="2" t="e">
        <f>VLOOKUP(C:C,Vlookup!A:A,1,0)</f>
        <v>#N/A</v>
      </c>
      <c r="E308" s="2">
        <v>1</v>
      </c>
      <c r="F308" s="2" t="s">
        <v>10</v>
      </c>
      <c r="G308" s="2" t="s">
        <v>25</v>
      </c>
      <c r="H308" s="2" t="s">
        <v>11</v>
      </c>
      <c r="I308" s="2">
        <v>1</v>
      </c>
      <c r="J308" s="5">
        <v>45975</v>
      </c>
      <c r="K308" s="5">
        <v>45764</v>
      </c>
      <c r="L308" s="2" t="s">
        <v>865</v>
      </c>
      <c r="M308" s="5">
        <v>46090</v>
      </c>
      <c r="N308" s="3">
        <f>VLOOKUP(NavDataRegion[[#This Row],[Spool No]],[1]Sheet2!$B:$U,20,0)</f>
        <v>572.40572999999995</v>
      </c>
      <c r="O308" s="2">
        <v>24</v>
      </c>
      <c r="P308" s="2">
        <v>12</v>
      </c>
      <c r="Q308" s="2"/>
    </row>
    <row r="309" spans="1:17" ht="20.100000000000001" customHeight="1">
      <c r="A309" s="2" t="s">
        <v>9</v>
      </c>
      <c r="B309" s="2" t="s">
        <v>174</v>
      </c>
      <c r="C309" s="2" t="s">
        <v>652</v>
      </c>
      <c r="D309" s="2" t="e">
        <f>VLOOKUP(C:C,Vlookup!A:A,1,0)</f>
        <v>#N/A</v>
      </c>
      <c r="E309" s="2">
        <v>2</v>
      </c>
      <c r="F309" s="2" t="s">
        <v>653</v>
      </c>
      <c r="G309" s="2" t="s">
        <v>25</v>
      </c>
      <c r="H309" s="2" t="s">
        <v>11</v>
      </c>
      <c r="I309" s="2">
        <v>1</v>
      </c>
      <c r="J309" s="5">
        <v>45988</v>
      </c>
      <c r="K309" s="5">
        <v>45989</v>
      </c>
      <c r="L309" s="2" t="s">
        <v>865</v>
      </c>
      <c r="M309" s="5">
        <v>46090</v>
      </c>
      <c r="N309" s="3">
        <f>VLOOKUP(NavDataRegion[[#This Row],[Spool No]],[1]Sheet2!$B:$U,20,0)</f>
        <v>370.62619000000001</v>
      </c>
      <c r="O309" s="2">
        <v>24</v>
      </c>
      <c r="P309" s="2">
        <v>6</v>
      </c>
      <c r="Q309" s="2"/>
    </row>
    <row r="310" spans="1:17" ht="20.100000000000001" customHeight="1">
      <c r="A310" s="2" t="s">
        <v>9</v>
      </c>
      <c r="B310" s="2" t="s">
        <v>223</v>
      </c>
      <c r="C310" s="2" t="s">
        <v>560</v>
      </c>
      <c r="D310" s="2" t="e">
        <f>VLOOKUP(C:C,Vlookup!A:A,1,0)</f>
        <v>#N/A</v>
      </c>
      <c r="E310" s="2">
        <v>13</v>
      </c>
      <c r="F310" s="2" t="s">
        <v>10</v>
      </c>
      <c r="G310" s="2" t="s">
        <v>16</v>
      </c>
      <c r="H310" s="2" t="s">
        <v>11</v>
      </c>
      <c r="I310" s="2">
        <v>1</v>
      </c>
      <c r="J310" s="5">
        <v>46087</v>
      </c>
      <c r="K310" s="5">
        <v>46094</v>
      </c>
      <c r="L310" s="2" t="s">
        <v>865</v>
      </c>
      <c r="M310" s="5">
        <v>46105</v>
      </c>
      <c r="N310" s="3">
        <f>VLOOKUP(NavDataRegion[[#This Row],[Spool No]],[1]Sheet2!$B:$U,20,0)</f>
        <v>121.755349528</v>
      </c>
      <c r="O310" s="2">
        <v>11</v>
      </c>
      <c r="P310" s="2">
        <v>6</v>
      </c>
      <c r="Q310" s="2"/>
    </row>
    <row r="311" spans="1:17" ht="20.100000000000001" customHeight="1">
      <c r="A311" s="2" t="s">
        <v>9</v>
      </c>
      <c r="B311" s="2" t="s">
        <v>237</v>
      </c>
      <c r="C311" s="2" t="s">
        <v>669</v>
      </c>
      <c r="D311" s="2" t="e">
        <f>VLOOKUP(C:C,Vlookup!A:A,1,0)</f>
        <v>#N/A</v>
      </c>
      <c r="E311" s="2">
        <v>3</v>
      </c>
      <c r="F311" s="2" t="s">
        <v>670</v>
      </c>
      <c r="G311" s="2" t="s">
        <v>16</v>
      </c>
      <c r="H311" s="2" t="s">
        <v>11</v>
      </c>
      <c r="I311" s="2">
        <v>1</v>
      </c>
      <c r="J311" s="5">
        <v>46003</v>
      </c>
      <c r="K311" s="5">
        <v>46006</v>
      </c>
      <c r="L311" s="2" t="s">
        <v>865</v>
      </c>
      <c r="M311" s="5">
        <v>46090</v>
      </c>
      <c r="N311" s="3">
        <f>VLOOKUP(NavDataRegion[[#This Row],[Spool No]],[1]Sheet2!$B:$U,20,0)</f>
        <v>92.688760000000002</v>
      </c>
      <c r="O311" s="2">
        <v>27.5</v>
      </c>
      <c r="P311" s="2">
        <v>6</v>
      </c>
      <c r="Q311" s="2"/>
    </row>
    <row r="312" spans="1:17" ht="20.100000000000001" customHeight="1">
      <c r="A312" s="2" t="s">
        <v>9</v>
      </c>
      <c r="B312" s="2" t="s">
        <v>240</v>
      </c>
      <c r="C312" s="2" t="s">
        <v>671</v>
      </c>
      <c r="D312" s="2" t="e">
        <f>VLOOKUP(C:C,Vlookup!A:A,1,0)</f>
        <v>#N/A</v>
      </c>
      <c r="E312" s="2">
        <v>3</v>
      </c>
      <c r="F312" s="2" t="s">
        <v>672</v>
      </c>
      <c r="G312" s="2" t="s">
        <v>16</v>
      </c>
      <c r="H312" s="2" t="s">
        <v>11</v>
      </c>
      <c r="I312" s="2">
        <v>1</v>
      </c>
      <c r="J312" s="5">
        <v>46003</v>
      </c>
      <c r="K312" s="5">
        <v>46006</v>
      </c>
      <c r="L312" s="2" t="s">
        <v>865</v>
      </c>
      <c r="M312" s="5">
        <v>46090</v>
      </c>
      <c r="N312" s="3">
        <f>VLOOKUP(NavDataRegion[[#This Row],[Spool No]],[1]Sheet2!$B:$U,20,0)</f>
        <v>147.296300608</v>
      </c>
      <c r="O312" s="2">
        <v>27.5</v>
      </c>
      <c r="P312" s="2">
        <v>6</v>
      </c>
      <c r="Q312" s="2"/>
    </row>
    <row r="313" spans="1:17" ht="20.100000000000001" customHeight="1">
      <c r="A313" s="2" t="s">
        <v>9</v>
      </c>
      <c r="B313" s="2" t="s">
        <v>243</v>
      </c>
      <c r="C313" s="2" t="s">
        <v>673</v>
      </c>
      <c r="D313" s="2" t="e">
        <f>VLOOKUP(C:C,Vlookup!A:A,1,0)</f>
        <v>#N/A</v>
      </c>
      <c r="E313" s="2">
        <v>3</v>
      </c>
      <c r="F313" s="2" t="s">
        <v>674</v>
      </c>
      <c r="G313" s="2" t="s">
        <v>16</v>
      </c>
      <c r="H313" s="2" t="s">
        <v>11</v>
      </c>
      <c r="I313" s="2">
        <v>1</v>
      </c>
      <c r="J313" s="5">
        <v>46003</v>
      </c>
      <c r="K313" s="5">
        <v>46006</v>
      </c>
      <c r="L313" s="2" t="s">
        <v>865</v>
      </c>
      <c r="M313" s="5">
        <v>46090</v>
      </c>
      <c r="N313" s="3">
        <f>VLOOKUP(NavDataRegion[[#This Row],[Spool No]],[1]Sheet2!$B:$U,20,0)</f>
        <v>144.413780608</v>
      </c>
      <c r="O313" s="2">
        <v>27.5</v>
      </c>
      <c r="P313" s="2">
        <v>6</v>
      </c>
      <c r="Q313" s="2"/>
    </row>
    <row r="314" spans="1:17" ht="20.100000000000001" customHeight="1">
      <c r="A314" s="2" t="s">
        <v>9</v>
      </c>
      <c r="B314" s="2" t="s">
        <v>246</v>
      </c>
      <c r="C314" s="2" t="s">
        <v>675</v>
      </c>
      <c r="D314" s="2" t="e">
        <f>VLOOKUP(C:C,Vlookup!A:A,1,0)</f>
        <v>#N/A</v>
      </c>
      <c r="E314" s="2">
        <v>4</v>
      </c>
      <c r="F314" s="2" t="s">
        <v>676</v>
      </c>
      <c r="G314" s="2" t="s">
        <v>16</v>
      </c>
      <c r="H314" s="2" t="s">
        <v>11</v>
      </c>
      <c r="I314" s="2">
        <v>1</v>
      </c>
      <c r="J314" s="5">
        <v>46008</v>
      </c>
      <c r="K314" s="5">
        <v>46009</v>
      </c>
      <c r="L314" s="2" t="s">
        <v>865</v>
      </c>
      <c r="M314" s="5">
        <v>46090</v>
      </c>
      <c r="N314" s="3">
        <f>VLOOKUP(NavDataRegion[[#This Row],[Spool No]],[1]Sheet2!$B:$U,20,0)</f>
        <v>141.531260608</v>
      </c>
      <c r="O314" s="2">
        <v>27.5</v>
      </c>
      <c r="P314" s="2">
        <v>6</v>
      </c>
      <c r="Q314" s="2"/>
    </row>
    <row r="315" spans="1:17" ht="20.100000000000001" customHeight="1">
      <c r="A315" s="2" t="s">
        <v>9</v>
      </c>
      <c r="B315" s="2" t="s">
        <v>249</v>
      </c>
      <c r="C315" s="2" t="s">
        <v>677</v>
      </c>
      <c r="D315" s="2" t="e">
        <f>VLOOKUP(C:C,Vlookup!A:A,1,0)</f>
        <v>#N/A</v>
      </c>
      <c r="E315" s="2">
        <v>5</v>
      </c>
      <c r="F315" s="2" t="s">
        <v>678</v>
      </c>
      <c r="G315" s="2" t="s">
        <v>16</v>
      </c>
      <c r="H315" s="2" t="s">
        <v>11</v>
      </c>
      <c r="I315" s="2">
        <v>1</v>
      </c>
      <c r="J315" s="5">
        <v>46009</v>
      </c>
      <c r="K315" s="5">
        <v>46010</v>
      </c>
      <c r="L315" s="2" t="s">
        <v>865</v>
      </c>
      <c r="M315" s="5">
        <v>46090</v>
      </c>
      <c r="N315" s="3">
        <f>VLOOKUP(NavDataRegion[[#This Row],[Spool No]],[1]Sheet2!$B:$U,20,0)</f>
        <v>138.67700060799999</v>
      </c>
      <c r="O315" s="2">
        <v>27.5</v>
      </c>
      <c r="P315" s="2">
        <v>6</v>
      </c>
      <c r="Q315" s="2"/>
    </row>
    <row r="316" spans="1:17" ht="20.100000000000001" customHeight="1">
      <c r="A316" s="2" t="s">
        <v>9</v>
      </c>
      <c r="B316" s="2" t="s">
        <v>252</v>
      </c>
      <c r="C316" s="2" t="s">
        <v>679</v>
      </c>
      <c r="D316" s="2" t="e">
        <f>VLOOKUP(C:C,Vlookup!A:A,1,0)</f>
        <v>#N/A</v>
      </c>
      <c r="E316" s="2">
        <v>5</v>
      </c>
      <c r="F316" s="2" t="s">
        <v>680</v>
      </c>
      <c r="G316" s="2" t="s">
        <v>16</v>
      </c>
      <c r="H316" s="2" t="s">
        <v>11</v>
      </c>
      <c r="I316" s="2">
        <v>1</v>
      </c>
      <c r="J316" s="5">
        <v>46015</v>
      </c>
      <c r="K316" s="5">
        <v>46016</v>
      </c>
      <c r="L316" s="2" t="s">
        <v>865</v>
      </c>
      <c r="M316" s="5">
        <v>46090</v>
      </c>
      <c r="N316" s="3">
        <f>VLOOKUP(NavDataRegion[[#This Row],[Spool No]],[1]Sheet2!$B:$U,20,0)</f>
        <v>124.349180608</v>
      </c>
      <c r="O316" s="2">
        <v>27.5</v>
      </c>
      <c r="P316" s="2">
        <v>6</v>
      </c>
      <c r="Q316" s="2"/>
    </row>
    <row r="317" spans="1:17" ht="20.100000000000001" customHeight="1">
      <c r="A317" s="2" t="s">
        <v>9</v>
      </c>
      <c r="B317" s="2" t="s">
        <v>319</v>
      </c>
      <c r="C317" s="2" t="s">
        <v>698</v>
      </c>
      <c r="D317" s="2" t="e">
        <f>VLOOKUP(C:C,Vlookup!A:A,1,0)</f>
        <v>#N/A</v>
      </c>
      <c r="E317" s="2">
        <v>7</v>
      </c>
      <c r="F317" s="2" t="s">
        <v>10</v>
      </c>
      <c r="G317" s="2" t="s">
        <v>281</v>
      </c>
      <c r="H317" s="2" t="s">
        <v>11</v>
      </c>
      <c r="I317" s="2">
        <v>1</v>
      </c>
      <c r="J317" s="5">
        <v>46036</v>
      </c>
      <c r="K317" s="5">
        <v>46037</v>
      </c>
      <c r="L317" s="2" t="s">
        <v>865</v>
      </c>
      <c r="M317" s="5">
        <v>46091</v>
      </c>
      <c r="N317" s="3">
        <f>VLOOKUP(NavDataRegion[[#This Row],[Spool No]],[1]Sheet2!$B:$U,20,0)</f>
        <v>330.80998</v>
      </c>
      <c r="O317" s="2">
        <v>30</v>
      </c>
      <c r="P317" s="2">
        <v>6</v>
      </c>
      <c r="Q317" s="2"/>
    </row>
    <row r="318" spans="1:17" ht="20.100000000000001" customHeight="1">
      <c r="A318" s="2" t="s">
        <v>9</v>
      </c>
      <c r="B318" s="2" t="s">
        <v>52</v>
      </c>
      <c r="C318" s="2" t="s">
        <v>705</v>
      </c>
      <c r="D318" s="2" t="e">
        <f>VLOOKUP(C:C,Vlookup!A:A,1,0)</f>
        <v>#N/A</v>
      </c>
      <c r="E318" s="2">
        <v>2</v>
      </c>
      <c r="F318" s="2" t="s">
        <v>10</v>
      </c>
      <c r="G318" s="2" t="s">
        <v>25</v>
      </c>
      <c r="H318" s="2" t="s">
        <v>11</v>
      </c>
      <c r="I318" s="2">
        <v>1</v>
      </c>
      <c r="J318" s="5">
        <v>45988</v>
      </c>
      <c r="K318" s="5">
        <v>45989</v>
      </c>
      <c r="L318" s="2" t="s">
        <v>865</v>
      </c>
      <c r="M318" s="5">
        <v>46090</v>
      </c>
      <c r="N318" s="3">
        <f>VLOOKUP(NavDataRegion[[#This Row],[Spool No]],[1]Sheet2!$B:$U,20,0)</f>
        <v>66.093879999999999</v>
      </c>
      <c r="O318" s="2">
        <v>6</v>
      </c>
      <c r="P318" s="2">
        <v>6</v>
      </c>
      <c r="Q318" s="2"/>
    </row>
    <row r="319" spans="1:17" ht="20.100000000000001" customHeight="1">
      <c r="A319" s="2" t="s">
        <v>9</v>
      </c>
      <c r="B319" s="2" t="s">
        <v>56</v>
      </c>
      <c r="C319" s="2" t="s">
        <v>706</v>
      </c>
      <c r="D319" s="2" t="e">
        <f>VLOOKUP(C:C,Vlookup!A:A,1,0)</f>
        <v>#N/A</v>
      </c>
      <c r="E319" s="2">
        <v>2</v>
      </c>
      <c r="F319" s="2" t="s">
        <v>10</v>
      </c>
      <c r="G319" s="2" t="s">
        <v>25</v>
      </c>
      <c r="H319" s="2" t="s">
        <v>11</v>
      </c>
      <c r="I319" s="2">
        <v>1</v>
      </c>
      <c r="J319" s="5">
        <v>45988</v>
      </c>
      <c r="K319" s="5">
        <v>45989</v>
      </c>
      <c r="L319" s="2" t="s">
        <v>865</v>
      </c>
      <c r="M319" s="5">
        <v>46090</v>
      </c>
      <c r="N319" s="3">
        <f>VLOOKUP(NavDataRegion[[#This Row],[Spool No]],[1]Sheet2!$B:$U,20,0)</f>
        <v>79.008700000000005</v>
      </c>
      <c r="O319" s="2">
        <v>6</v>
      </c>
      <c r="P319" s="2">
        <v>6</v>
      </c>
      <c r="Q319" s="2"/>
    </row>
    <row r="320" spans="1:17" ht="20.100000000000001" customHeight="1">
      <c r="A320" s="2" t="s">
        <v>9</v>
      </c>
      <c r="B320" s="2" t="s">
        <v>88</v>
      </c>
      <c r="C320" s="2" t="s">
        <v>714</v>
      </c>
      <c r="D320" s="2" t="e">
        <f>VLOOKUP(C:C,Vlookup!A:A,1,0)</f>
        <v>#N/A</v>
      </c>
      <c r="E320" s="2">
        <v>3</v>
      </c>
      <c r="F320" s="2" t="s">
        <v>10</v>
      </c>
      <c r="G320" s="2" t="s">
        <v>16</v>
      </c>
      <c r="H320" s="2" t="s">
        <v>11</v>
      </c>
      <c r="I320" s="2">
        <v>1</v>
      </c>
      <c r="J320" s="5">
        <v>45989</v>
      </c>
      <c r="K320" s="5">
        <v>45992</v>
      </c>
      <c r="L320" s="2" t="s">
        <v>865</v>
      </c>
      <c r="M320" s="5">
        <v>46090</v>
      </c>
      <c r="N320" s="3">
        <f>VLOOKUP(NavDataRegion[[#This Row],[Spool No]],[1]Sheet2!$B:$U,20,0)</f>
        <v>155.10632000000001</v>
      </c>
      <c r="O320" s="2">
        <v>29</v>
      </c>
      <c r="P320" s="2">
        <v>6</v>
      </c>
      <c r="Q320" s="2"/>
    </row>
    <row r="321" spans="1:17" ht="20.100000000000001" customHeight="1">
      <c r="A321" s="2" t="s">
        <v>9</v>
      </c>
      <c r="B321" s="2" t="s">
        <v>64</v>
      </c>
      <c r="C321" s="2" t="s">
        <v>708</v>
      </c>
      <c r="D321" s="2" t="e">
        <f>VLOOKUP(C:C,Vlookup!A:A,1,0)</f>
        <v>#N/A</v>
      </c>
      <c r="E321" s="2">
        <v>4</v>
      </c>
      <c r="F321" s="2" t="s">
        <v>10</v>
      </c>
      <c r="G321" s="2" t="s">
        <v>16</v>
      </c>
      <c r="H321" s="2" t="s">
        <v>11</v>
      </c>
      <c r="I321" s="2">
        <v>1</v>
      </c>
      <c r="J321" s="5">
        <v>46008</v>
      </c>
      <c r="K321" s="5">
        <v>46009</v>
      </c>
      <c r="L321" s="2" t="s">
        <v>865</v>
      </c>
      <c r="M321" s="5">
        <v>46090</v>
      </c>
      <c r="N321" s="3">
        <f>VLOOKUP(NavDataRegion[[#This Row],[Spool No]],[1]Sheet2!$B:$U,20,0)</f>
        <v>205.57060000000001</v>
      </c>
      <c r="O321" s="2">
        <v>47</v>
      </c>
      <c r="P321" s="2">
        <v>6</v>
      </c>
      <c r="Q321" s="2"/>
    </row>
    <row r="322" spans="1:17" ht="20.100000000000001" customHeight="1">
      <c r="A322" s="2" t="s">
        <v>9</v>
      </c>
      <c r="B322" s="2" t="s">
        <v>68</v>
      </c>
      <c r="C322" s="2" t="s">
        <v>709</v>
      </c>
      <c r="D322" s="2" t="e">
        <f>VLOOKUP(C:C,Vlookup!A:A,1,0)</f>
        <v>#N/A</v>
      </c>
      <c r="E322" s="2">
        <v>4</v>
      </c>
      <c r="F322" s="2" t="s">
        <v>10</v>
      </c>
      <c r="G322" s="2" t="s">
        <v>16</v>
      </c>
      <c r="H322" s="2" t="s">
        <v>11</v>
      </c>
      <c r="I322" s="2">
        <v>1</v>
      </c>
      <c r="J322" s="5">
        <v>46008</v>
      </c>
      <c r="K322" s="5">
        <v>46009</v>
      </c>
      <c r="L322" s="2" t="s">
        <v>865</v>
      </c>
      <c r="M322" s="5">
        <v>46090</v>
      </c>
      <c r="N322" s="3">
        <f>VLOOKUP(NavDataRegion[[#This Row],[Spool No]],[1]Sheet2!$B:$U,20,0)</f>
        <v>155.10632000000001</v>
      </c>
      <c r="O322" s="2">
        <v>29</v>
      </c>
      <c r="P322" s="2">
        <v>6</v>
      </c>
      <c r="Q322" s="2"/>
    </row>
    <row r="323" spans="1:17" ht="20.100000000000001" customHeight="1">
      <c r="A323" s="2" t="s">
        <v>9</v>
      </c>
      <c r="B323" s="2" t="s">
        <v>72</v>
      </c>
      <c r="C323" s="2" t="s">
        <v>710</v>
      </c>
      <c r="D323" s="2" t="e">
        <f>VLOOKUP(C:C,Vlookup!A:A,1,0)</f>
        <v>#N/A</v>
      </c>
      <c r="E323" s="2">
        <v>5</v>
      </c>
      <c r="F323" s="2" t="s">
        <v>10</v>
      </c>
      <c r="G323" s="2" t="s">
        <v>16</v>
      </c>
      <c r="H323" s="2" t="s">
        <v>11</v>
      </c>
      <c r="I323" s="2">
        <v>1</v>
      </c>
      <c r="J323" s="5">
        <v>46010</v>
      </c>
      <c r="K323" s="5">
        <v>46013</v>
      </c>
      <c r="L323" s="2" t="s">
        <v>865</v>
      </c>
      <c r="M323" s="5">
        <v>46090</v>
      </c>
      <c r="N323" s="3">
        <f>VLOOKUP(NavDataRegion[[#This Row],[Spool No]],[1]Sheet2!$B:$U,20,0)</f>
        <v>155.10632000000001</v>
      </c>
      <c r="O323" s="2">
        <v>29</v>
      </c>
      <c r="P323" s="2">
        <v>6</v>
      </c>
      <c r="Q323" s="2"/>
    </row>
    <row r="324" spans="1:17" ht="20.100000000000001" customHeight="1">
      <c r="A324" s="2" t="s">
        <v>9</v>
      </c>
      <c r="B324" s="2" t="s">
        <v>76</v>
      </c>
      <c r="C324" s="2" t="s">
        <v>711</v>
      </c>
      <c r="D324" s="2" t="e">
        <f>VLOOKUP(C:C,Vlookup!A:A,1,0)</f>
        <v>#N/A</v>
      </c>
      <c r="E324" s="2">
        <v>4</v>
      </c>
      <c r="F324" s="2" t="s">
        <v>10</v>
      </c>
      <c r="G324" s="2" t="s">
        <v>16</v>
      </c>
      <c r="H324" s="2" t="s">
        <v>11</v>
      </c>
      <c r="I324" s="2">
        <v>1</v>
      </c>
      <c r="J324" s="5">
        <v>46008</v>
      </c>
      <c r="K324" s="5">
        <v>46009</v>
      </c>
      <c r="L324" s="2" t="s">
        <v>865</v>
      </c>
      <c r="M324" s="5">
        <v>46090</v>
      </c>
      <c r="N324" s="3">
        <f>VLOOKUP(NavDataRegion[[#This Row],[Spool No]],[1]Sheet2!$B:$U,20,0)</f>
        <v>155.10632000000001</v>
      </c>
      <c r="O324" s="2">
        <v>29</v>
      </c>
      <c r="P324" s="2">
        <v>6</v>
      </c>
      <c r="Q324" s="2"/>
    </row>
    <row r="325" spans="1:17" ht="20.100000000000001" customHeight="1">
      <c r="A325" s="2" t="s">
        <v>9</v>
      </c>
      <c r="B325" s="2" t="s">
        <v>80</v>
      </c>
      <c r="C325" s="2" t="s">
        <v>712</v>
      </c>
      <c r="D325" s="2" t="e">
        <f>VLOOKUP(C:C,Vlookup!A:A,1,0)</f>
        <v>#N/A</v>
      </c>
      <c r="E325" s="2">
        <v>2</v>
      </c>
      <c r="F325" s="2" t="s">
        <v>10</v>
      </c>
      <c r="G325" s="2" t="s">
        <v>16</v>
      </c>
      <c r="H325" s="2" t="s">
        <v>11</v>
      </c>
      <c r="I325" s="2">
        <v>1</v>
      </c>
      <c r="J325" s="5">
        <v>45988</v>
      </c>
      <c r="K325" s="5">
        <v>45989</v>
      </c>
      <c r="L325" s="2" t="s">
        <v>865</v>
      </c>
      <c r="M325" s="5">
        <v>46090</v>
      </c>
      <c r="N325" s="3">
        <f>VLOOKUP(NavDataRegion[[#This Row],[Spool No]],[1]Sheet2!$B:$U,20,0)</f>
        <v>155.10632000000001</v>
      </c>
      <c r="O325" s="2">
        <v>29</v>
      </c>
      <c r="P325" s="2">
        <v>6</v>
      </c>
      <c r="Q325" s="2"/>
    </row>
    <row r="326" spans="1:17" ht="20.100000000000001" customHeight="1">
      <c r="A326" s="2" t="s">
        <v>9</v>
      </c>
      <c r="B326" s="2" t="s">
        <v>88</v>
      </c>
      <c r="C326" s="2" t="s">
        <v>785</v>
      </c>
      <c r="D326" s="2" t="e">
        <f>VLOOKUP(C:C,Vlookup!A:A,1,0)</f>
        <v>#N/A</v>
      </c>
      <c r="E326" s="2">
        <v>3</v>
      </c>
      <c r="F326" s="2" t="s">
        <v>10</v>
      </c>
      <c r="G326" s="2" t="s">
        <v>16</v>
      </c>
      <c r="H326" s="2" t="s">
        <v>11</v>
      </c>
      <c r="I326" s="2">
        <v>1</v>
      </c>
      <c r="J326" s="5">
        <v>45989</v>
      </c>
      <c r="K326" s="5">
        <v>45992</v>
      </c>
      <c r="L326" s="2" t="s">
        <v>865</v>
      </c>
      <c r="M326" s="5">
        <v>46090</v>
      </c>
      <c r="N326" s="3">
        <f>VLOOKUP(NavDataRegion[[#This Row],[Spool No]],[1]Sheet2!$B:$U,20,0)</f>
        <v>183.50470000000001</v>
      </c>
      <c r="O326" s="2">
        <v>16</v>
      </c>
      <c r="P326" s="2">
        <v>6</v>
      </c>
      <c r="Q326" s="2"/>
    </row>
    <row r="327" spans="1:17" ht="20.100000000000001" customHeight="1">
      <c r="A327" s="2" t="s">
        <v>9</v>
      </c>
      <c r="B327" s="2" t="s">
        <v>92</v>
      </c>
      <c r="C327" s="2" t="s">
        <v>513</v>
      </c>
      <c r="D327" s="2" t="e">
        <f>VLOOKUP(C:C,Vlookup!A:A,1,0)</f>
        <v>#N/A</v>
      </c>
      <c r="E327" s="2">
        <v>3</v>
      </c>
      <c r="F327" s="2" t="s">
        <v>10</v>
      </c>
      <c r="G327" s="2" t="s">
        <v>16</v>
      </c>
      <c r="H327" s="2" t="s">
        <v>11</v>
      </c>
      <c r="I327" s="2">
        <v>1</v>
      </c>
      <c r="J327" s="5">
        <v>45989</v>
      </c>
      <c r="K327" s="5">
        <v>45992</v>
      </c>
      <c r="L327" s="2" t="s">
        <v>865</v>
      </c>
      <c r="M327" s="5">
        <v>46090</v>
      </c>
      <c r="N327" s="3">
        <f>VLOOKUP(NavDataRegion[[#This Row],[Spool No]],[1]Sheet2!$B:$U,20,0)</f>
        <v>169.20251999999999</v>
      </c>
      <c r="O327" s="2">
        <v>35</v>
      </c>
      <c r="P327" s="2">
        <v>6</v>
      </c>
      <c r="Q327" s="2"/>
    </row>
    <row r="328" spans="1:17" ht="20.100000000000001" customHeight="1">
      <c r="A328" s="2" t="s">
        <v>9</v>
      </c>
      <c r="B328" s="2" t="s">
        <v>92</v>
      </c>
      <c r="C328" s="2" t="s">
        <v>715</v>
      </c>
      <c r="D328" s="2" t="e">
        <f>VLOOKUP(C:C,Vlookup!A:A,1,0)</f>
        <v>#N/A</v>
      </c>
      <c r="E328" s="2">
        <v>3</v>
      </c>
      <c r="F328" s="2" t="s">
        <v>10</v>
      </c>
      <c r="G328" s="2" t="s">
        <v>16</v>
      </c>
      <c r="H328" s="2" t="s">
        <v>11</v>
      </c>
      <c r="I328" s="2">
        <v>1</v>
      </c>
      <c r="J328" s="5">
        <v>45989</v>
      </c>
      <c r="K328" s="5">
        <v>45992</v>
      </c>
      <c r="L328" s="2" t="s">
        <v>865</v>
      </c>
      <c r="M328" s="5">
        <v>46090</v>
      </c>
      <c r="N328" s="3">
        <f>VLOOKUP(NavDataRegion[[#This Row],[Spool No]],[1]Sheet2!$B:$U,20,0)</f>
        <v>157.25407999999999</v>
      </c>
      <c r="O328" s="2">
        <v>29</v>
      </c>
      <c r="P328" s="2">
        <v>6</v>
      </c>
      <c r="Q328" s="2"/>
    </row>
    <row r="329" spans="1:17" ht="20.100000000000001" customHeight="1">
      <c r="A329" s="2" t="s">
        <v>9</v>
      </c>
      <c r="B329" s="2" t="s">
        <v>315</v>
      </c>
      <c r="C329" s="2" t="s">
        <v>604</v>
      </c>
      <c r="D329" s="2" t="e">
        <f>VLOOKUP(C:C,Vlookup!A:A,1,0)</f>
        <v>#N/A</v>
      </c>
      <c r="E329" s="2">
        <v>1</v>
      </c>
      <c r="F329" s="2" t="s">
        <v>10</v>
      </c>
      <c r="G329" s="2" t="s">
        <v>281</v>
      </c>
      <c r="H329" s="2" t="s">
        <v>11</v>
      </c>
      <c r="I329" s="2">
        <v>1</v>
      </c>
      <c r="J329" s="5">
        <v>45975</v>
      </c>
      <c r="K329" s="5">
        <v>45764</v>
      </c>
      <c r="L329" s="2" t="s">
        <v>865</v>
      </c>
      <c r="M329" s="5">
        <v>46090</v>
      </c>
      <c r="N329" s="3">
        <f>VLOOKUP(NavDataRegion[[#This Row],[Spool No]],[1]Sheet2!$B:$U,20,0)</f>
        <v>373.29014999999998</v>
      </c>
      <c r="O329" s="2">
        <v>12</v>
      </c>
      <c r="P329" s="2">
        <v>12</v>
      </c>
      <c r="Q329" s="2"/>
    </row>
    <row r="330" spans="1:17" ht="20.100000000000001" customHeight="1">
      <c r="A330" s="2" t="s">
        <v>9</v>
      </c>
      <c r="B330" s="2" t="s">
        <v>96</v>
      </c>
      <c r="C330" s="2" t="s">
        <v>716</v>
      </c>
      <c r="D330" s="2" t="e">
        <f>VLOOKUP(C:C,Vlookup!A:A,1,0)</f>
        <v>#N/A</v>
      </c>
      <c r="E330" s="2">
        <v>2</v>
      </c>
      <c r="F330" s="2" t="s">
        <v>10</v>
      </c>
      <c r="G330" s="2" t="s">
        <v>16</v>
      </c>
      <c r="H330" s="2" t="s">
        <v>11</v>
      </c>
      <c r="I330" s="2">
        <v>1</v>
      </c>
      <c r="J330" s="5">
        <v>45988</v>
      </c>
      <c r="K330" s="5">
        <v>45989</v>
      </c>
      <c r="L330" s="2" t="s">
        <v>865</v>
      </c>
      <c r="M330" s="5">
        <v>46090</v>
      </c>
      <c r="N330" s="3">
        <f>VLOOKUP(NavDataRegion[[#This Row],[Spool No]],[1]Sheet2!$B:$U,20,0)</f>
        <v>155.127586592</v>
      </c>
      <c r="O330" s="2">
        <v>29</v>
      </c>
      <c r="P330" s="2">
        <v>6</v>
      </c>
      <c r="Q330" s="2"/>
    </row>
    <row r="331" spans="1:17" ht="20.100000000000001" customHeight="1">
      <c r="A331" s="2" t="s">
        <v>9</v>
      </c>
      <c r="B331" s="2" t="s">
        <v>92</v>
      </c>
      <c r="C331" s="2" t="s">
        <v>786</v>
      </c>
      <c r="D331" s="2" t="e">
        <f>VLOOKUP(C:C,Vlookup!A:A,1,0)</f>
        <v>#N/A</v>
      </c>
      <c r="E331" s="2">
        <v>3</v>
      </c>
      <c r="F331" s="2" t="s">
        <v>10</v>
      </c>
      <c r="G331" s="2" t="s">
        <v>16</v>
      </c>
      <c r="H331" s="2" t="s">
        <v>11</v>
      </c>
      <c r="I331" s="2">
        <v>1</v>
      </c>
      <c r="J331" s="5">
        <v>45989</v>
      </c>
      <c r="K331" s="5">
        <v>45992</v>
      </c>
      <c r="L331" s="2" t="s">
        <v>865</v>
      </c>
      <c r="M331" s="5">
        <v>46090</v>
      </c>
      <c r="N331" s="3">
        <f>VLOOKUP(NavDataRegion[[#This Row],[Spool No]],[1]Sheet2!$B:$U,20,0)</f>
        <v>170.58987999999999</v>
      </c>
      <c r="O331" s="2">
        <v>16</v>
      </c>
      <c r="P331" s="2">
        <v>6</v>
      </c>
      <c r="Q331" s="2"/>
    </row>
    <row r="332" spans="1:17" ht="20.100000000000001" customHeight="1">
      <c r="A332" s="2" t="s">
        <v>9</v>
      </c>
      <c r="B332" s="2" t="s">
        <v>104</v>
      </c>
      <c r="C332" s="2" t="s">
        <v>718</v>
      </c>
      <c r="D332" s="2" t="e">
        <f>VLOOKUP(C:C,Vlookup!A:A,1,0)</f>
        <v>#N/A</v>
      </c>
      <c r="E332" s="2">
        <v>3</v>
      </c>
      <c r="F332" s="2" t="s">
        <v>10</v>
      </c>
      <c r="G332" s="2" t="s">
        <v>16</v>
      </c>
      <c r="H332" s="2" t="s">
        <v>11</v>
      </c>
      <c r="I332" s="2">
        <v>1</v>
      </c>
      <c r="J332" s="5">
        <v>46003</v>
      </c>
      <c r="K332" s="5">
        <v>46006</v>
      </c>
      <c r="L332" s="2" t="s">
        <v>865</v>
      </c>
      <c r="M332" s="5">
        <v>46090</v>
      </c>
      <c r="N332" s="3">
        <f>VLOOKUP(NavDataRegion[[#This Row],[Spool No]],[1]Sheet2!$B:$U,20,0)</f>
        <v>155.10632000000001</v>
      </c>
      <c r="O332" s="2">
        <v>29</v>
      </c>
      <c r="P332" s="2">
        <v>6</v>
      </c>
      <c r="Q332" s="2"/>
    </row>
    <row r="333" spans="1:17" ht="20.100000000000001" customHeight="1">
      <c r="A333" s="2" t="s">
        <v>9</v>
      </c>
      <c r="B333" s="2" t="s">
        <v>108</v>
      </c>
      <c r="C333" s="2" t="s">
        <v>719</v>
      </c>
      <c r="D333" s="2" t="e">
        <f>VLOOKUP(C:C,Vlookup!A:A,1,0)</f>
        <v>#N/A</v>
      </c>
      <c r="E333" s="2">
        <v>4</v>
      </c>
      <c r="F333" s="2" t="s">
        <v>10</v>
      </c>
      <c r="G333" s="2" t="s">
        <v>16</v>
      </c>
      <c r="H333" s="2" t="s">
        <v>11</v>
      </c>
      <c r="I333" s="2">
        <v>1</v>
      </c>
      <c r="J333" s="5">
        <v>46008</v>
      </c>
      <c r="K333" s="5">
        <v>46009</v>
      </c>
      <c r="L333" s="2" t="s">
        <v>865</v>
      </c>
      <c r="M333" s="5">
        <v>46090</v>
      </c>
      <c r="N333" s="3">
        <f>VLOOKUP(NavDataRegion[[#This Row],[Spool No]],[1]Sheet2!$B:$U,20,0)</f>
        <v>205.57060000000001</v>
      </c>
      <c r="O333" s="2">
        <v>47</v>
      </c>
      <c r="P333" s="2">
        <v>6</v>
      </c>
      <c r="Q333" s="2"/>
    </row>
    <row r="334" spans="1:17" ht="20.100000000000001" customHeight="1">
      <c r="A334" s="2" t="s">
        <v>9</v>
      </c>
      <c r="B334" s="2" t="s">
        <v>112</v>
      </c>
      <c r="C334" s="2" t="s">
        <v>720</v>
      </c>
      <c r="D334" s="2" t="e">
        <f>VLOOKUP(C:C,Vlookup!A:A,1,0)</f>
        <v>#N/A</v>
      </c>
      <c r="E334" s="2">
        <v>5</v>
      </c>
      <c r="F334" s="2" t="s">
        <v>10</v>
      </c>
      <c r="G334" s="2" t="s">
        <v>16</v>
      </c>
      <c r="H334" s="2" t="s">
        <v>11</v>
      </c>
      <c r="I334" s="2">
        <v>1</v>
      </c>
      <c r="J334" s="5">
        <v>46015</v>
      </c>
      <c r="K334" s="5">
        <v>46016</v>
      </c>
      <c r="L334" s="2" t="s">
        <v>865</v>
      </c>
      <c r="M334" s="5">
        <v>46090</v>
      </c>
      <c r="N334" s="3">
        <f>VLOOKUP(NavDataRegion[[#This Row],[Spool No]],[1]Sheet2!$B:$U,20,0)</f>
        <v>165.33240000000001</v>
      </c>
      <c r="O334" s="2">
        <v>35</v>
      </c>
      <c r="P334" s="2">
        <v>6</v>
      </c>
      <c r="Q334" s="2"/>
    </row>
    <row r="335" spans="1:17" ht="20.100000000000001" customHeight="1">
      <c r="A335" s="2" t="s">
        <v>9</v>
      </c>
      <c r="B335" s="2" t="s">
        <v>116</v>
      </c>
      <c r="C335" s="2" t="s">
        <v>721</v>
      </c>
      <c r="D335" s="2" t="e">
        <f>VLOOKUP(C:C,Vlookup!A:A,1,0)</f>
        <v>#N/A</v>
      </c>
      <c r="E335" s="2">
        <v>2</v>
      </c>
      <c r="F335" s="2" t="s">
        <v>10</v>
      </c>
      <c r="G335" s="2" t="s">
        <v>25</v>
      </c>
      <c r="H335" s="2" t="s">
        <v>11</v>
      </c>
      <c r="I335" s="2">
        <v>1</v>
      </c>
      <c r="J335" s="5">
        <v>45988</v>
      </c>
      <c r="K335" s="5">
        <v>45989</v>
      </c>
      <c r="L335" s="2" t="s">
        <v>865</v>
      </c>
      <c r="M335" s="5">
        <v>46090</v>
      </c>
      <c r="N335" s="3">
        <f>VLOOKUP(NavDataRegion[[#This Row],[Spool No]],[1]Sheet2!$B:$U,20,0)</f>
        <v>79.008700000000005</v>
      </c>
      <c r="O335" s="2">
        <v>6</v>
      </c>
      <c r="P335" s="2">
        <v>6</v>
      </c>
      <c r="Q335" s="2"/>
    </row>
    <row r="336" spans="1:17" ht="20.100000000000001" customHeight="1">
      <c r="A336" s="2" t="s">
        <v>9</v>
      </c>
      <c r="B336" s="2" t="s">
        <v>120</v>
      </c>
      <c r="C336" s="2" t="s">
        <v>722</v>
      </c>
      <c r="D336" s="2" t="e">
        <f>VLOOKUP(C:C,Vlookup!A:A,1,0)</f>
        <v>#N/A</v>
      </c>
      <c r="E336" s="2">
        <v>9</v>
      </c>
      <c r="F336" s="2" t="s">
        <v>10</v>
      </c>
      <c r="G336" s="2" t="s">
        <v>10</v>
      </c>
      <c r="H336" s="2" t="s">
        <v>11</v>
      </c>
      <c r="I336" s="2">
        <v>1</v>
      </c>
      <c r="J336" s="5">
        <v>46064</v>
      </c>
      <c r="K336" s="5">
        <v>46065</v>
      </c>
      <c r="L336" s="2" t="s">
        <v>865</v>
      </c>
      <c r="M336" s="5">
        <v>46091</v>
      </c>
      <c r="N336" s="3">
        <f>VLOOKUP(NavDataRegion[[#This Row],[Spool No]],[1]Sheet2!$B:$U,20,0)</f>
        <v>66.093879999999999</v>
      </c>
      <c r="O336" s="2">
        <v>6</v>
      </c>
      <c r="P336" s="2">
        <v>6</v>
      </c>
      <c r="Q336" s="2"/>
    </row>
    <row r="337" spans="1:17" ht="20.100000000000001" customHeight="1">
      <c r="A337" s="2" t="s">
        <v>9</v>
      </c>
      <c r="B337" s="2" t="s">
        <v>174</v>
      </c>
      <c r="C337" s="2" t="s">
        <v>728</v>
      </c>
      <c r="D337" s="2" t="e">
        <f>VLOOKUP(C:C,Vlookup!A:A,1,0)</f>
        <v>#N/A</v>
      </c>
      <c r="E337" s="2">
        <v>7</v>
      </c>
      <c r="F337" s="2" t="s">
        <v>729</v>
      </c>
      <c r="G337" s="2" t="s">
        <v>25</v>
      </c>
      <c r="H337" s="2" t="s">
        <v>11</v>
      </c>
      <c r="I337" s="2">
        <v>1</v>
      </c>
      <c r="J337" s="5">
        <v>46043</v>
      </c>
      <c r="K337" s="5">
        <v>46043</v>
      </c>
      <c r="L337" s="2" t="s">
        <v>865</v>
      </c>
      <c r="M337" s="5">
        <v>46091</v>
      </c>
      <c r="N337" s="3">
        <f>VLOOKUP(NavDataRegion[[#This Row],[Spool No]],[1]Sheet2!$B:$U,20,0)</f>
        <v>190.80914999999999</v>
      </c>
      <c r="O337" s="2">
        <v>19</v>
      </c>
      <c r="P337" s="2">
        <v>6</v>
      </c>
      <c r="Q337" s="2"/>
    </row>
    <row r="338" spans="1:17" ht="20.100000000000001" customHeight="1">
      <c r="A338" s="2" t="s">
        <v>9</v>
      </c>
      <c r="B338" s="2" t="s">
        <v>319</v>
      </c>
      <c r="C338" s="2" t="s">
        <v>746</v>
      </c>
      <c r="D338" s="2" t="e">
        <f>VLOOKUP(C:C,Vlookup!A:A,1,0)</f>
        <v>#N/A</v>
      </c>
      <c r="E338" s="2">
        <v>5</v>
      </c>
      <c r="F338" s="2" t="s">
        <v>10</v>
      </c>
      <c r="G338" s="2" t="s">
        <v>281</v>
      </c>
      <c r="H338" s="2" t="s">
        <v>11</v>
      </c>
      <c r="I338" s="2">
        <v>1</v>
      </c>
      <c r="J338" s="5">
        <v>46010</v>
      </c>
      <c r="K338" s="5">
        <v>46013</v>
      </c>
      <c r="L338" s="2" t="s">
        <v>865</v>
      </c>
      <c r="M338" s="5">
        <v>46090</v>
      </c>
      <c r="N338" s="3">
        <f>VLOOKUP(NavDataRegion[[#This Row],[Spool No]],[1]Sheet2!$B:$U,20,0)</f>
        <v>115.11452</v>
      </c>
      <c r="O338" s="2">
        <v>18</v>
      </c>
      <c r="P338" s="2">
        <v>6</v>
      </c>
      <c r="Q338" s="2"/>
    </row>
    <row r="339" spans="1:17" ht="20.100000000000001" customHeight="1">
      <c r="A339" s="2" t="s">
        <v>9</v>
      </c>
      <c r="B339" s="2" t="s">
        <v>96</v>
      </c>
      <c r="C339" s="2" t="s">
        <v>787</v>
      </c>
      <c r="D339" s="2" t="e">
        <f>VLOOKUP(C:C,Vlookup!A:A,1,0)</f>
        <v>#N/A</v>
      </c>
      <c r="E339" s="2">
        <v>3</v>
      </c>
      <c r="F339" s="2" t="s">
        <v>10</v>
      </c>
      <c r="G339" s="2" t="s">
        <v>16</v>
      </c>
      <c r="H339" s="2" t="s">
        <v>11</v>
      </c>
      <c r="I339" s="2">
        <v>1</v>
      </c>
      <c r="J339" s="5">
        <v>45989</v>
      </c>
      <c r="K339" s="5">
        <v>45992</v>
      </c>
      <c r="L339" s="2" t="s">
        <v>865</v>
      </c>
      <c r="M339" s="5">
        <v>46090</v>
      </c>
      <c r="N339" s="3">
        <f>VLOOKUP(NavDataRegion[[#This Row],[Spool No]],[1]Sheet2!$B:$U,20,0)</f>
        <v>157.72366719999999</v>
      </c>
      <c r="O339" s="2">
        <v>16</v>
      </c>
      <c r="P339" s="2">
        <v>6</v>
      </c>
      <c r="Q339" s="2"/>
    </row>
    <row r="340" spans="1:17" ht="20.100000000000001" customHeight="1">
      <c r="A340" s="2" t="s">
        <v>9</v>
      </c>
      <c r="B340" s="2" t="s">
        <v>64</v>
      </c>
      <c r="C340" s="2" t="s">
        <v>753</v>
      </c>
      <c r="D340" s="2" t="e">
        <f>VLOOKUP(C:C,Vlookup!A:A,1,0)</f>
        <v>#N/A</v>
      </c>
      <c r="E340" s="2">
        <v>4</v>
      </c>
      <c r="F340" s="2" t="s">
        <v>10</v>
      </c>
      <c r="G340" s="2" t="s">
        <v>16</v>
      </c>
      <c r="H340" s="2" t="s">
        <v>11</v>
      </c>
      <c r="I340" s="2">
        <v>1</v>
      </c>
      <c r="J340" s="5">
        <v>46008</v>
      </c>
      <c r="K340" s="5">
        <v>46009</v>
      </c>
      <c r="L340" s="2" t="s">
        <v>865</v>
      </c>
      <c r="M340" s="5">
        <v>46090</v>
      </c>
      <c r="N340" s="3">
        <f>VLOOKUP(NavDataRegion[[#This Row],[Spool No]],[1]Sheet2!$B:$U,20,0)</f>
        <v>112.71814000000001</v>
      </c>
      <c r="O340" s="2">
        <v>11</v>
      </c>
      <c r="P340" s="2">
        <v>6</v>
      </c>
      <c r="Q340" s="2"/>
    </row>
    <row r="341" spans="1:17" ht="20.100000000000001" customHeight="1">
      <c r="A341" s="2" t="s">
        <v>9</v>
      </c>
      <c r="B341" s="2" t="s">
        <v>68</v>
      </c>
      <c r="C341" s="2" t="s">
        <v>754</v>
      </c>
      <c r="D341" s="2" t="e">
        <f>VLOOKUP(C:C,Vlookup!A:A,1,0)</f>
        <v>#N/A</v>
      </c>
      <c r="E341" s="2">
        <v>6</v>
      </c>
      <c r="F341" s="2" t="s">
        <v>10</v>
      </c>
      <c r="G341" s="2" t="s">
        <v>16</v>
      </c>
      <c r="H341" s="2" t="s">
        <v>11</v>
      </c>
      <c r="I341" s="2">
        <v>1</v>
      </c>
      <c r="J341" s="5">
        <v>46029</v>
      </c>
      <c r="K341" s="5">
        <v>46029</v>
      </c>
      <c r="L341" s="2" t="s">
        <v>865</v>
      </c>
      <c r="M341" s="5">
        <v>46091</v>
      </c>
      <c r="N341" s="3">
        <f>VLOOKUP(NavDataRegion[[#This Row],[Spool No]],[1]Sheet2!$B:$U,20,0)</f>
        <v>101.55362</v>
      </c>
      <c r="O341" s="2">
        <v>17</v>
      </c>
      <c r="P341" s="2">
        <v>6</v>
      </c>
      <c r="Q341" s="2"/>
    </row>
    <row r="342" spans="1:17" ht="20.100000000000001" customHeight="1">
      <c r="A342" s="2" t="s">
        <v>9</v>
      </c>
      <c r="B342" s="2" t="s">
        <v>315</v>
      </c>
      <c r="C342" s="2" t="s">
        <v>696</v>
      </c>
      <c r="D342" s="2" t="e">
        <f>VLOOKUP(C:C,Vlookup!A:A,1,0)</f>
        <v>#N/A</v>
      </c>
      <c r="E342" s="2">
        <v>1</v>
      </c>
      <c r="F342" s="2" t="s">
        <v>10</v>
      </c>
      <c r="G342" s="2" t="s">
        <v>281</v>
      </c>
      <c r="H342" s="2" t="s">
        <v>11</v>
      </c>
      <c r="I342" s="2">
        <v>1</v>
      </c>
      <c r="J342" s="5">
        <v>45975</v>
      </c>
      <c r="K342" s="5">
        <v>45764</v>
      </c>
      <c r="L342" s="2" t="s">
        <v>865</v>
      </c>
      <c r="M342" s="5">
        <v>46090</v>
      </c>
      <c r="N342" s="3">
        <f>VLOOKUP(NavDataRegion[[#This Row],[Spool No]],[1]Sheet2!$B:$U,20,0)</f>
        <v>344.03658000000001</v>
      </c>
      <c r="O342" s="2">
        <v>12</v>
      </c>
      <c r="P342" s="2">
        <v>12</v>
      </c>
      <c r="Q342" s="2"/>
    </row>
    <row r="343" spans="1:17" ht="20.100000000000001" customHeight="1">
      <c r="A343" s="2" t="s">
        <v>9</v>
      </c>
      <c r="B343" s="2" t="s">
        <v>72</v>
      </c>
      <c r="C343" s="2" t="s">
        <v>755</v>
      </c>
      <c r="D343" s="2" t="e">
        <f>VLOOKUP(C:C,Vlookup!A:A,1,0)</f>
        <v>#N/A</v>
      </c>
      <c r="E343" s="2">
        <v>7</v>
      </c>
      <c r="F343" s="2" t="s">
        <v>10</v>
      </c>
      <c r="G343" s="2" t="s">
        <v>16</v>
      </c>
      <c r="H343" s="2" t="s">
        <v>11</v>
      </c>
      <c r="I343" s="2">
        <v>1</v>
      </c>
      <c r="J343" s="5">
        <v>46029</v>
      </c>
      <c r="K343" s="5">
        <v>45665</v>
      </c>
      <c r="L343" s="2" t="s">
        <v>865</v>
      </c>
      <c r="M343" s="5">
        <v>46091</v>
      </c>
      <c r="N343" s="3">
        <f>VLOOKUP(NavDataRegion[[#This Row],[Spool No]],[1]Sheet2!$B:$U,20,0)</f>
        <v>144.76316</v>
      </c>
      <c r="O343" s="2">
        <v>17</v>
      </c>
      <c r="P343" s="2">
        <v>6</v>
      </c>
      <c r="Q343" s="2"/>
    </row>
    <row r="344" spans="1:17" ht="20.100000000000001" customHeight="1">
      <c r="A344" s="2" t="s">
        <v>9</v>
      </c>
      <c r="B344" s="2" t="s">
        <v>76</v>
      </c>
      <c r="C344" s="2" t="s">
        <v>756</v>
      </c>
      <c r="D344" s="2" t="e">
        <f>VLOOKUP(C:C,Vlookup!A:A,1,0)</f>
        <v>#N/A</v>
      </c>
      <c r="E344" s="2">
        <v>6</v>
      </c>
      <c r="F344" s="2" t="s">
        <v>10</v>
      </c>
      <c r="G344" s="2" t="s">
        <v>16</v>
      </c>
      <c r="H344" s="2" t="s">
        <v>11</v>
      </c>
      <c r="I344" s="2">
        <v>1</v>
      </c>
      <c r="J344" s="5">
        <v>46029</v>
      </c>
      <c r="K344" s="5">
        <v>46029</v>
      </c>
      <c r="L344" s="2" t="s">
        <v>865</v>
      </c>
      <c r="M344" s="5">
        <v>46091</v>
      </c>
      <c r="N344" s="3">
        <f>VLOOKUP(NavDataRegion[[#This Row],[Spool No]],[1]Sheet2!$B:$U,20,0)</f>
        <v>187.9727</v>
      </c>
      <c r="O344" s="2">
        <v>17</v>
      </c>
      <c r="P344" s="2">
        <v>6</v>
      </c>
      <c r="Q344" s="2"/>
    </row>
    <row r="345" spans="1:17" ht="20.100000000000001" customHeight="1">
      <c r="A345" s="2" t="s">
        <v>9</v>
      </c>
      <c r="B345" s="2" t="s">
        <v>80</v>
      </c>
      <c r="C345" s="2" t="s">
        <v>757</v>
      </c>
      <c r="D345" s="2" t="e">
        <f>VLOOKUP(C:C,Vlookup!A:A,1,0)</f>
        <v>#N/A</v>
      </c>
      <c r="E345" s="2">
        <v>6</v>
      </c>
      <c r="F345" s="2" t="s">
        <v>10</v>
      </c>
      <c r="G345" s="2" t="s">
        <v>16</v>
      </c>
      <c r="H345" s="2" t="s">
        <v>11</v>
      </c>
      <c r="I345" s="2">
        <v>1</v>
      </c>
      <c r="J345" s="5">
        <v>46029</v>
      </c>
      <c r="K345" s="5">
        <v>46029</v>
      </c>
      <c r="L345" s="2" t="s">
        <v>865</v>
      </c>
      <c r="M345" s="5">
        <v>46091</v>
      </c>
      <c r="N345" s="3">
        <f>VLOOKUP(NavDataRegion[[#This Row],[Spool No]],[1]Sheet2!$B:$U,20,0)</f>
        <v>231.15397999999999</v>
      </c>
      <c r="O345" s="2">
        <v>23</v>
      </c>
      <c r="P345" s="2">
        <v>6</v>
      </c>
      <c r="Q345" s="2"/>
    </row>
    <row r="346" spans="1:17" ht="20.100000000000001" customHeight="1">
      <c r="A346" s="2" t="s">
        <v>9</v>
      </c>
      <c r="B346" s="2" t="s">
        <v>84</v>
      </c>
      <c r="C346" s="2" t="s">
        <v>758</v>
      </c>
      <c r="D346" s="2" t="e">
        <f>VLOOKUP(C:C,Vlookup!A:A,1,0)</f>
        <v>#N/A</v>
      </c>
      <c r="E346" s="2">
        <v>6</v>
      </c>
      <c r="F346" s="2" t="s">
        <v>10</v>
      </c>
      <c r="G346" s="2" t="s">
        <v>16</v>
      </c>
      <c r="H346" s="2" t="s">
        <v>11</v>
      </c>
      <c r="I346" s="2">
        <v>1</v>
      </c>
      <c r="J346" s="5">
        <v>46029</v>
      </c>
      <c r="K346" s="5">
        <v>46029</v>
      </c>
      <c r="L346" s="2" t="s">
        <v>865</v>
      </c>
      <c r="M346" s="5">
        <v>46091</v>
      </c>
      <c r="N346" s="3">
        <f>VLOOKUP(NavDataRegion[[#This Row],[Spool No]],[1]Sheet2!$B:$U,20,0)</f>
        <v>274.36351999999999</v>
      </c>
      <c r="O346" s="2">
        <v>23</v>
      </c>
      <c r="P346" s="2">
        <v>6</v>
      </c>
      <c r="Q346" s="2"/>
    </row>
    <row r="347" spans="1:17" ht="20.100000000000001" customHeight="1">
      <c r="A347" s="2" t="s">
        <v>9</v>
      </c>
      <c r="B347" s="2" t="s">
        <v>88</v>
      </c>
      <c r="C347" s="2" t="s">
        <v>759</v>
      </c>
      <c r="D347" s="2" t="e">
        <f>VLOOKUP(C:C,Vlookup!A:A,1,0)</f>
        <v>#N/A</v>
      </c>
      <c r="E347" s="2">
        <v>6</v>
      </c>
      <c r="F347" s="2" t="s">
        <v>10</v>
      </c>
      <c r="G347" s="2" t="s">
        <v>16</v>
      </c>
      <c r="H347" s="2" t="s">
        <v>11</v>
      </c>
      <c r="I347" s="2">
        <v>1</v>
      </c>
      <c r="J347" s="5">
        <v>46029</v>
      </c>
      <c r="K347" s="5">
        <v>46029</v>
      </c>
      <c r="L347" s="2" t="s">
        <v>865</v>
      </c>
      <c r="M347" s="5">
        <v>46091</v>
      </c>
      <c r="N347" s="3">
        <f>VLOOKUP(NavDataRegion[[#This Row],[Spool No]],[1]Sheet2!$B:$U,20,0)</f>
        <v>274.36351999999999</v>
      </c>
      <c r="O347" s="2">
        <v>23</v>
      </c>
      <c r="P347" s="2">
        <v>6</v>
      </c>
      <c r="Q347" s="2"/>
    </row>
    <row r="348" spans="1:17" ht="20.100000000000001" customHeight="1">
      <c r="A348" s="2" t="s">
        <v>9</v>
      </c>
      <c r="B348" s="2" t="s">
        <v>92</v>
      </c>
      <c r="C348" s="2" t="s">
        <v>760</v>
      </c>
      <c r="D348" s="2" t="e">
        <f>VLOOKUP(C:C,Vlookup!A:A,1,0)</f>
        <v>#N/A</v>
      </c>
      <c r="E348" s="2">
        <v>5</v>
      </c>
      <c r="F348" s="2" t="s">
        <v>10</v>
      </c>
      <c r="G348" s="2" t="s">
        <v>16</v>
      </c>
      <c r="H348" s="2" t="s">
        <v>11</v>
      </c>
      <c r="I348" s="2">
        <v>1</v>
      </c>
      <c r="J348" s="5">
        <v>46009</v>
      </c>
      <c r="K348" s="5">
        <v>46010</v>
      </c>
      <c r="L348" s="2" t="s">
        <v>865</v>
      </c>
      <c r="M348" s="5">
        <v>46090</v>
      </c>
      <c r="N348" s="3">
        <f>VLOOKUP(NavDataRegion[[#This Row],[Spool No]],[1]Sheet2!$B:$U,20,0)</f>
        <v>231.15397999999999</v>
      </c>
      <c r="O348" s="2">
        <v>23</v>
      </c>
      <c r="P348" s="2">
        <v>6</v>
      </c>
      <c r="Q348" s="2"/>
    </row>
    <row r="349" spans="1:17" ht="20.100000000000001" customHeight="1">
      <c r="A349" s="2" t="s">
        <v>9</v>
      </c>
      <c r="B349" s="2" t="s">
        <v>96</v>
      </c>
      <c r="C349" s="2" t="s">
        <v>761</v>
      </c>
      <c r="D349" s="2" t="e">
        <f>VLOOKUP(C:C,Vlookup!A:A,1,0)</f>
        <v>#N/A</v>
      </c>
      <c r="E349" s="2">
        <v>6</v>
      </c>
      <c r="F349" s="2" t="s">
        <v>10</v>
      </c>
      <c r="G349" s="2" t="s">
        <v>16</v>
      </c>
      <c r="H349" s="2" t="s">
        <v>11</v>
      </c>
      <c r="I349" s="2">
        <v>1</v>
      </c>
      <c r="J349" s="5">
        <v>46029</v>
      </c>
      <c r="K349" s="5">
        <v>46029</v>
      </c>
      <c r="L349" s="2" t="s">
        <v>865</v>
      </c>
      <c r="M349" s="5">
        <v>46091</v>
      </c>
      <c r="N349" s="3">
        <f>VLOOKUP(NavDataRegion[[#This Row],[Spool No]],[1]Sheet2!$B:$U,20,0)</f>
        <v>188.00004060800001</v>
      </c>
      <c r="O349" s="2">
        <v>17</v>
      </c>
      <c r="P349" s="2">
        <v>6</v>
      </c>
      <c r="Q349" s="2"/>
    </row>
    <row r="350" spans="1:17" ht="20.100000000000001" customHeight="1">
      <c r="A350" s="2" t="s">
        <v>9</v>
      </c>
      <c r="B350" s="2" t="s">
        <v>100</v>
      </c>
      <c r="C350" s="2" t="s">
        <v>762</v>
      </c>
      <c r="D350" s="2" t="e">
        <f>VLOOKUP(C:C,Vlookup!A:A,1,0)</f>
        <v>#N/A</v>
      </c>
      <c r="E350" s="2">
        <v>3</v>
      </c>
      <c r="F350" s="2" t="s">
        <v>10</v>
      </c>
      <c r="G350" s="2" t="s">
        <v>16</v>
      </c>
      <c r="H350" s="2" t="s">
        <v>11</v>
      </c>
      <c r="I350" s="2">
        <v>1</v>
      </c>
      <c r="J350" s="5">
        <v>46003</v>
      </c>
      <c r="K350" s="5">
        <v>46006</v>
      </c>
      <c r="L350" s="2" t="s">
        <v>865</v>
      </c>
      <c r="M350" s="5">
        <v>46090</v>
      </c>
      <c r="N350" s="3">
        <f>VLOOKUP(NavDataRegion[[#This Row],[Spool No]],[1]Sheet2!$B:$U,20,0)</f>
        <v>144.76316</v>
      </c>
      <c r="O350" s="2">
        <v>17</v>
      </c>
      <c r="P350" s="2">
        <v>6</v>
      </c>
      <c r="Q350" s="2"/>
    </row>
    <row r="351" spans="1:17" ht="20.100000000000001" customHeight="1">
      <c r="A351" s="2" t="s">
        <v>9</v>
      </c>
      <c r="B351" s="2" t="s">
        <v>104</v>
      </c>
      <c r="C351" s="2" t="s">
        <v>763</v>
      </c>
      <c r="D351" s="2" t="e">
        <f>VLOOKUP(C:C,Vlookup!A:A,1,0)</f>
        <v>#N/A</v>
      </c>
      <c r="E351" s="2">
        <v>9</v>
      </c>
      <c r="F351" s="2" t="s">
        <v>10</v>
      </c>
      <c r="G351" s="2" t="s">
        <v>16</v>
      </c>
      <c r="H351" s="2" t="s">
        <v>11</v>
      </c>
      <c r="I351" s="2">
        <v>1</v>
      </c>
      <c r="J351" s="5">
        <v>46049</v>
      </c>
      <c r="K351" s="5">
        <v>46050</v>
      </c>
      <c r="L351" s="2" t="s">
        <v>865</v>
      </c>
      <c r="M351" s="5">
        <v>46091</v>
      </c>
      <c r="N351" s="3">
        <f>VLOOKUP(NavDataRegion[[#This Row],[Spool No]],[1]Sheet2!$B:$U,20,0)</f>
        <v>101.55362</v>
      </c>
      <c r="O351" s="2">
        <v>17</v>
      </c>
      <c r="P351" s="2">
        <v>6</v>
      </c>
      <c r="Q351" s="2"/>
    </row>
    <row r="352" spans="1:17" ht="20.100000000000001" customHeight="1">
      <c r="A352" s="2" t="s">
        <v>9</v>
      </c>
      <c r="B352" s="2" t="s">
        <v>108</v>
      </c>
      <c r="C352" s="2" t="s">
        <v>764</v>
      </c>
      <c r="D352" s="2" t="e">
        <f>VLOOKUP(C:C,Vlookup!A:A,1,0)</f>
        <v>#N/A</v>
      </c>
      <c r="E352" s="2">
        <v>3</v>
      </c>
      <c r="F352" s="2" t="s">
        <v>10</v>
      </c>
      <c r="G352" s="2" t="s">
        <v>16</v>
      </c>
      <c r="H352" s="2" t="s">
        <v>11</v>
      </c>
      <c r="I352" s="2">
        <v>1</v>
      </c>
      <c r="J352" s="5">
        <v>45995</v>
      </c>
      <c r="K352" s="5">
        <v>45999</v>
      </c>
      <c r="L352" s="2" t="s">
        <v>865</v>
      </c>
      <c r="M352" s="5">
        <v>46090</v>
      </c>
      <c r="N352" s="3">
        <f>VLOOKUP(NavDataRegion[[#This Row],[Spool No]],[1]Sheet2!$B:$U,20,0)</f>
        <v>112.74639999999999</v>
      </c>
      <c r="O352" s="2">
        <v>11</v>
      </c>
      <c r="P352" s="2">
        <v>6</v>
      </c>
      <c r="Q352" s="2"/>
    </row>
    <row r="353" spans="1:17" ht="20.100000000000001" customHeight="1">
      <c r="A353" s="2" t="s">
        <v>9</v>
      </c>
      <c r="B353" s="2" t="s">
        <v>112</v>
      </c>
      <c r="C353" s="2" t="s">
        <v>765</v>
      </c>
      <c r="D353" s="2" t="e">
        <f>VLOOKUP(C:C,Vlookup!A:A,1,0)</f>
        <v>#N/A</v>
      </c>
      <c r="E353" s="2">
        <v>3</v>
      </c>
      <c r="F353" s="2" t="s">
        <v>10</v>
      </c>
      <c r="G353" s="2" t="s">
        <v>16</v>
      </c>
      <c r="H353" s="2" t="s">
        <v>11</v>
      </c>
      <c r="I353" s="2">
        <v>1</v>
      </c>
      <c r="J353" s="5">
        <v>45995</v>
      </c>
      <c r="K353" s="5">
        <v>45999</v>
      </c>
      <c r="L353" s="2" t="s">
        <v>865</v>
      </c>
      <c r="M353" s="5">
        <v>46090</v>
      </c>
      <c r="N353" s="3">
        <f>VLOOKUP(NavDataRegion[[#This Row],[Spool No]],[1]Sheet2!$B:$U,20,0)</f>
        <v>99.831580000000002</v>
      </c>
      <c r="O353" s="2">
        <v>11</v>
      </c>
      <c r="P353" s="2">
        <v>6</v>
      </c>
      <c r="Q353" s="2"/>
    </row>
    <row r="354" spans="1:17" ht="20.100000000000001" customHeight="1">
      <c r="A354" s="2" t="s">
        <v>9</v>
      </c>
      <c r="B354" s="2" t="s">
        <v>174</v>
      </c>
      <c r="C354" s="2" t="s">
        <v>766</v>
      </c>
      <c r="D354" s="2" t="e">
        <f>VLOOKUP(C:C,Vlookup!A:A,1,0)</f>
        <v>#N/A</v>
      </c>
      <c r="E354" s="2">
        <v>2</v>
      </c>
      <c r="F354" s="2" t="s">
        <v>767</v>
      </c>
      <c r="G354" s="2" t="s">
        <v>25</v>
      </c>
      <c r="H354" s="2" t="s">
        <v>11</v>
      </c>
      <c r="I354" s="2">
        <v>1</v>
      </c>
      <c r="J354" s="5">
        <v>45988</v>
      </c>
      <c r="K354" s="5">
        <v>45989</v>
      </c>
      <c r="L354" s="2" t="s">
        <v>865</v>
      </c>
      <c r="M354" s="5">
        <v>46090</v>
      </c>
      <c r="N354" s="3">
        <f>VLOOKUP(NavDataRegion[[#This Row],[Spool No]],[1]Sheet2!$B:$U,20,0)</f>
        <v>370.62619000000001</v>
      </c>
      <c r="O354" s="2">
        <v>24</v>
      </c>
      <c r="P354" s="2">
        <v>6</v>
      </c>
      <c r="Q354" s="2"/>
    </row>
    <row r="355" spans="1:17" ht="20.100000000000001" customHeight="1">
      <c r="A355" s="2" t="s">
        <v>9</v>
      </c>
      <c r="B355" s="2" t="s">
        <v>319</v>
      </c>
      <c r="C355" s="2" t="s">
        <v>774</v>
      </c>
      <c r="D355" s="2" t="e">
        <f>VLOOKUP(C:C,Vlookup!A:A,1,0)</f>
        <v>#N/A</v>
      </c>
      <c r="E355" s="2">
        <v>7</v>
      </c>
      <c r="F355" s="2" t="s">
        <v>10</v>
      </c>
      <c r="G355" s="2" t="s">
        <v>281</v>
      </c>
      <c r="H355" s="2" t="s">
        <v>11</v>
      </c>
      <c r="I355" s="2">
        <v>1</v>
      </c>
      <c r="J355" s="5">
        <v>46043</v>
      </c>
      <c r="K355" s="5">
        <v>46043</v>
      </c>
      <c r="L355" s="2" t="s">
        <v>865</v>
      </c>
      <c r="M355" s="5">
        <v>46091</v>
      </c>
      <c r="N355" s="3">
        <f>VLOOKUP(NavDataRegion[[#This Row],[Spool No]],[1]Sheet2!$B:$U,20,0)</f>
        <v>324.47179999999997</v>
      </c>
      <c r="O355" s="2">
        <v>2</v>
      </c>
      <c r="P355" s="2">
        <v>6</v>
      </c>
      <c r="Q355" s="2"/>
    </row>
    <row r="356" spans="1:17" ht="20.100000000000001" customHeight="1">
      <c r="A356" s="2" t="s">
        <v>9</v>
      </c>
      <c r="B356" s="2" t="s">
        <v>68</v>
      </c>
      <c r="C356" s="2" t="s">
        <v>780</v>
      </c>
      <c r="D356" s="2" t="e">
        <f>VLOOKUP(C:C,Vlookup!A:A,1,0)</f>
        <v>#N/A</v>
      </c>
      <c r="E356" s="2">
        <v>3</v>
      </c>
      <c r="F356" s="2" t="s">
        <v>10</v>
      </c>
      <c r="G356" s="2" t="s">
        <v>16</v>
      </c>
      <c r="H356" s="2" t="s">
        <v>11</v>
      </c>
      <c r="I356" s="2">
        <v>1</v>
      </c>
      <c r="J356" s="5">
        <v>46003</v>
      </c>
      <c r="K356" s="5">
        <v>46006</v>
      </c>
      <c r="L356" s="2" t="s">
        <v>865</v>
      </c>
      <c r="M356" s="5">
        <v>46090</v>
      </c>
      <c r="N356" s="3">
        <f>VLOOKUP(NavDataRegion[[#This Row],[Spool No]],[1]Sheet2!$B:$U,20,0)</f>
        <v>125.66122</v>
      </c>
      <c r="O356" s="2">
        <v>11</v>
      </c>
      <c r="P356" s="2">
        <v>6</v>
      </c>
      <c r="Q356" s="2"/>
    </row>
    <row r="357" spans="1:17" ht="20.100000000000001" customHeight="1">
      <c r="A357" s="2" t="s">
        <v>9</v>
      </c>
      <c r="B357" s="2" t="s">
        <v>72</v>
      </c>
      <c r="C357" s="2" t="s">
        <v>781</v>
      </c>
      <c r="D357" s="2" t="e">
        <f>VLOOKUP(C:C,Vlookup!A:A,1,0)</f>
        <v>#N/A</v>
      </c>
      <c r="E357" s="2">
        <v>3</v>
      </c>
      <c r="F357" s="2" t="s">
        <v>10</v>
      </c>
      <c r="G357" s="2" t="s">
        <v>16</v>
      </c>
      <c r="H357" s="2" t="s">
        <v>11</v>
      </c>
      <c r="I357" s="2">
        <v>1</v>
      </c>
      <c r="J357" s="5">
        <v>46003</v>
      </c>
      <c r="K357" s="5">
        <v>46006</v>
      </c>
      <c r="L357" s="2" t="s">
        <v>865</v>
      </c>
      <c r="M357" s="5">
        <v>46090</v>
      </c>
      <c r="N357" s="3">
        <f>VLOOKUP(NavDataRegion[[#This Row],[Spool No]],[1]Sheet2!$B:$U,20,0)</f>
        <v>145.89856</v>
      </c>
      <c r="O357" s="2">
        <v>16</v>
      </c>
      <c r="P357" s="2">
        <v>6</v>
      </c>
      <c r="Q357" s="2"/>
    </row>
    <row r="358" spans="1:17" ht="20.100000000000001" customHeight="1">
      <c r="A358" s="2" t="s">
        <v>9</v>
      </c>
      <c r="B358" s="2" t="s">
        <v>100</v>
      </c>
      <c r="C358" s="2" t="s">
        <v>717</v>
      </c>
      <c r="D358" s="2" t="e">
        <f>VLOOKUP(C:C,Vlookup!A:A,1,0)</f>
        <v>#N/A</v>
      </c>
      <c r="E358" s="2">
        <v>3</v>
      </c>
      <c r="F358" s="2" t="s">
        <v>10</v>
      </c>
      <c r="G358" s="2" t="s">
        <v>16</v>
      </c>
      <c r="H358" s="2" t="s">
        <v>11</v>
      </c>
      <c r="I358" s="2">
        <v>1</v>
      </c>
      <c r="J358" s="5">
        <v>45989</v>
      </c>
      <c r="K358" s="5">
        <v>45992</v>
      </c>
      <c r="L358" s="2" t="s">
        <v>865</v>
      </c>
      <c r="M358" s="5">
        <v>46090</v>
      </c>
      <c r="N358" s="3">
        <f>VLOOKUP(NavDataRegion[[#This Row],[Spool No]],[1]Sheet2!$B:$U,20,0)</f>
        <v>155.10632000000001</v>
      </c>
      <c r="O358" s="2">
        <v>29</v>
      </c>
      <c r="P358" s="2">
        <v>6</v>
      </c>
      <c r="Q358" s="2"/>
    </row>
    <row r="359" spans="1:17" ht="20.100000000000001" customHeight="1">
      <c r="A359" s="2" t="s">
        <v>9</v>
      </c>
      <c r="B359" s="2" t="s">
        <v>80</v>
      </c>
      <c r="C359" s="2" t="s">
        <v>783</v>
      </c>
      <c r="D359" s="2" t="e">
        <f>VLOOKUP(C:C,Vlookup!A:A,1,0)</f>
        <v>#N/A</v>
      </c>
      <c r="E359" s="2">
        <v>3</v>
      </c>
      <c r="F359" s="2" t="s">
        <v>10</v>
      </c>
      <c r="G359" s="2" t="s">
        <v>16</v>
      </c>
      <c r="H359" s="2" t="s">
        <v>11</v>
      </c>
      <c r="I359" s="2">
        <v>1</v>
      </c>
      <c r="J359" s="5">
        <v>45995</v>
      </c>
      <c r="K359" s="5">
        <v>45999</v>
      </c>
      <c r="L359" s="2" t="s">
        <v>865</v>
      </c>
      <c r="M359" s="5">
        <v>46090</v>
      </c>
      <c r="N359" s="3">
        <f>VLOOKUP(NavDataRegion[[#This Row],[Spool No]],[1]Sheet2!$B:$U,20,0)</f>
        <v>171.75646</v>
      </c>
      <c r="O359" s="2">
        <v>16</v>
      </c>
      <c r="P359" s="2">
        <v>6</v>
      </c>
      <c r="Q359" s="2"/>
    </row>
    <row r="360" spans="1:17" ht="20.100000000000001" customHeight="1">
      <c r="A360" s="2" t="s">
        <v>9</v>
      </c>
      <c r="B360" s="2" t="s">
        <v>84</v>
      </c>
      <c r="C360" s="2" t="s">
        <v>784</v>
      </c>
      <c r="D360" s="2" t="e">
        <f>VLOOKUP(C:C,Vlookup!A:A,1,0)</f>
        <v>#N/A</v>
      </c>
      <c r="E360" s="2">
        <v>3</v>
      </c>
      <c r="F360" s="2" t="s">
        <v>10</v>
      </c>
      <c r="G360" s="2" t="s">
        <v>16</v>
      </c>
      <c r="H360" s="2" t="s">
        <v>11</v>
      </c>
      <c r="I360" s="2">
        <v>1</v>
      </c>
      <c r="J360" s="5">
        <v>45995</v>
      </c>
      <c r="K360" s="5">
        <v>45999</v>
      </c>
      <c r="L360" s="2" t="s">
        <v>865</v>
      </c>
      <c r="M360" s="5">
        <v>46090</v>
      </c>
      <c r="N360" s="3">
        <f>VLOOKUP(NavDataRegion[[#This Row],[Spool No]],[1]Sheet2!$B:$U,20,0)</f>
        <v>184.64302000000001</v>
      </c>
      <c r="O360" s="2">
        <v>16</v>
      </c>
      <c r="P360" s="2">
        <v>6</v>
      </c>
      <c r="Q360" s="2"/>
    </row>
    <row r="361" spans="1:17" ht="20.100000000000001" customHeight="1">
      <c r="A361" s="2" t="s">
        <v>9</v>
      </c>
      <c r="B361" s="2" t="s">
        <v>100</v>
      </c>
      <c r="C361" s="2" t="s">
        <v>788</v>
      </c>
      <c r="D361" s="2" t="e">
        <f>VLOOKUP(C:C,Vlookup!A:A,1,0)</f>
        <v>#N/A</v>
      </c>
      <c r="E361" s="2">
        <v>3</v>
      </c>
      <c r="F361" s="2" t="s">
        <v>10</v>
      </c>
      <c r="G361" s="2" t="s">
        <v>16</v>
      </c>
      <c r="H361" s="2" t="s">
        <v>11</v>
      </c>
      <c r="I361" s="2">
        <v>1</v>
      </c>
      <c r="J361" s="5">
        <v>45989</v>
      </c>
      <c r="K361" s="5">
        <v>45992</v>
      </c>
      <c r="L361" s="2" t="s">
        <v>865</v>
      </c>
      <c r="M361" s="5">
        <v>46090</v>
      </c>
      <c r="N361" s="3">
        <f>VLOOKUP(NavDataRegion[[#This Row],[Spool No]],[1]Sheet2!$B:$U,20,0)</f>
        <v>144.76024000000001</v>
      </c>
      <c r="O361" s="2">
        <v>16</v>
      </c>
      <c r="P361" s="2">
        <v>6</v>
      </c>
      <c r="Q361" s="2"/>
    </row>
    <row r="362" spans="1:17" ht="20.100000000000001" customHeight="1">
      <c r="A362" s="2" t="s">
        <v>9</v>
      </c>
      <c r="B362" s="2" t="s">
        <v>118</v>
      </c>
      <c r="C362" s="2" t="s">
        <v>119</v>
      </c>
      <c r="D362" s="2" t="e">
        <f>VLOOKUP(C:C,Vlookup!A:A,1,0)</f>
        <v>#N/A</v>
      </c>
      <c r="E362" s="2">
        <v>2</v>
      </c>
      <c r="F362" s="2" t="s">
        <v>10</v>
      </c>
      <c r="G362" s="2" t="s">
        <v>25</v>
      </c>
      <c r="H362" s="2" t="s">
        <v>11</v>
      </c>
      <c r="I362" s="2">
        <v>1</v>
      </c>
      <c r="J362" s="5">
        <v>45989</v>
      </c>
      <c r="K362" s="5">
        <v>45992</v>
      </c>
      <c r="L362" s="2" t="s">
        <v>865</v>
      </c>
      <c r="M362" s="5">
        <v>46090</v>
      </c>
      <c r="N362" s="3">
        <f>VLOOKUP(NavDataRegion[[#This Row],[Spool No]],[1]Sheet2!$B:$U,20,0)</f>
        <v>170.67447999999999</v>
      </c>
      <c r="O362" s="2">
        <v>84</v>
      </c>
      <c r="P362" s="2">
        <v>6</v>
      </c>
      <c r="Q362" s="2"/>
    </row>
    <row r="363" spans="1:17" ht="20.100000000000001" customHeight="1">
      <c r="A363" s="2" t="s">
        <v>9</v>
      </c>
      <c r="B363" s="2" t="s">
        <v>124</v>
      </c>
      <c r="C363" s="2" t="s">
        <v>521</v>
      </c>
      <c r="D363" s="2" t="e">
        <f>VLOOKUP(C:C,Vlookup!A:A,1,0)</f>
        <v>#N/A</v>
      </c>
      <c r="E363" s="2">
        <v>2</v>
      </c>
      <c r="F363" s="2" t="s">
        <v>10</v>
      </c>
      <c r="G363" s="2" t="s">
        <v>16</v>
      </c>
      <c r="H363" s="2" t="s">
        <v>11</v>
      </c>
      <c r="I363" s="2">
        <v>1</v>
      </c>
      <c r="J363" s="5">
        <v>45989</v>
      </c>
      <c r="K363" s="5">
        <v>45992</v>
      </c>
      <c r="L363" s="2" t="s">
        <v>865</v>
      </c>
      <c r="M363" s="5">
        <v>46090</v>
      </c>
      <c r="N363" s="3">
        <f>VLOOKUP(NavDataRegion[[#This Row],[Spool No]],[1]Sheet2!$B:$U,20,0)</f>
        <v>274.27044044000002</v>
      </c>
      <c r="O363" s="2">
        <v>58</v>
      </c>
      <c r="P363" s="2">
        <v>6</v>
      </c>
      <c r="Q363" s="2"/>
    </row>
    <row r="364" spans="1:17" ht="20.100000000000001" customHeight="1">
      <c r="A364" s="2" t="s">
        <v>9</v>
      </c>
      <c r="B364" s="2" t="s">
        <v>142</v>
      </c>
      <c r="C364" s="2" t="s">
        <v>143</v>
      </c>
      <c r="D364" s="2" t="e">
        <f>VLOOKUP(C:C,Vlookup!A:A,1,0)</f>
        <v>#N/A</v>
      </c>
      <c r="E364" s="2">
        <v>2</v>
      </c>
      <c r="F364" s="2" t="s">
        <v>10</v>
      </c>
      <c r="G364" s="2" t="s">
        <v>25</v>
      </c>
      <c r="H364" s="2" t="s">
        <v>11</v>
      </c>
      <c r="I364" s="2">
        <v>1</v>
      </c>
      <c r="J364" s="5">
        <v>45989</v>
      </c>
      <c r="K364" s="5">
        <v>45992</v>
      </c>
      <c r="L364" s="2" t="s">
        <v>865</v>
      </c>
      <c r="M364" s="5">
        <v>46090</v>
      </c>
      <c r="N364" s="3">
        <f>VLOOKUP(NavDataRegion[[#This Row],[Spool No]],[1]Sheet2!$B:$U,20,0)</f>
        <v>170.60105999999999</v>
      </c>
      <c r="O364" s="2">
        <v>84</v>
      </c>
      <c r="P364" s="2">
        <v>6</v>
      </c>
      <c r="Q364" s="2"/>
    </row>
    <row r="365" spans="1:17" ht="20.100000000000001" customHeight="1">
      <c r="A365" s="2" t="s">
        <v>9</v>
      </c>
      <c r="B365" s="2" t="s">
        <v>104</v>
      </c>
      <c r="C365" s="2" t="s">
        <v>789</v>
      </c>
      <c r="D365" s="2" t="e">
        <f>VLOOKUP(C:C,Vlookup!A:A,1,0)</f>
        <v>#N/A</v>
      </c>
      <c r="E365" s="2">
        <v>3</v>
      </c>
      <c r="F365" s="2" t="s">
        <v>10</v>
      </c>
      <c r="G365" s="2" t="s">
        <v>16</v>
      </c>
      <c r="H365" s="2" t="s">
        <v>11</v>
      </c>
      <c r="I365" s="2">
        <v>1</v>
      </c>
      <c r="J365" s="5">
        <v>45995</v>
      </c>
      <c r="K365" s="5">
        <v>45999</v>
      </c>
      <c r="L365" s="2" t="s">
        <v>865</v>
      </c>
      <c r="M365" s="5">
        <v>46090</v>
      </c>
      <c r="N365" s="3">
        <f>VLOOKUP(NavDataRegion[[#This Row],[Spool No]],[1]Sheet2!$B:$U,20,0)</f>
        <v>125.66122</v>
      </c>
      <c r="O365" s="2">
        <v>11</v>
      </c>
      <c r="P365" s="2">
        <v>6</v>
      </c>
      <c r="Q365" s="2"/>
    </row>
    <row r="366" spans="1:17" ht="20.100000000000001" customHeight="1">
      <c r="A366" s="2" t="s">
        <v>9</v>
      </c>
      <c r="B366" s="2" t="s">
        <v>174</v>
      </c>
      <c r="C366" s="2" t="s">
        <v>790</v>
      </c>
      <c r="D366" s="2" t="e">
        <f>VLOOKUP(C:C,Vlookup!A:A,1,0)</f>
        <v>#N/A</v>
      </c>
      <c r="E366" s="2">
        <v>7</v>
      </c>
      <c r="F366" s="2" t="s">
        <v>791</v>
      </c>
      <c r="G366" s="2" t="s">
        <v>25</v>
      </c>
      <c r="H366" s="2" t="s">
        <v>11</v>
      </c>
      <c r="I366" s="2">
        <v>1</v>
      </c>
      <c r="J366" s="5">
        <v>46043</v>
      </c>
      <c r="K366" s="5">
        <v>46043</v>
      </c>
      <c r="L366" s="2" t="s">
        <v>865</v>
      </c>
      <c r="M366" s="5">
        <v>46091</v>
      </c>
      <c r="N366" s="3">
        <f>VLOOKUP(NavDataRegion[[#This Row],[Spool No]],[1]Sheet2!$B:$U,20,0)</f>
        <v>190.80914999999999</v>
      </c>
      <c r="O366" s="2">
        <v>19</v>
      </c>
      <c r="P366" s="2">
        <v>6</v>
      </c>
      <c r="Q366" s="2"/>
    </row>
    <row r="367" spans="1:17" ht="20.100000000000001" customHeight="1">
      <c r="A367" s="2" t="s">
        <v>9</v>
      </c>
      <c r="B367" s="2" t="s">
        <v>319</v>
      </c>
      <c r="C367" s="2" t="s">
        <v>795</v>
      </c>
      <c r="D367" s="2" t="e">
        <f>VLOOKUP(C:C,Vlookup!A:A,1,0)</f>
        <v>#N/A</v>
      </c>
      <c r="E367" s="2">
        <v>7</v>
      </c>
      <c r="F367" s="2" t="s">
        <v>10</v>
      </c>
      <c r="G367" s="2" t="s">
        <v>281</v>
      </c>
      <c r="H367" s="2" t="s">
        <v>11</v>
      </c>
      <c r="I367" s="2">
        <v>1</v>
      </c>
      <c r="J367" s="5">
        <v>46043</v>
      </c>
      <c r="K367" s="5">
        <v>46043</v>
      </c>
      <c r="L367" s="2" t="s">
        <v>865</v>
      </c>
      <c r="M367" s="5">
        <v>46091</v>
      </c>
      <c r="N367" s="3">
        <f>VLOOKUP(NavDataRegion[[#This Row],[Spool No]],[1]Sheet2!$B:$U,20,0)</f>
        <v>311.39537999999999</v>
      </c>
      <c r="O367" s="2">
        <v>10</v>
      </c>
      <c r="P367" s="2">
        <v>6</v>
      </c>
      <c r="Q367" s="2"/>
    </row>
    <row r="368" spans="1:17" ht="20.100000000000001" customHeight="1">
      <c r="A368" s="2" t="s">
        <v>9</v>
      </c>
      <c r="B368" s="2" t="s">
        <v>174</v>
      </c>
      <c r="C368" s="2" t="s">
        <v>799</v>
      </c>
      <c r="D368" s="2" t="e">
        <f>VLOOKUP(C:C,Vlookup!A:A,1,0)</f>
        <v>#N/A</v>
      </c>
      <c r="E368" s="2">
        <v>2</v>
      </c>
      <c r="F368" s="2" t="s">
        <v>800</v>
      </c>
      <c r="G368" s="2" t="s">
        <v>25</v>
      </c>
      <c r="H368" s="2" t="s">
        <v>11</v>
      </c>
      <c r="I368" s="2">
        <v>1</v>
      </c>
      <c r="J368" s="5">
        <v>45988</v>
      </c>
      <c r="K368" s="5">
        <v>45989</v>
      </c>
      <c r="L368" s="2" t="s">
        <v>865</v>
      </c>
      <c r="M368" s="5">
        <v>46090</v>
      </c>
      <c r="N368" s="3">
        <f>VLOOKUP(NavDataRegion[[#This Row],[Spool No]],[1]Sheet2!$B:$U,20,0)</f>
        <v>370.62619000000001</v>
      </c>
      <c r="O368" s="2">
        <v>24</v>
      </c>
      <c r="P368" s="2">
        <v>6</v>
      </c>
      <c r="Q368" s="2"/>
    </row>
    <row r="369" spans="1:17" ht="20.100000000000001" customHeight="1">
      <c r="A369" s="2" t="s">
        <v>9</v>
      </c>
      <c r="B369" s="2" t="s">
        <v>174</v>
      </c>
      <c r="C369" s="2" t="s">
        <v>806</v>
      </c>
      <c r="D369" s="2" t="e">
        <f>VLOOKUP(C:C,Vlookup!A:A,1,0)</f>
        <v>#N/A</v>
      </c>
      <c r="E369" s="2">
        <v>7</v>
      </c>
      <c r="F369" s="2" t="s">
        <v>807</v>
      </c>
      <c r="G369" s="2" t="s">
        <v>25</v>
      </c>
      <c r="H369" s="2" t="s">
        <v>11</v>
      </c>
      <c r="I369" s="2">
        <v>1</v>
      </c>
      <c r="J369" s="5">
        <v>46043</v>
      </c>
      <c r="K369" s="5">
        <v>46043</v>
      </c>
      <c r="L369" s="2" t="s">
        <v>865</v>
      </c>
      <c r="M369" s="5">
        <v>46091</v>
      </c>
      <c r="N369" s="3">
        <f>VLOOKUP(NavDataRegion[[#This Row],[Spool No]],[1]Sheet2!$B:$U,20,0)</f>
        <v>190.80914999999999</v>
      </c>
      <c r="O369" s="2">
        <v>19</v>
      </c>
      <c r="P369" s="2">
        <v>6</v>
      </c>
      <c r="Q369" s="2"/>
    </row>
    <row r="370" spans="1:17" ht="20.100000000000001" customHeight="1">
      <c r="A370" s="2" t="s">
        <v>9</v>
      </c>
      <c r="B370" s="2" t="s">
        <v>174</v>
      </c>
      <c r="C370" s="2" t="s">
        <v>811</v>
      </c>
      <c r="D370" s="2" t="e">
        <f>VLOOKUP(C:C,Vlookup!A:A,1,0)</f>
        <v>#N/A</v>
      </c>
      <c r="E370" s="2">
        <v>2</v>
      </c>
      <c r="F370" s="2" t="s">
        <v>812</v>
      </c>
      <c r="G370" s="2" t="s">
        <v>25</v>
      </c>
      <c r="H370" s="2" t="s">
        <v>11</v>
      </c>
      <c r="I370" s="2">
        <v>1</v>
      </c>
      <c r="J370" s="5">
        <v>45988</v>
      </c>
      <c r="K370" s="5">
        <v>45989</v>
      </c>
      <c r="L370" s="2" t="s">
        <v>865</v>
      </c>
      <c r="M370" s="5">
        <v>46090</v>
      </c>
      <c r="N370" s="3">
        <f>VLOOKUP(NavDataRegion[[#This Row],[Spool No]],[1]Sheet2!$B:$U,20,0)</f>
        <v>370.62619000000001</v>
      </c>
      <c r="O370" s="2">
        <v>24</v>
      </c>
      <c r="P370" s="2">
        <v>6</v>
      </c>
      <c r="Q370" s="2"/>
    </row>
    <row r="371" spans="1:17" ht="20.100000000000001" customHeight="1">
      <c r="A371" s="2" t="s">
        <v>9</v>
      </c>
      <c r="B371" s="2" t="s">
        <v>174</v>
      </c>
      <c r="C371" s="2" t="s">
        <v>816</v>
      </c>
      <c r="D371" s="2" t="e">
        <f>VLOOKUP(C:C,Vlookup!A:A,1,0)</f>
        <v>#N/A</v>
      </c>
      <c r="E371" s="2">
        <v>7</v>
      </c>
      <c r="F371" s="2" t="s">
        <v>817</v>
      </c>
      <c r="G371" s="2" t="s">
        <v>25</v>
      </c>
      <c r="H371" s="2" t="s">
        <v>11</v>
      </c>
      <c r="I371" s="2">
        <v>1</v>
      </c>
      <c r="J371" s="5">
        <v>46043</v>
      </c>
      <c r="K371" s="5">
        <v>46043</v>
      </c>
      <c r="L371" s="2" t="s">
        <v>865</v>
      </c>
      <c r="M371" s="5">
        <v>46091</v>
      </c>
      <c r="N371" s="3">
        <f>VLOOKUP(NavDataRegion[[#This Row],[Spool No]],[1]Sheet2!$B:$U,20,0)</f>
        <v>190.80914999999999</v>
      </c>
      <c r="O371" s="2">
        <v>19</v>
      </c>
      <c r="P371" s="2">
        <v>6</v>
      </c>
      <c r="Q371" s="2"/>
    </row>
    <row r="372" spans="1:17" ht="20.100000000000001" customHeight="1">
      <c r="A372" s="2" t="s">
        <v>9</v>
      </c>
      <c r="B372" s="2" t="s">
        <v>174</v>
      </c>
      <c r="C372" s="2" t="s">
        <v>821</v>
      </c>
      <c r="D372" s="2" t="e">
        <f>VLOOKUP(C:C,Vlookup!A:A,1,0)</f>
        <v>#N/A</v>
      </c>
      <c r="E372" s="2">
        <v>2</v>
      </c>
      <c r="F372" s="2" t="s">
        <v>822</v>
      </c>
      <c r="G372" s="2" t="s">
        <v>25</v>
      </c>
      <c r="H372" s="2" t="s">
        <v>11</v>
      </c>
      <c r="I372" s="2">
        <v>1</v>
      </c>
      <c r="J372" s="5">
        <v>45989</v>
      </c>
      <c r="K372" s="5">
        <v>45992</v>
      </c>
      <c r="L372" s="2" t="s">
        <v>865</v>
      </c>
      <c r="M372" s="5">
        <v>46090</v>
      </c>
      <c r="N372" s="3">
        <f>VLOOKUP(NavDataRegion[[#This Row],[Spool No]],[1]Sheet2!$B:$U,20,0)</f>
        <v>370.62619000000001</v>
      </c>
      <c r="O372" s="2">
        <v>24</v>
      </c>
      <c r="P372" s="2">
        <v>6</v>
      </c>
      <c r="Q372" s="2"/>
    </row>
    <row r="373" spans="1:17" ht="20.100000000000001" customHeight="1">
      <c r="A373" s="2" t="s">
        <v>9</v>
      </c>
      <c r="B373" s="2" t="s">
        <v>223</v>
      </c>
      <c r="C373" s="2" t="s">
        <v>663</v>
      </c>
      <c r="D373" s="2" t="e">
        <f>VLOOKUP(C:C,Vlookup!A:A,1,0)</f>
        <v>#N/A</v>
      </c>
      <c r="E373" s="2">
        <v>13</v>
      </c>
      <c r="F373" s="2" t="s">
        <v>10</v>
      </c>
      <c r="G373" s="2" t="s">
        <v>16</v>
      </c>
      <c r="H373" s="2" t="s">
        <v>11</v>
      </c>
      <c r="I373" s="2">
        <v>1</v>
      </c>
      <c r="J373" s="5">
        <v>46087</v>
      </c>
      <c r="K373" s="5">
        <v>46094</v>
      </c>
      <c r="L373" s="2" t="s">
        <v>865</v>
      </c>
      <c r="M373" s="5">
        <v>46105</v>
      </c>
      <c r="N373" s="3">
        <f>VLOOKUP(NavDataRegion[[#This Row],[Spool No]],[1]Sheet2!$B:$U,20,0)</f>
        <v>78.234949528000001</v>
      </c>
      <c r="O373" s="2">
        <v>17</v>
      </c>
      <c r="P373" s="2">
        <v>6</v>
      </c>
      <c r="Q373" s="2"/>
    </row>
    <row r="374" spans="1:17" ht="20.100000000000001" customHeight="1">
      <c r="A374" s="2" t="s">
        <v>9</v>
      </c>
      <c r="B374" s="2" t="s">
        <v>187</v>
      </c>
      <c r="C374" s="2" t="s">
        <v>188</v>
      </c>
      <c r="D374" s="2" t="e">
        <f>VLOOKUP(C:C,Vlookup!A:A,1,0)</f>
        <v>#N/A</v>
      </c>
      <c r="E374" s="2">
        <v>6</v>
      </c>
      <c r="F374" s="2" t="s">
        <v>10</v>
      </c>
      <c r="G374" s="2" t="s">
        <v>16</v>
      </c>
      <c r="H374" s="2" t="s">
        <v>11</v>
      </c>
      <c r="I374" s="2">
        <v>1</v>
      </c>
      <c r="J374" s="5">
        <v>46029</v>
      </c>
      <c r="K374" s="5">
        <v>46029</v>
      </c>
      <c r="L374" s="2" t="s">
        <v>865</v>
      </c>
      <c r="M374" s="5">
        <v>46091</v>
      </c>
      <c r="N374" s="3">
        <f>VLOOKUP(NavDataRegion[[#This Row],[Spool No]],[1]Sheet2!$B:$U,20,0)</f>
        <v>153.773355216</v>
      </c>
      <c r="O374" s="2">
        <v>37</v>
      </c>
      <c r="P374" s="2">
        <v>8</v>
      </c>
      <c r="Q374" s="2"/>
    </row>
    <row r="375" spans="1:17" ht="20.100000000000001" customHeight="1">
      <c r="A375" s="2" t="s">
        <v>9</v>
      </c>
      <c r="B375" s="2" t="s">
        <v>215</v>
      </c>
      <c r="C375" s="2" t="s">
        <v>216</v>
      </c>
      <c r="D375" s="2" t="e">
        <f>VLOOKUP(C:C,Vlookup!A:A,1,0)</f>
        <v>#N/A</v>
      </c>
      <c r="E375" s="2">
        <v>8</v>
      </c>
      <c r="F375" s="2" t="s">
        <v>217</v>
      </c>
      <c r="G375" s="2" t="s">
        <v>25</v>
      </c>
      <c r="H375" s="2" t="s">
        <v>11</v>
      </c>
      <c r="I375" s="2">
        <v>1</v>
      </c>
      <c r="J375" s="5">
        <v>46045</v>
      </c>
      <c r="K375" s="5">
        <v>46045</v>
      </c>
      <c r="L375" s="2" t="s">
        <v>865</v>
      </c>
      <c r="M375" s="5">
        <v>46091</v>
      </c>
      <c r="N375" s="3">
        <f>VLOOKUP(NavDataRegion[[#This Row],[Spool No]],[1]Sheet2!$B:$U,20,0)</f>
        <v>120.49679999999999</v>
      </c>
      <c r="O375" s="2">
        <v>17</v>
      </c>
      <c r="P375" s="2">
        <v>8</v>
      </c>
      <c r="Q375" s="2"/>
    </row>
    <row r="376" spans="1:17" ht="20.100000000000001" customHeight="1">
      <c r="A376" s="2" t="s">
        <v>9</v>
      </c>
      <c r="B376" s="2" t="s">
        <v>1263</v>
      </c>
      <c r="C376" s="2" t="s">
        <v>1745</v>
      </c>
      <c r="D376" s="2" t="e">
        <f>VLOOKUP(C:C,Vlookup!A:A,1,0)</f>
        <v>#N/A</v>
      </c>
      <c r="E376" s="2">
        <v>14</v>
      </c>
      <c r="F376" s="17" t="s">
        <v>10</v>
      </c>
      <c r="G376" s="17" t="s">
        <v>25</v>
      </c>
      <c r="H376" s="2" t="s">
        <v>11</v>
      </c>
      <c r="I376" s="2">
        <v>1</v>
      </c>
      <c r="J376" s="5">
        <v>46100</v>
      </c>
      <c r="K376" s="5">
        <v>46101</v>
      </c>
      <c r="L376" s="2" t="s">
        <v>865</v>
      </c>
      <c r="M376" s="5">
        <v>45754</v>
      </c>
      <c r="N376" s="3">
        <f>VLOOKUP(NavDataRegion[[#This Row],[Spool No]],[1]Sheet2!$B:$U,20,0)</f>
        <v>6.2142400000000002</v>
      </c>
      <c r="O376" s="2">
        <v>1.5</v>
      </c>
      <c r="P376" s="2">
        <v>0.5</v>
      </c>
      <c r="Q376" s="2"/>
    </row>
    <row r="377" spans="1:17" ht="20.100000000000001" customHeight="1">
      <c r="A377" s="2" t="s">
        <v>9</v>
      </c>
      <c r="B377" s="2" t="s">
        <v>1265</v>
      </c>
      <c r="C377" s="2" t="s">
        <v>1590</v>
      </c>
      <c r="D377" s="2" t="e">
        <f>VLOOKUP(C:C,Vlookup!A:A,1,0)</f>
        <v>#N/A</v>
      </c>
      <c r="E377" s="2">
        <v>14</v>
      </c>
      <c r="F377" s="17" t="s">
        <v>10</v>
      </c>
      <c r="G377" s="17" t="s">
        <v>25</v>
      </c>
      <c r="H377" s="2" t="s">
        <v>11</v>
      </c>
      <c r="I377" s="2">
        <v>1</v>
      </c>
      <c r="J377" s="5">
        <v>46100</v>
      </c>
      <c r="K377" s="5">
        <v>46101</v>
      </c>
      <c r="L377" s="2" t="s">
        <v>865</v>
      </c>
      <c r="M377" s="5">
        <v>45754</v>
      </c>
      <c r="N377" s="3">
        <f>VLOOKUP(NavDataRegion[[#This Row],[Spool No]],[1]Sheet2!$B:$U,20,0)</f>
        <v>1.7689999999999999</v>
      </c>
      <c r="O377" s="2">
        <v>0.5</v>
      </c>
      <c r="P377" s="2">
        <v>0.5</v>
      </c>
      <c r="Q377" s="2"/>
    </row>
    <row r="378" spans="1:17" ht="20.100000000000001" customHeight="1">
      <c r="A378" s="2" t="s">
        <v>9</v>
      </c>
      <c r="B378" s="2" t="s">
        <v>264</v>
      </c>
      <c r="C378" s="2" t="s">
        <v>265</v>
      </c>
      <c r="D378" s="2" t="e">
        <f>VLOOKUP(C:C,Vlookup!A:A,1,0)</f>
        <v>#N/A</v>
      </c>
      <c r="E378" s="2">
        <v>7</v>
      </c>
      <c r="F378" s="2" t="s">
        <v>10</v>
      </c>
      <c r="G378" s="2" t="s">
        <v>25</v>
      </c>
      <c r="H378" s="2" t="s">
        <v>11</v>
      </c>
      <c r="I378" s="2">
        <v>1</v>
      </c>
      <c r="J378" s="5">
        <v>46043</v>
      </c>
      <c r="K378" s="5">
        <v>46043</v>
      </c>
      <c r="L378" s="2" t="s">
        <v>865</v>
      </c>
      <c r="M378" s="5">
        <v>46091</v>
      </c>
      <c r="N378" s="3">
        <f>VLOOKUP(NavDataRegion[[#This Row],[Spool No]],[1]Sheet2!$B:$U,20,0)</f>
        <v>108.95910000000001</v>
      </c>
      <c r="O378" s="2">
        <v>39</v>
      </c>
      <c r="P378" s="2">
        <v>8</v>
      </c>
      <c r="Q378" s="2"/>
    </row>
    <row r="379" spans="1:17" ht="20.100000000000001" customHeight="1">
      <c r="A379" s="10" t="s">
        <v>9</v>
      </c>
      <c r="B379" s="10" t="s">
        <v>237</v>
      </c>
      <c r="C379" s="10" t="s">
        <v>841</v>
      </c>
      <c r="D379" s="2" t="e">
        <f>VLOOKUP(C:C,Vlookup!A:A,1,0)</f>
        <v>#N/A</v>
      </c>
      <c r="E379" s="2">
        <v>13</v>
      </c>
      <c r="F379" s="10" t="s">
        <v>842</v>
      </c>
      <c r="G379" s="10" t="s">
        <v>16</v>
      </c>
      <c r="H379" s="2" t="s">
        <v>11</v>
      </c>
      <c r="I379" s="2">
        <v>1</v>
      </c>
      <c r="J379" s="5">
        <v>46087</v>
      </c>
      <c r="K379" s="5">
        <v>46094</v>
      </c>
      <c r="L379" s="2" t="s">
        <v>865</v>
      </c>
      <c r="M379" s="5">
        <v>46105</v>
      </c>
      <c r="N379" s="26">
        <f>VLOOKUP(NavDataRegion[[#This Row],[Spool No]],[1]Sheet2!$B:$U,20,0)</f>
        <v>68.963620607999999</v>
      </c>
      <c r="O379" s="11">
        <v>9.5</v>
      </c>
      <c r="P379" s="10">
        <v>6</v>
      </c>
      <c r="Q379" s="2"/>
    </row>
    <row r="380" spans="1:17" ht="20.100000000000001" customHeight="1">
      <c r="A380" s="2" t="s">
        <v>9</v>
      </c>
      <c r="B380" s="2" t="s">
        <v>905</v>
      </c>
      <c r="C380" s="2" t="s">
        <v>1658</v>
      </c>
      <c r="D380" s="2" t="e">
        <f>VLOOKUP(C:C,Vlookup!A:A,1,0)</f>
        <v>#N/A</v>
      </c>
      <c r="E380" s="2">
        <v>16</v>
      </c>
      <c r="F380" s="17" t="s">
        <v>10</v>
      </c>
      <c r="G380" s="17" t="s">
        <v>281</v>
      </c>
      <c r="H380" s="2" t="s">
        <v>11</v>
      </c>
      <c r="I380" s="2">
        <v>1</v>
      </c>
      <c r="J380" s="5">
        <v>46113</v>
      </c>
      <c r="K380" s="5">
        <v>46118</v>
      </c>
      <c r="L380" s="2" t="s">
        <v>865</v>
      </c>
      <c r="M380" s="5">
        <v>46167</v>
      </c>
      <c r="N380" s="3">
        <f>VLOOKUP(NavDataRegion[[#This Row],[Spool No]],[1]Sheet2!$B:$U,20,0)</f>
        <v>10.192959999999999</v>
      </c>
      <c r="O380" s="2">
        <v>1</v>
      </c>
      <c r="P380" s="2">
        <v>0.5</v>
      </c>
      <c r="Q380" s="2"/>
    </row>
    <row r="381" spans="1:17" ht="20.100000000000001" customHeight="1">
      <c r="A381" s="2" t="s">
        <v>9</v>
      </c>
      <c r="B381" s="2" t="s">
        <v>152</v>
      </c>
      <c r="C381" s="2" t="s">
        <v>153</v>
      </c>
      <c r="D381" s="2" t="e">
        <f>VLOOKUP(C:C,Vlookup!A:A,1,0)</f>
        <v>#N/A</v>
      </c>
      <c r="E381" s="2">
        <v>1</v>
      </c>
      <c r="F381" s="2" t="s">
        <v>10</v>
      </c>
      <c r="G381" s="2" t="s">
        <v>25</v>
      </c>
      <c r="H381" s="2" t="s">
        <v>11</v>
      </c>
      <c r="I381" s="2">
        <v>1</v>
      </c>
      <c r="J381" s="5">
        <v>45981</v>
      </c>
      <c r="K381" s="5">
        <v>45982</v>
      </c>
      <c r="L381" s="2" t="s">
        <v>865</v>
      </c>
      <c r="M381" s="5">
        <v>46090</v>
      </c>
      <c r="N381" s="3">
        <f>VLOOKUP(NavDataRegion[[#This Row],[Spool No]],[1]Sheet2!$B:$U,20,0)</f>
        <v>440.55</v>
      </c>
      <c r="O381" s="2">
        <v>54</v>
      </c>
      <c r="P381" s="2">
        <v>18</v>
      </c>
      <c r="Q381" s="2"/>
    </row>
    <row r="382" spans="1:17" ht="20.100000000000001" customHeight="1">
      <c r="A382" s="2" t="s">
        <v>9</v>
      </c>
      <c r="B382" s="2" t="s">
        <v>334</v>
      </c>
      <c r="C382" s="2" t="s">
        <v>335</v>
      </c>
      <c r="D382" s="2" t="e">
        <f>VLOOKUP(C:C,Vlookup!A:A,1,0)</f>
        <v>#N/A</v>
      </c>
      <c r="E382" s="2">
        <v>2</v>
      </c>
      <c r="F382" s="2" t="s">
        <v>10</v>
      </c>
      <c r="G382" s="2" t="s">
        <v>25</v>
      </c>
      <c r="H382" s="2" t="s">
        <v>11</v>
      </c>
      <c r="I382" s="2">
        <v>1</v>
      </c>
      <c r="J382" s="5">
        <v>45981</v>
      </c>
      <c r="K382" s="5">
        <v>45982</v>
      </c>
      <c r="L382" s="2" t="s">
        <v>865</v>
      </c>
      <c r="M382" s="5">
        <v>46090</v>
      </c>
      <c r="N382" s="3">
        <f>VLOOKUP(NavDataRegion[[#This Row],[Spool No]],[1]Sheet2!$B:$U,20,0)</f>
        <v>361.21645000000001</v>
      </c>
      <c r="O382" s="2">
        <v>28</v>
      </c>
      <c r="P382" s="2">
        <v>28</v>
      </c>
      <c r="Q382" s="2"/>
    </row>
    <row r="383" spans="1:17" ht="20.100000000000001" customHeight="1">
      <c r="A383" s="2" t="s">
        <v>9</v>
      </c>
      <c r="B383" s="2" t="s">
        <v>1351</v>
      </c>
      <c r="C383" s="2" t="s">
        <v>1627</v>
      </c>
      <c r="D383" s="2" t="e">
        <f>VLOOKUP(C:C,Vlookup!A:A,1,0)</f>
        <v>#N/A</v>
      </c>
      <c r="E383" s="2">
        <v>14</v>
      </c>
      <c r="F383" s="17" t="s">
        <v>10</v>
      </c>
      <c r="G383" s="17" t="s">
        <v>281</v>
      </c>
      <c r="H383" s="2" t="s">
        <v>11</v>
      </c>
      <c r="I383" s="2">
        <v>1</v>
      </c>
      <c r="J383" s="5">
        <v>46105</v>
      </c>
      <c r="K383" s="5">
        <v>46106</v>
      </c>
      <c r="L383" s="2" t="s">
        <v>865</v>
      </c>
      <c r="M383" s="5">
        <v>45754</v>
      </c>
      <c r="N383" s="3">
        <f>VLOOKUP(NavDataRegion[[#This Row],[Spool No]],[1]Sheet2!$B:$U,20,0)</f>
        <v>10.748620000000001</v>
      </c>
      <c r="O383" s="2">
        <v>2</v>
      </c>
      <c r="P383" s="2">
        <v>0.5</v>
      </c>
      <c r="Q383" s="2"/>
    </row>
    <row r="384" spans="1:17" ht="20.100000000000001" customHeight="1">
      <c r="A384" s="2" t="s">
        <v>9</v>
      </c>
      <c r="B384" s="2" t="s">
        <v>235</v>
      </c>
      <c r="C384" s="2" t="s">
        <v>435</v>
      </c>
      <c r="D384" s="2" t="e">
        <f>VLOOKUP(C:C,Vlookup!A:A,1,0)</f>
        <v>#N/A</v>
      </c>
      <c r="E384" s="2">
        <v>9</v>
      </c>
      <c r="F384" s="2" t="s">
        <v>10</v>
      </c>
      <c r="G384" s="2" t="s">
        <v>16</v>
      </c>
      <c r="H384" s="2" t="s">
        <v>11</v>
      </c>
      <c r="I384" s="2">
        <v>1</v>
      </c>
      <c r="J384" s="5">
        <v>46057</v>
      </c>
      <c r="K384" s="5">
        <v>46058</v>
      </c>
      <c r="L384" s="2" t="s">
        <v>865</v>
      </c>
      <c r="M384" s="5">
        <v>46091</v>
      </c>
      <c r="N384" s="3">
        <f>VLOOKUP(NavDataRegion[[#This Row],[Spool No]],[1]Sheet2!$B:$U,20,0)</f>
        <v>521.87051636800004</v>
      </c>
      <c r="O384" s="2">
        <v>15</v>
      </c>
      <c r="P384" s="2">
        <v>8</v>
      </c>
      <c r="Q384" s="2"/>
    </row>
    <row r="385" spans="1:17" ht="20.100000000000001" customHeight="1">
      <c r="A385" s="2" t="s">
        <v>9</v>
      </c>
      <c r="B385" s="2" t="s">
        <v>1275</v>
      </c>
      <c r="C385" s="2" t="s">
        <v>1276</v>
      </c>
      <c r="D385" s="2" t="e">
        <f>VLOOKUP(C:C,Vlookup!A:A,1,0)</f>
        <v>#N/A</v>
      </c>
      <c r="E385" s="2">
        <v>16</v>
      </c>
      <c r="F385" s="17" t="s">
        <v>10</v>
      </c>
      <c r="G385" s="17" t="s">
        <v>25</v>
      </c>
      <c r="H385" s="2" t="s">
        <v>11</v>
      </c>
      <c r="I385" s="2">
        <v>1</v>
      </c>
      <c r="J385" s="5">
        <v>46112</v>
      </c>
      <c r="K385" s="5">
        <v>46118</v>
      </c>
      <c r="L385" s="2" t="s">
        <v>865</v>
      </c>
      <c r="M385" s="5">
        <v>46167</v>
      </c>
      <c r="N385" s="3">
        <f>VLOOKUP(NavDataRegion[[#This Row],[Spool No]],[1]Sheet2!$B:$U,20,0)</f>
        <v>2.5579399999999999</v>
      </c>
      <c r="O385" s="2">
        <v>1</v>
      </c>
      <c r="P385" s="2">
        <v>0.5</v>
      </c>
      <c r="Q385" s="2"/>
    </row>
    <row r="386" spans="1:17" ht="20.100000000000001" customHeight="1">
      <c r="A386" s="2" t="s">
        <v>9</v>
      </c>
      <c r="B386" s="2" t="s">
        <v>330</v>
      </c>
      <c r="C386" s="2" t="s">
        <v>484</v>
      </c>
      <c r="D386" s="2" t="e">
        <f>VLOOKUP(C:C,Vlookup!A:A,1,0)</f>
        <v>#N/A</v>
      </c>
      <c r="E386" s="2">
        <v>7</v>
      </c>
      <c r="F386" s="2" t="s">
        <v>10</v>
      </c>
      <c r="G386" s="2" t="s">
        <v>25</v>
      </c>
      <c r="H386" s="2" t="s">
        <v>11</v>
      </c>
      <c r="I386" s="2">
        <v>1</v>
      </c>
      <c r="J386" s="5">
        <v>46043</v>
      </c>
      <c r="K386" s="5">
        <v>46043</v>
      </c>
      <c r="L386" s="2" t="s">
        <v>865</v>
      </c>
      <c r="M386" s="5">
        <v>46091</v>
      </c>
      <c r="N386" s="3">
        <f>VLOOKUP(NavDataRegion[[#This Row],[Spool No]],[1]Sheet2!$B:$U,20,0)</f>
        <v>148.10239999999999</v>
      </c>
      <c r="O386" s="2">
        <v>14</v>
      </c>
      <c r="P386" s="2">
        <v>8</v>
      </c>
      <c r="Q386" s="2"/>
    </row>
    <row r="387" spans="1:17" ht="20.100000000000001" customHeight="1">
      <c r="A387" s="2" t="s">
        <v>9</v>
      </c>
      <c r="B387" s="2" t="s">
        <v>215</v>
      </c>
      <c r="C387" s="2" t="s">
        <v>557</v>
      </c>
      <c r="D387" s="2" t="e">
        <f>VLOOKUP(C:C,Vlookup!A:A,1,0)</f>
        <v>#N/A</v>
      </c>
      <c r="E387" s="2">
        <v>7</v>
      </c>
      <c r="F387" s="2" t="s">
        <v>558</v>
      </c>
      <c r="G387" s="2" t="s">
        <v>25</v>
      </c>
      <c r="H387" s="2" t="s">
        <v>11</v>
      </c>
      <c r="I387" s="2">
        <v>1</v>
      </c>
      <c r="J387" s="5">
        <v>46036</v>
      </c>
      <c r="K387" s="5">
        <v>46037</v>
      </c>
      <c r="L387" s="2" t="s">
        <v>865</v>
      </c>
      <c r="M387" s="5">
        <v>46091</v>
      </c>
      <c r="N387" s="3">
        <f>VLOOKUP(NavDataRegion[[#This Row],[Spool No]],[1]Sheet2!$B:$U,20,0)</f>
        <v>120.49679999999999</v>
      </c>
      <c r="O387" s="2">
        <v>17</v>
      </c>
      <c r="P387" s="2">
        <v>8</v>
      </c>
      <c r="Q387" s="2"/>
    </row>
    <row r="388" spans="1:17" ht="20.100000000000001" customHeight="1">
      <c r="A388" s="2" t="s">
        <v>9</v>
      </c>
      <c r="B388" s="2" t="s">
        <v>235</v>
      </c>
      <c r="C388" s="2" t="s">
        <v>565</v>
      </c>
      <c r="D388" s="2" t="e">
        <f>VLOOKUP(C:C,Vlookup!A:A,1,0)</f>
        <v>#N/A</v>
      </c>
      <c r="E388" s="2">
        <v>7</v>
      </c>
      <c r="F388" s="2" t="s">
        <v>10</v>
      </c>
      <c r="G388" s="2" t="s">
        <v>16</v>
      </c>
      <c r="H388" s="2" t="s">
        <v>11</v>
      </c>
      <c r="I388" s="2">
        <v>1</v>
      </c>
      <c r="J388" s="5">
        <v>46036</v>
      </c>
      <c r="K388" s="5">
        <v>46037</v>
      </c>
      <c r="L388" s="2" t="s">
        <v>865</v>
      </c>
      <c r="M388" s="5">
        <v>46091</v>
      </c>
      <c r="N388" s="3">
        <f>VLOOKUP(NavDataRegion[[#This Row],[Spool No]],[1]Sheet2!$B:$U,20,0)</f>
        <v>517.24166636799998</v>
      </c>
      <c r="O388" s="2">
        <v>39</v>
      </c>
      <c r="P388" s="2">
        <v>8</v>
      </c>
      <c r="Q388" s="2"/>
    </row>
    <row r="389" spans="1:17" ht="20.100000000000001" customHeight="1">
      <c r="A389" s="2" t="s">
        <v>9</v>
      </c>
      <c r="B389" s="2" t="s">
        <v>189</v>
      </c>
      <c r="C389" s="2" t="s">
        <v>190</v>
      </c>
      <c r="D389" s="2" t="e">
        <f>VLOOKUP(C:C,Vlookup!A:A,1,0)</f>
        <v>#N/A</v>
      </c>
      <c r="E389" s="2">
        <v>6</v>
      </c>
      <c r="F389" s="2" t="s">
        <v>10</v>
      </c>
      <c r="G389" s="2" t="s">
        <v>16</v>
      </c>
      <c r="H389" s="2" t="s">
        <v>11</v>
      </c>
      <c r="I389" s="2">
        <v>1</v>
      </c>
      <c r="J389" s="5">
        <v>46029</v>
      </c>
      <c r="K389" s="5">
        <v>46029</v>
      </c>
      <c r="L389" s="2" t="s">
        <v>865</v>
      </c>
      <c r="M389" s="5">
        <v>46091</v>
      </c>
      <c r="N389" s="3">
        <f>VLOOKUP(NavDataRegion[[#This Row],[Spool No]],[1]Sheet2!$B:$U,20,0)</f>
        <v>153.773355216</v>
      </c>
      <c r="O389" s="2">
        <v>37</v>
      </c>
      <c r="P389" s="2">
        <v>8</v>
      </c>
      <c r="Q389" s="2"/>
    </row>
    <row r="390" spans="1:17" ht="20.100000000000001" customHeight="1">
      <c r="A390" s="2" t="s">
        <v>9</v>
      </c>
      <c r="B390" s="2" t="s">
        <v>279</v>
      </c>
      <c r="C390" s="2" t="s">
        <v>771</v>
      </c>
      <c r="D390" s="2" t="e">
        <f>VLOOKUP(C:C,Vlookup!A:A,1,0)</f>
        <v>#N/A</v>
      </c>
      <c r="E390" s="2">
        <v>1</v>
      </c>
      <c r="F390" s="2" t="s">
        <v>772</v>
      </c>
      <c r="G390" s="2" t="s">
        <v>281</v>
      </c>
      <c r="H390" s="2" t="s">
        <v>11</v>
      </c>
      <c r="I390" s="2">
        <v>1</v>
      </c>
      <c r="J390" s="5">
        <v>45975</v>
      </c>
      <c r="K390" s="5">
        <v>45764</v>
      </c>
      <c r="L390" s="2" t="s">
        <v>865</v>
      </c>
      <c r="M390" s="5">
        <v>46090</v>
      </c>
      <c r="N390" s="3">
        <f>VLOOKUP(NavDataRegion[[#This Row],[Spool No]],[1]Sheet2!$B:$U,20,0)</f>
        <v>293.90721000000002</v>
      </c>
      <c r="O390" s="2">
        <v>36</v>
      </c>
      <c r="P390" s="2">
        <v>12</v>
      </c>
      <c r="Q390" s="2"/>
    </row>
    <row r="391" spans="1:17" ht="20.100000000000001" customHeight="1">
      <c r="A391" s="2" t="s">
        <v>9</v>
      </c>
      <c r="B391" s="2" t="s">
        <v>235</v>
      </c>
      <c r="C391" s="2" t="s">
        <v>668</v>
      </c>
      <c r="D391" s="2" t="e">
        <f>VLOOKUP(C:C,Vlookup!A:A,1,0)</f>
        <v>#N/A</v>
      </c>
      <c r="E391" s="2">
        <v>6</v>
      </c>
      <c r="F391" s="2" t="s">
        <v>10</v>
      </c>
      <c r="G391" s="2" t="s">
        <v>16</v>
      </c>
      <c r="H391" s="2" t="s">
        <v>11</v>
      </c>
      <c r="I391" s="2">
        <v>1</v>
      </c>
      <c r="J391" s="5">
        <v>46029</v>
      </c>
      <c r="K391" s="5">
        <v>46029</v>
      </c>
      <c r="L391" s="2" t="s">
        <v>865</v>
      </c>
      <c r="M391" s="5">
        <v>46091</v>
      </c>
      <c r="N391" s="3">
        <f>VLOOKUP(NavDataRegion[[#This Row],[Spool No]],[1]Sheet2!$B:$U,20,0)</f>
        <v>253.52223273600001</v>
      </c>
      <c r="O391" s="2">
        <v>46</v>
      </c>
      <c r="P391" s="2">
        <v>8</v>
      </c>
      <c r="Q391" s="2"/>
    </row>
    <row r="392" spans="1:17" ht="20.100000000000001" customHeight="1">
      <c r="A392" s="2" t="s">
        <v>9</v>
      </c>
      <c r="B392" s="2" t="s">
        <v>328</v>
      </c>
      <c r="C392" s="2" t="s">
        <v>778</v>
      </c>
      <c r="D392" s="2" t="e">
        <f>VLOOKUP(C:C,Vlookup!A:A,1,0)</f>
        <v>#N/A</v>
      </c>
      <c r="E392" s="2">
        <v>7</v>
      </c>
      <c r="F392" s="2" t="s">
        <v>10</v>
      </c>
      <c r="G392" s="2" t="s">
        <v>25</v>
      </c>
      <c r="H392" s="2" t="s">
        <v>11</v>
      </c>
      <c r="I392" s="2">
        <v>1</v>
      </c>
      <c r="J392" s="5">
        <v>46043</v>
      </c>
      <c r="K392" s="5">
        <v>46043</v>
      </c>
      <c r="L392" s="2" t="s">
        <v>865</v>
      </c>
      <c r="M392" s="5">
        <v>46091</v>
      </c>
      <c r="N392" s="3">
        <f>VLOOKUP(NavDataRegion[[#This Row],[Spool No]],[1]Sheet2!$B:$U,20,0)</f>
        <v>156.80712</v>
      </c>
      <c r="O392" s="2">
        <v>15</v>
      </c>
      <c r="P392" s="2">
        <v>8</v>
      </c>
      <c r="Q392" s="2"/>
    </row>
    <row r="393" spans="1:17" ht="20.100000000000001" customHeight="1">
      <c r="A393" s="2" t="s">
        <v>9</v>
      </c>
      <c r="B393" s="2" t="s">
        <v>321</v>
      </c>
      <c r="C393" s="2" t="s">
        <v>322</v>
      </c>
      <c r="D393" s="2" t="e">
        <f>VLOOKUP(C:C,Vlookup!A:A,1,0)</f>
        <v>#N/A</v>
      </c>
      <c r="E393" s="2">
        <v>13</v>
      </c>
      <c r="F393" s="2" t="s">
        <v>10</v>
      </c>
      <c r="G393" s="2" t="s">
        <v>281</v>
      </c>
      <c r="H393" s="2" t="s">
        <v>11</v>
      </c>
      <c r="I393" s="2">
        <v>1</v>
      </c>
      <c r="J393" s="5">
        <v>46087</v>
      </c>
      <c r="K393" s="5">
        <v>46094</v>
      </c>
      <c r="L393" s="2" t="s">
        <v>865</v>
      </c>
      <c r="M393" s="5">
        <v>46105</v>
      </c>
      <c r="N393" s="3">
        <f>VLOOKUP(NavDataRegion[[#This Row],[Spool No]],[1]Sheet2!$B:$U,20,0)</f>
        <v>170.25229999999999</v>
      </c>
      <c r="O393" s="2">
        <v>32</v>
      </c>
      <c r="P393" s="2">
        <v>8</v>
      </c>
      <c r="Q393" s="2"/>
    </row>
    <row r="394" spans="1:17" ht="20.100000000000001" customHeight="1">
      <c r="A394" s="2" t="s">
        <v>9</v>
      </c>
      <c r="B394" s="2" t="s">
        <v>985</v>
      </c>
      <c r="C394" s="2" t="s">
        <v>1799</v>
      </c>
      <c r="D394" s="2" t="e">
        <f>VLOOKUP(C:C,Vlookup!A:A,1,0)</f>
        <v>#N/A</v>
      </c>
      <c r="E394" s="2">
        <v>14</v>
      </c>
      <c r="F394" s="17" t="s">
        <v>10</v>
      </c>
      <c r="G394" s="17" t="s">
        <v>25</v>
      </c>
      <c r="H394" s="2" t="s">
        <v>11</v>
      </c>
      <c r="I394" s="2">
        <v>1</v>
      </c>
      <c r="J394" s="5">
        <v>46098</v>
      </c>
      <c r="K394" s="5">
        <v>46099</v>
      </c>
      <c r="L394" s="2" t="s">
        <v>865</v>
      </c>
      <c r="M394" s="5">
        <v>45754</v>
      </c>
      <c r="N394" s="3">
        <f>VLOOKUP(NavDataRegion[[#This Row],[Spool No]],[1]Sheet2!$B:$U,20,0)</f>
        <v>8.2799999999999994</v>
      </c>
      <c r="O394" s="2">
        <v>4.5</v>
      </c>
      <c r="P394" s="2">
        <v>0.75</v>
      </c>
      <c r="Q394" s="2"/>
    </row>
    <row r="395" spans="1:17" ht="20.100000000000001" customHeight="1">
      <c r="A395" s="2" t="s">
        <v>9</v>
      </c>
      <c r="B395" s="2" t="s">
        <v>221</v>
      </c>
      <c r="C395" s="2" t="s">
        <v>222</v>
      </c>
      <c r="D395" s="2" t="e">
        <f>VLOOKUP(C:C,Vlookup!A:A,1,0)</f>
        <v>#N/A</v>
      </c>
      <c r="E395" s="2">
        <v>6</v>
      </c>
      <c r="F395" s="2" t="s">
        <v>10</v>
      </c>
      <c r="G395" s="2" t="s">
        <v>25</v>
      </c>
      <c r="H395" s="2" t="s">
        <v>11</v>
      </c>
      <c r="I395" s="2">
        <v>1</v>
      </c>
      <c r="J395" s="5">
        <v>46017</v>
      </c>
      <c r="K395" s="5">
        <v>46027</v>
      </c>
      <c r="L395" s="2" t="s">
        <v>865</v>
      </c>
      <c r="M395" s="5">
        <v>46091</v>
      </c>
      <c r="N395" s="3">
        <f>VLOOKUP(NavDataRegion[[#This Row],[Spool No]],[1]Sheet2!$B:$U,20,0)</f>
        <v>229.43794</v>
      </c>
      <c r="O395" s="2">
        <v>10</v>
      </c>
      <c r="P395" s="2">
        <v>10</v>
      </c>
      <c r="Q395" s="2"/>
    </row>
    <row r="396" spans="1:17" ht="20.100000000000001" customHeight="1">
      <c r="A396" s="2" t="s">
        <v>9</v>
      </c>
      <c r="B396" s="2" t="s">
        <v>285</v>
      </c>
      <c r="C396" s="2" t="s">
        <v>286</v>
      </c>
      <c r="D396" s="2" t="e">
        <f>VLOOKUP(C:C,Vlookup!A:A,1,0)</f>
        <v>#N/A</v>
      </c>
      <c r="E396" s="2">
        <v>4</v>
      </c>
      <c r="F396" s="2" t="s">
        <v>10</v>
      </c>
      <c r="G396" s="2" t="s">
        <v>16</v>
      </c>
      <c r="H396" s="2" t="s">
        <v>11</v>
      </c>
      <c r="I396" s="2">
        <v>1</v>
      </c>
      <c r="J396" s="5">
        <v>46008</v>
      </c>
      <c r="K396" s="5">
        <v>46009</v>
      </c>
      <c r="L396" s="2" t="s">
        <v>865</v>
      </c>
      <c r="M396" s="5">
        <v>46090</v>
      </c>
      <c r="N396" s="3">
        <f>VLOOKUP(NavDataRegion[[#This Row],[Spool No]],[1]Sheet2!$B:$U,20,0)</f>
        <v>736.90495060800004</v>
      </c>
      <c r="O396" s="2">
        <v>27</v>
      </c>
      <c r="P396" s="2">
        <v>10</v>
      </c>
      <c r="Q396" s="2"/>
    </row>
    <row r="397" spans="1:17" ht="20.100000000000001" customHeight="1">
      <c r="A397" s="2" t="s">
        <v>9</v>
      </c>
      <c r="B397" s="2" t="s">
        <v>287</v>
      </c>
      <c r="C397" s="2" t="s">
        <v>288</v>
      </c>
      <c r="D397" s="2" t="e">
        <f>VLOOKUP(C:C,Vlookup!A:A,1,0)</f>
        <v>#N/A</v>
      </c>
      <c r="E397" s="2">
        <v>12</v>
      </c>
      <c r="F397" s="2" t="s">
        <v>289</v>
      </c>
      <c r="G397" s="2" t="s">
        <v>16</v>
      </c>
      <c r="H397" s="2" t="s">
        <v>11</v>
      </c>
      <c r="I397" s="2">
        <v>1</v>
      </c>
      <c r="J397" s="5">
        <v>46073</v>
      </c>
      <c r="K397" s="5">
        <v>46076</v>
      </c>
      <c r="L397" s="2" t="s">
        <v>865</v>
      </c>
      <c r="M397" s="5">
        <v>46105</v>
      </c>
      <c r="N397" s="3">
        <f>VLOOKUP(NavDataRegion[[#This Row],[Spool No]],[1]Sheet2!$B:$U,20,0)</f>
        <v>1363.262391216</v>
      </c>
      <c r="O397" s="2">
        <v>65</v>
      </c>
      <c r="P397" s="2">
        <v>10</v>
      </c>
      <c r="Q397" s="2"/>
    </row>
    <row r="398" spans="1:17" ht="20.100000000000001" customHeight="1">
      <c r="A398" s="2" t="s">
        <v>9</v>
      </c>
      <c r="B398" s="2" t="s">
        <v>344</v>
      </c>
      <c r="C398" s="2" t="s">
        <v>345</v>
      </c>
      <c r="D398" s="2" t="e">
        <f>VLOOKUP(C:C,Vlookup!A:A,1,0)</f>
        <v>#N/A</v>
      </c>
      <c r="E398" s="2">
        <v>7</v>
      </c>
      <c r="F398" s="2" t="s">
        <v>346</v>
      </c>
      <c r="G398" s="2" t="s">
        <v>16</v>
      </c>
      <c r="H398" s="2" t="s">
        <v>11</v>
      </c>
      <c r="I398" s="2">
        <v>1</v>
      </c>
      <c r="J398" s="5">
        <v>46036</v>
      </c>
      <c r="K398" s="5">
        <v>46037</v>
      </c>
      <c r="L398" s="2" t="s">
        <v>865</v>
      </c>
      <c r="M398" s="5">
        <v>46091</v>
      </c>
      <c r="N398" s="3">
        <f>VLOOKUP(NavDataRegion[[#This Row],[Spool No]],[1]Sheet2!$B:$U,20,0)</f>
        <v>673.28569273599999</v>
      </c>
      <c r="O398" s="2">
        <v>65.5</v>
      </c>
      <c r="P398" s="2">
        <v>10</v>
      </c>
      <c r="Q398" s="2"/>
    </row>
    <row r="399" spans="1:17" ht="20.100000000000001" customHeight="1">
      <c r="A399" s="2" t="s">
        <v>9</v>
      </c>
      <c r="B399" s="2" t="s">
        <v>221</v>
      </c>
      <c r="C399" s="2" t="s">
        <v>427</v>
      </c>
      <c r="D399" s="2" t="e">
        <f>VLOOKUP(C:C,Vlookup!A:A,1,0)</f>
        <v>#N/A</v>
      </c>
      <c r="E399" s="2">
        <v>6</v>
      </c>
      <c r="F399" s="2" t="s">
        <v>10</v>
      </c>
      <c r="G399" s="2" t="s">
        <v>16</v>
      </c>
      <c r="H399" s="2" t="s">
        <v>11</v>
      </c>
      <c r="I399" s="2">
        <v>1</v>
      </c>
      <c r="J399" s="5">
        <v>46017</v>
      </c>
      <c r="K399" s="5">
        <v>46027</v>
      </c>
      <c r="L399" s="2" t="s">
        <v>865</v>
      </c>
      <c r="M399" s="5">
        <v>46091</v>
      </c>
      <c r="N399" s="3">
        <f>VLOOKUP(NavDataRegion[[#This Row],[Spool No]],[1]Sheet2!$B:$U,20,0)</f>
        <v>465.07946720000001</v>
      </c>
      <c r="O399" s="2">
        <v>37</v>
      </c>
      <c r="P399" s="2">
        <v>10</v>
      </c>
      <c r="Q399" s="2"/>
    </row>
    <row r="400" spans="1:17" ht="20.100000000000001" customHeight="1">
      <c r="A400" s="2" t="s">
        <v>9</v>
      </c>
      <c r="B400" s="2" t="s">
        <v>285</v>
      </c>
      <c r="C400" s="2" t="s">
        <v>464</v>
      </c>
      <c r="D400" s="2" t="e">
        <f>VLOOKUP(C:C,Vlookup!A:A,1,0)</f>
        <v>#N/A</v>
      </c>
      <c r="E400" s="2">
        <v>9</v>
      </c>
      <c r="F400" s="2" t="s">
        <v>10</v>
      </c>
      <c r="G400" s="2" t="s">
        <v>16</v>
      </c>
      <c r="H400" s="2" t="s">
        <v>11</v>
      </c>
      <c r="I400" s="2">
        <v>1</v>
      </c>
      <c r="J400" s="5">
        <v>46049</v>
      </c>
      <c r="K400" s="5">
        <v>46050</v>
      </c>
      <c r="L400" s="2" t="s">
        <v>865</v>
      </c>
      <c r="M400" s="5">
        <v>46091</v>
      </c>
      <c r="N400" s="3">
        <f>VLOOKUP(NavDataRegion[[#This Row],[Spool No]],[1]Sheet2!$B:$U,20,0)</f>
        <v>728.43777060800005</v>
      </c>
      <c r="O400" s="2">
        <v>17</v>
      </c>
      <c r="P400" s="2">
        <v>10</v>
      </c>
      <c r="Q400" s="2"/>
    </row>
    <row r="401" spans="1:17" ht="20.100000000000001" customHeight="1">
      <c r="A401" s="2" t="s">
        <v>9</v>
      </c>
      <c r="B401" s="2" t="s">
        <v>1007</v>
      </c>
      <c r="C401" s="2" t="s">
        <v>1008</v>
      </c>
      <c r="D401" s="2" t="e">
        <f>VLOOKUP(C:C,Vlookup!A:A,1,0)</f>
        <v>#N/A</v>
      </c>
      <c r="E401" s="2">
        <v>14</v>
      </c>
      <c r="F401" s="17" t="s">
        <v>10</v>
      </c>
      <c r="G401" s="17" t="s">
        <v>25</v>
      </c>
      <c r="H401" s="2" t="s">
        <v>11</v>
      </c>
      <c r="I401" s="2">
        <v>1</v>
      </c>
      <c r="J401" s="5">
        <v>46098</v>
      </c>
      <c r="K401" s="5">
        <v>46099</v>
      </c>
      <c r="L401" s="2" t="s">
        <v>865</v>
      </c>
      <c r="M401" s="5">
        <v>45754</v>
      </c>
      <c r="N401" s="3">
        <f>VLOOKUP(NavDataRegion[[#This Row],[Spool No]],[1]Sheet2!$B:$U,20,0)</f>
        <v>18.838719999999999</v>
      </c>
      <c r="O401" s="2">
        <v>6</v>
      </c>
      <c r="P401" s="2">
        <v>1</v>
      </c>
      <c r="Q401" s="2"/>
    </row>
    <row r="402" spans="1:17" ht="20.100000000000001" customHeight="1">
      <c r="A402" s="2" t="s">
        <v>9</v>
      </c>
      <c r="B402" s="2" t="s">
        <v>221</v>
      </c>
      <c r="C402" s="2" t="s">
        <v>559</v>
      </c>
      <c r="D402" s="2" t="e">
        <f>VLOOKUP(C:C,Vlookup!A:A,1,0)</f>
        <v>#N/A</v>
      </c>
      <c r="E402" s="2">
        <v>9</v>
      </c>
      <c r="F402" s="2" t="s">
        <v>10</v>
      </c>
      <c r="G402" s="2" t="s">
        <v>16</v>
      </c>
      <c r="H402" s="2" t="s">
        <v>11</v>
      </c>
      <c r="I402" s="2">
        <v>1</v>
      </c>
      <c r="J402" s="5">
        <v>46051</v>
      </c>
      <c r="K402" s="5">
        <v>46055</v>
      </c>
      <c r="L402" s="2" t="s">
        <v>865</v>
      </c>
      <c r="M402" s="5">
        <v>46091</v>
      </c>
      <c r="N402" s="3">
        <f>VLOOKUP(NavDataRegion[[#This Row],[Spool No]],[1]Sheet2!$B:$U,20,0)</f>
        <v>522.25148720000004</v>
      </c>
      <c r="O402" s="2">
        <v>17</v>
      </c>
      <c r="P402" s="2">
        <v>10</v>
      </c>
      <c r="Q402" s="2"/>
    </row>
    <row r="403" spans="1:17" ht="20.100000000000001" customHeight="1">
      <c r="A403" s="2" t="s">
        <v>9</v>
      </c>
      <c r="B403" s="2" t="s">
        <v>1019</v>
      </c>
      <c r="C403" s="2" t="s">
        <v>1918</v>
      </c>
      <c r="D403" s="2" t="e">
        <f>VLOOKUP(C:C,Vlookup!A:A,1,0)</f>
        <v>#N/A</v>
      </c>
      <c r="E403" s="2">
        <v>14</v>
      </c>
      <c r="F403" s="17" t="s">
        <v>10</v>
      </c>
      <c r="G403" s="17" t="s">
        <v>25</v>
      </c>
      <c r="H403" s="2" t="s">
        <v>11</v>
      </c>
      <c r="I403" s="2">
        <v>1</v>
      </c>
      <c r="J403" s="5">
        <v>46098</v>
      </c>
      <c r="K403" s="5">
        <v>46099</v>
      </c>
      <c r="L403" s="2" t="s">
        <v>865</v>
      </c>
      <c r="M403" s="5">
        <v>45754</v>
      </c>
      <c r="N403" s="3">
        <f>VLOOKUP(NavDataRegion[[#This Row],[Spool No]],[1]Sheet2!$B:$U,20,0)</f>
        <v>10.5402</v>
      </c>
      <c r="O403" s="2">
        <v>1</v>
      </c>
      <c r="P403" s="2">
        <v>1</v>
      </c>
      <c r="Q403" s="2"/>
    </row>
    <row r="404" spans="1:17" ht="20.100000000000001" customHeight="1">
      <c r="A404" s="2" t="s">
        <v>9</v>
      </c>
      <c r="B404" s="2" t="s">
        <v>287</v>
      </c>
      <c r="C404" s="2" t="s">
        <v>594</v>
      </c>
      <c r="D404" s="2" t="e">
        <f>VLOOKUP(C:C,Vlookup!A:A,1,0)</f>
        <v>#N/A</v>
      </c>
      <c r="E404" s="2">
        <v>9</v>
      </c>
      <c r="F404" s="2" t="s">
        <v>595</v>
      </c>
      <c r="G404" s="2" t="s">
        <v>16</v>
      </c>
      <c r="H404" s="2" t="s">
        <v>11</v>
      </c>
      <c r="I404" s="2">
        <v>1</v>
      </c>
      <c r="J404" s="5">
        <v>46064</v>
      </c>
      <c r="K404" s="5">
        <v>46065</v>
      </c>
      <c r="L404" s="2" t="s">
        <v>865</v>
      </c>
      <c r="M404" s="5">
        <v>46091</v>
      </c>
      <c r="N404" s="3">
        <f>VLOOKUP(NavDataRegion[[#This Row],[Spool No]],[1]Sheet2!$B:$U,20,0)</f>
        <v>589.134160608</v>
      </c>
      <c r="O404" s="2">
        <v>27</v>
      </c>
      <c r="P404" s="2">
        <v>10</v>
      </c>
      <c r="Q404" s="2"/>
    </row>
    <row r="405" spans="1:17" ht="20.100000000000001" customHeight="1">
      <c r="A405" s="2" t="s">
        <v>9</v>
      </c>
      <c r="B405" s="2" t="s">
        <v>221</v>
      </c>
      <c r="C405" s="2" t="s">
        <v>662</v>
      </c>
      <c r="D405" s="2" t="e">
        <f>VLOOKUP(C:C,Vlookup!A:A,1,0)</f>
        <v>#N/A</v>
      </c>
      <c r="E405" s="2">
        <v>5</v>
      </c>
      <c r="F405" s="2" t="s">
        <v>10</v>
      </c>
      <c r="G405" s="2" t="s">
        <v>25</v>
      </c>
      <c r="H405" s="2" t="s">
        <v>11</v>
      </c>
      <c r="I405" s="2">
        <v>1</v>
      </c>
      <c r="J405" s="5">
        <v>46015</v>
      </c>
      <c r="K405" s="5">
        <v>46016</v>
      </c>
      <c r="L405" s="2" t="s">
        <v>865</v>
      </c>
      <c r="M405" s="5">
        <v>46090</v>
      </c>
      <c r="N405" s="3">
        <f>VLOOKUP(NavDataRegion[[#This Row],[Spool No]],[1]Sheet2!$B:$U,20,0)</f>
        <v>478.89580999999998</v>
      </c>
      <c r="O405" s="2">
        <v>30</v>
      </c>
      <c r="P405" s="2">
        <v>10</v>
      </c>
      <c r="Q405" s="2"/>
    </row>
    <row r="406" spans="1:17" ht="20.100000000000001" customHeight="1">
      <c r="A406" s="2" t="s">
        <v>9</v>
      </c>
      <c r="B406" s="2" t="s">
        <v>285</v>
      </c>
      <c r="C406" s="2" t="s">
        <v>691</v>
      </c>
      <c r="D406" s="2" t="e">
        <f>VLOOKUP(C:C,Vlookup!A:A,1,0)</f>
        <v>#N/A</v>
      </c>
      <c r="E406" s="2">
        <v>8</v>
      </c>
      <c r="F406" s="2" t="s">
        <v>10</v>
      </c>
      <c r="G406" s="2" t="s">
        <v>25</v>
      </c>
      <c r="H406" s="2" t="s">
        <v>11</v>
      </c>
      <c r="I406" s="2">
        <v>1</v>
      </c>
      <c r="J406" s="5">
        <v>46045</v>
      </c>
      <c r="K406" s="5">
        <v>46045</v>
      </c>
      <c r="L406" s="2" t="s">
        <v>865</v>
      </c>
      <c r="M406" s="5">
        <v>46091</v>
      </c>
      <c r="N406" s="3">
        <f>VLOOKUP(NavDataRegion[[#This Row],[Spool No]],[1]Sheet2!$B:$U,20,0)</f>
        <v>132.21709999999999</v>
      </c>
      <c r="O406" s="2">
        <v>40</v>
      </c>
      <c r="P406" s="2">
        <v>10</v>
      </c>
      <c r="Q406" s="2"/>
    </row>
    <row r="407" spans="1:17" ht="20.100000000000001" customHeight="1">
      <c r="A407" s="2" t="s">
        <v>9</v>
      </c>
      <c r="B407" s="2" t="s">
        <v>221</v>
      </c>
      <c r="C407" s="2" t="s">
        <v>732</v>
      </c>
      <c r="D407" s="2" t="e">
        <f>VLOOKUP(C:C,Vlookup!A:A,1,0)</f>
        <v>#N/A</v>
      </c>
      <c r="E407" s="2">
        <v>13</v>
      </c>
      <c r="F407" s="2" t="s">
        <v>10</v>
      </c>
      <c r="G407" s="2" t="s">
        <v>16</v>
      </c>
      <c r="H407" s="2" t="s">
        <v>11</v>
      </c>
      <c r="I407" s="2">
        <v>1</v>
      </c>
      <c r="J407" s="5">
        <v>46087</v>
      </c>
      <c r="K407" s="5">
        <v>46090</v>
      </c>
      <c r="L407" s="2" t="s">
        <v>865</v>
      </c>
      <c r="M407" s="5">
        <v>46105</v>
      </c>
      <c r="N407" s="3">
        <f>VLOOKUP(NavDataRegion[[#This Row],[Spool No]],[1]Sheet2!$B:$U,20,0)</f>
        <v>1007.498662736</v>
      </c>
      <c r="O407" s="2">
        <v>24</v>
      </c>
      <c r="P407" s="2">
        <v>10</v>
      </c>
      <c r="Q407" s="2"/>
    </row>
    <row r="408" spans="1:17" ht="20.100000000000001" customHeight="1">
      <c r="A408" s="2" t="s">
        <v>9</v>
      </c>
      <c r="B408" s="2" t="s">
        <v>235</v>
      </c>
      <c r="C408" s="2" t="s">
        <v>736</v>
      </c>
      <c r="D408" s="2" t="e">
        <f>VLOOKUP(C:C,Vlookup!A:A,1,0)</f>
        <v>#N/A</v>
      </c>
      <c r="E408" s="2">
        <v>7</v>
      </c>
      <c r="F408" s="2" t="s">
        <v>10</v>
      </c>
      <c r="G408" s="2" t="s">
        <v>16</v>
      </c>
      <c r="H408" s="2" t="s">
        <v>11</v>
      </c>
      <c r="I408" s="2">
        <v>1</v>
      </c>
      <c r="J408" s="5">
        <v>46029</v>
      </c>
      <c r="K408" s="5">
        <v>45665</v>
      </c>
      <c r="L408" s="2" t="s">
        <v>865</v>
      </c>
      <c r="M408" s="5">
        <v>46091</v>
      </c>
      <c r="N408" s="3">
        <f>VLOOKUP(NavDataRegion[[#This Row],[Spool No]],[1]Sheet2!$B:$U,20,0)</f>
        <v>181.15296636799999</v>
      </c>
      <c r="O408" s="2">
        <v>30</v>
      </c>
      <c r="P408" s="2">
        <v>8</v>
      </c>
      <c r="Q408" s="2"/>
    </row>
    <row r="409" spans="1:17" ht="20.100000000000001" customHeight="1">
      <c r="A409" s="2" t="s">
        <v>9</v>
      </c>
      <c r="B409" s="2" t="s">
        <v>185</v>
      </c>
      <c r="C409" s="2" t="s">
        <v>186</v>
      </c>
      <c r="D409" s="2" t="e">
        <f>VLOOKUP(C:C,Vlookup!A:A,1,0)</f>
        <v>#N/A</v>
      </c>
      <c r="E409" s="2">
        <v>13</v>
      </c>
      <c r="F409" s="2" t="s">
        <v>10</v>
      </c>
      <c r="G409" s="2" t="s">
        <v>16</v>
      </c>
      <c r="H409" s="2" t="s">
        <v>11</v>
      </c>
      <c r="I409" s="2">
        <v>1</v>
      </c>
      <c r="J409" s="5">
        <v>46087</v>
      </c>
      <c r="K409" s="5">
        <v>46094</v>
      </c>
      <c r="L409" s="2" t="s">
        <v>865</v>
      </c>
      <c r="M409" s="5">
        <v>46105</v>
      </c>
      <c r="N409" s="3">
        <f>VLOOKUP(NavDataRegion[[#This Row],[Spool No]],[1]Sheet2!$B:$U,20,0)</f>
        <v>380.18973999999997</v>
      </c>
      <c r="O409" s="2">
        <v>54</v>
      </c>
      <c r="P409" s="2">
        <v>10</v>
      </c>
      <c r="Q409" s="2"/>
    </row>
    <row r="410" spans="1:17" ht="20.100000000000001" customHeight="1">
      <c r="A410" s="2" t="s">
        <v>9</v>
      </c>
      <c r="B410" s="2" t="s">
        <v>221</v>
      </c>
      <c r="C410" s="2" t="s">
        <v>770</v>
      </c>
      <c r="D410" s="2" t="e">
        <f>VLOOKUP(C:C,Vlookup!A:A,1,0)</f>
        <v>#N/A</v>
      </c>
      <c r="E410" s="2">
        <v>6</v>
      </c>
      <c r="F410" s="2" t="s">
        <v>10</v>
      </c>
      <c r="G410" s="2" t="s">
        <v>25</v>
      </c>
      <c r="H410" s="2" t="s">
        <v>11</v>
      </c>
      <c r="I410" s="2">
        <v>1</v>
      </c>
      <c r="J410" s="5">
        <v>46029</v>
      </c>
      <c r="K410" s="5">
        <v>46029</v>
      </c>
      <c r="L410" s="2" t="s">
        <v>865</v>
      </c>
      <c r="M410" s="5">
        <v>46091</v>
      </c>
      <c r="N410" s="3">
        <f>VLOOKUP(NavDataRegion[[#This Row],[Spool No]],[1]Sheet2!$B:$U,20,0)</f>
        <v>503.89046000000002</v>
      </c>
      <c r="O410" s="2">
        <v>20</v>
      </c>
      <c r="P410" s="2">
        <v>10</v>
      </c>
      <c r="Q410" s="2"/>
    </row>
    <row r="411" spans="1:17" ht="20.100000000000001" customHeight="1">
      <c r="A411" s="2" t="s">
        <v>9</v>
      </c>
      <c r="B411" s="2" t="s">
        <v>156</v>
      </c>
      <c r="C411" s="2" t="s">
        <v>157</v>
      </c>
      <c r="D411" s="2" t="e">
        <f>VLOOKUP(C:C,Vlookup!A:A,1,0)</f>
        <v>#N/A</v>
      </c>
      <c r="E411" s="2">
        <v>9</v>
      </c>
      <c r="F411" s="2" t="s">
        <v>10</v>
      </c>
      <c r="G411" s="2" t="s">
        <v>16</v>
      </c>
      <c r="H411" s="2" t="s">
        <v>11</v>
      </c>
      <c r="I411" s="2">
        <v>1</v>
      </c>
      <c r="J411" s="5">
        <v>46049</v>
      </c>
      <c r="K411" s="5">
        <v>46050</v>
      </c>
      <c r="L411" s="2" t="s">
        <v>865</v>
      </c>
      <c r="M411" s="5">
        <v>46091</v>
      </c>
      <c r="N411" s="3">
        <f>VLOOKUP(NavDataRegion[[#This Row],[Spool No]],[1]Sheet2!$B:$U,20,0)</f>
        <v>729.69115999999997</v>
      </c>
      <c r="O411" s="2">
        <v>67</v>
      </c>
      <c r="P411" s="2">
        <v>12</v>
      </c>
      <c r="Q411" s="2"/>
    </row>
    <row r="412" spans="1:17" ht="20.100000000000001" customHeight="1">
      <c r="A412" s="2" t="s">
        <v>9</v>
      </c>
      <c r="B412" s="2" t="s">
        <v>1027</v>
      </c>
      <c r="C412" s="2" t="s">
        <v>1028</v>
      </c>
      <c r="D412" s="2" t="e">
        <f>VLOOKUP(C:C,Vlookup!A:A,1,0)</f>
        <v>#N/A</v>
      </c>
      <c r="E412" s="2">
        <v>14</v>
      </c>
      <c r="F412" s="17" t="s">
        <v>10</v>
      </c>
      <c r="G412" s="17" t="s">
        <v>25</v>
      </c>
      <c r="H412" s="2" t="s">
        <v>11</v>
      </c>
      <c r="I412" s="2">
        <v>1</v>
      </c>
      <c r="J412" s="5">
        <v>46098</v>
      </c>
      <c r="K412" s="5">
        <v>46099</v>
      </c>
      <c r="L412" s="2" t="s">
        <v>865</v>
      </c>
      <c r="M412" s="5">
        <v>45754</v>
      </c>
      <c r="N412" s="3">
        <f>VLOOKUP(NavDataRegion[[#This Row],[Spool No]],[1]Sheet2!$B:$U,20,0)</f>
        <v>23.29232</v>
      </c>
      <c r="O412" s="2">
        <v>6</v>
      </c>
      <c r="P412" s="2">
        <v>1</v>
      </c>
      <c r="Q412" s="2"/>
    </row>
    <row r="413" spans="1:17" ht="20.100000000000001" customHeight="1">
      <c r="A413" s="2" t="s">
        <v>9</v>
      </c>
      <c r="B413" s="2" t="s">
        <v>154</v>
      </c>
      <c r="C413" s="2" t="s">
        <v>155</v>
      </c>
      <c r="D413" s="2" t="e">
        <f>VLOOKUP(C:C,Vlookup!A:A,1,0)</f>
        <v>#N/A</v>
      </c>
      <c r="E413" s="2">
        <v>7</v>
      </c>
      <c r="F413" s="2" t="s">
        <v>10</v>
      </c>
      <c r="G413" s="2" t="s">
        <v>16</v>
      </c>
      <c r="H413" s="2" t="s">
        <v>11</v>
      </c>
      <c r="I413" s="2">
        <v>1</v>
      </c>
      <c r="J413" s="5">
        <v>46029</v>
      </c>
      <c r="K413" s="5">
        <v>45665</v>
      </c>
      <c r="L413" s="2" t="s">
        <v>865</v>
      </c>
      <c r="M413" s="5">
        <v>46091</v>
      </c>
      <c r="N413" s="3">
        <f>VLOOKUP(NavDataRegion[[#This Row],[Spool No]],[1]Sheet2!$B:$U,20,0)</f>
        <v>1707.1385764879999</v>
      </c>
      <c r="O413" s="2">
        <v>67.75</v>
      </c>
      <c r="P413" s="2">
        <v>12</v>
      </c>
      <c r="Q413" s="2"/>
    </row>
    <row r="414" spans="1:17" ht="20.100000000000001" customHeight="1">
      <c r="A414" s="2" t="s">
        <v>9</v>
      </c>
      <c r="B414" s="2" t="s">
        <v>17</v>
      </c>
      <c r="C414" s="2" t="s">
        <v>355</v>
      </c>
      <c r="D414" s="2" t="e">
        <f>VLOOKUP(C:C,Vlookup!A:A,1,0)</f>
        <v>#N/A</v>
      </c>
      <c r="E414" s="2">
        <v>1</v>
      </c>
      <c r="F414" s="2" t="s">
        <v>10</v>
      </c>
      <c r="G414" s="2" t="s">
        <v>25</v>
      </c>
      <c r="H414" s="2" t="s">
        <v>11</v>
      </c>
      <c r="I414" s="2">
        <v>1</v>
      </c>
      <c r="J414" s="5">
        <v>45975</v>
      </c>
      <c r="K414" s="5">
        <v>45764</v>
      </c>
      <c r="L414" s="2" t="s">
        <v>865</v>
      </c>
      <c r="M414" s="5">
        <v>46090</v>
      </c>
      <c r="N414" s="3">
        <f>VLOOKUP(NavDataRegion[[#This Row],[Spool No]],[1]Sheet2!$B:$U,20,0)</f>
        <v>634.12093000000004</v>
      </c>
      <c r="O414" s="2">
        <v>42</v>
      </c>
      <c r="P414" s="2">
        <v>14</v>
      </c>
      <c r="Q414" s="2"/>
    </row>
    <row r="415" spans="1:17" ht="20.100000000000001" customHeight="1">
      <c r="A415" s="2" t="s">
        <v>9</v>
      </c>
      <c r="B415" s="2" t="s">
        <v>262</v>
      </c>
      <c r="C415" s="2" t="s">
        <v>263</v>
      </c>
      <c r="D415" s="2" t="e">
        <f>VLOOKUP(C:C,Vlookup!A:A,1,0)</f>
        <v>#N/A</v>
      </c>
      <c r="E415" s="2">
        <v>13</v>
      </c>
      <c r="F415" s="2" t="s">
        <v>10</v>
      </c>
      <c r="G415" s="2" t="s">
        <v>16</v>
      </c>
      <c r="H415" s="2" t="s">
        <v>11</v>
      </c>
      <c r="I415" s="2">
        <v>1</v>
      </c>
      <c r="J415" s="5">
        <v>46087</v>
      </c>
      <c r="K415" s="5">
        <v>46090</v>
      </c>
      <c r="L415" s="2" t="s">
        <v>865</v>
      </c>
      <c r="M415" s="5">
        <v>46105</v>
      </c>
      <c r="N415" s="3">
        <f>VLOOKUP(NavDataRegion[[#This Row],[Spool No]],[1]Sheet2!$B:$U,20,0)</f>
        <v>1228.616812768</v>
      </c>
      <c r="O415" s="2">
        <v>45</v>
      </c>
      <c r="P415" s="2">
        <v>12</v>
      </c>
      <c r="Q415" s="2"/>
    </row>
    <row r="416" spans="1:17" ht="20.100000000000001" customHeight="1">
      <c r="A416" s="2" t="s">
        <v>9</v>
      </c>
      <c r="B416" s="2" t="s">
        <v>266</v>
      </c>
      <c r="C416" s="2" t="s">
        <v>267</v>
      </c>
      <c r="D416" s="2" t="e">
        <f>VLOOKUP(C:C,Vlookup!A:A,1,0)</f>
        <v>#N/A</v>
      </c>
      <c r="E416" s="2">
        <v>11</v>
      </c>
      <c r="F416" s="2" t="s">
        <v>10</v>
      </c>
      <c r="G416" s="2" t="s">
        <v>25</v>
      </c>
      <c r="H416" s="2" t="s">
        <v>11</v>
      </c>
      <c r="I416" s="2">
        <v>1</v>
      </c>
      <c r="J416" s="5">
        <v>46057</v>
      </c>
      <c r="K416" s="5">
        <v>46058</v>
      </c>
      <c r="L416" s="2" t="s">
        <v>865</v>
      </c>
      <c r="M416" s="5">
        <v>46105</v>
      </c>
      <c r="N416" s="3">
        <f>VLOOKUP(NavDataRegion[[#This Row],[Spool No]],[1]Sheet2!$B:$U,20,0)</f>
        <v>875.00274000000002</v>
      </c>
      <c r="O416" s="2">
        <v>174</v>
      </c>
      <c r="P416" s="2">
        <v>12</v>
      </c>
      <c r="Q416" s="2"/>
    </row>
    <row r="417" spans="1:17" ht="20.100000000000001" customHeight="1">
      <c r="A417" s="2" t="s">
        <v>9</v>
      </c>
      <c r="B417" s="2" t="s">
        <v>268</v>
      </c>
      <c r="C417" s="2" t="s">
        <v>269</v>
      </c>
      <c r="D417" s="2" t="e">
        <f>VLOOKUP(C:C,Vlookup!A:A,1,0)</f>
        <v>#N/A</v>
      </c>
      <c r="E417" s="2">
        <v>7</v>
      </c>
      <c r="F417" s="2" t="s">
        <v>10</v>
      </c>
      <c r="G417" s="2" t="s">
        <v>16</v>
      </c>
      <c r="H417" s="2" t="s">
        <v>11</v>
      </c>
      <c r="I417" s="2">
        <v>1</v>
      </c>
      <c r="J417" s="5">
        <v>46036</v>
      </c>
      <c r="K417" s="5">
        <v>46037</v>
      </c>
      <c r="L417" s="2" t="s">
        <v>865</v>
      </c>
      <c r="M417" s="5">
        <v>46091</v>
      </c>
      <c r="N417" s="3">
        <f>VLOOKUP(NavDataRegion[[#This Row],[Spool No]],[1]Sheet2!$B:$U,20,0)</f>
        <v>279.091880608</v>
      </c>
      <c r="O417" s="2">
        <v>35.5</v>
      </c>
      <c r="P417" s="2">
        <v>12</v>
      </c>
      <c r="Q417" s="2"/>
    </row>
    <row r="418" spans="1:17" ht="20.100000000000001" customHeight="1">
      <c r="A418" s="2" t="s">
        <v>9</v>
      </c>
      <c r="B418" s="2" t="s">
        <v>270</v>
      </c>
      <c r="C418" s="2" t="s">
        <v>271</v>
      </c>
      <c r="D418" s="2" t="e">
        <f>VLOOKUP(C:C,Vlookup!A:A,1,0)</f>
        <v>#N/A</v>
      </c>
      <c r="E418" s="2">
        <v>11</v>
      </c>
      <c r="F418" s="2" t="s">
        <v>272</v>
      </c>
      <c r="G418" s="2" t="s">
        <v>25</v>
      </c>
      <c r="H418" s="2" t="s">
        <v>11</v>
      </c>
      <c r="I418" s="2">
        <v>1</v>
      </c>
      <c r="J418" s="5">
        <v>46057</v>
      </c>
      <c r="K418" s="5">
        <v>46058</v>
      </c>
      <c r="L418" s="2" t="s">
        <v>865</v>
      </c>
      <c r="M418" s="5">
        <v>46105</v>
      </c>
      <c r="N418" s="3">
        <f>VLOOKUP(NavDataRegion[[#This Row],[Spool No]],[1]Sheet2!$B:$U,20,0)</f>
        <v>2207.7473960799998</v>
      </c>
      <c r="O418" s="2">
        <v>89</v>
      </c>
      <c r="P418" s="2">
        <v>12</v>
      </c>
      <c r="Q418" s="2"/>
    </row>
    <row r="419" spans="1:17" ht="20.100000000000001" customHeight="1">
      <c r="A419" s="2" t="s">
        <v>9</v>
      </c>
      <c r="B419" s="2" t="s">
        <v>273</v>
      </c>
      <c r="C419" s="2" t="s">
        <v>274</v>
      </c>
      <c r="D419" s="2" t="e">
        <f>VLOOKUP(C:C,Vlookup!A:A,1,0)</f>
        <v>#N/A</v>
      </c>
      <c r="E419" s="2">
        <v>5</v>
      </c>
      <c r="F419" s="2" t="s">
        <v>275</v>
      </c>
      <c r="G419" s="2" t="s">
        <v>276</v>
      </c>
      <c r="H419" s="2" t="s">
        <v>11</v>
      </c>
      <c r="I419" s="2">
        <v>1</v>
      </c>
      <c r="J419" s="5">
        <v>46010</v>
      </c>
      <c r="K419" s="5">
        <v>46013</v>
      </c>
      <c r="L419" s="2" t="s">
        <v>865</v>
      </c>
      <c r="M419" s="5">
        <v>46090</v>
      </c>
      <c r="N419" s="3">
        <f>VLOOKUP(NavDataRegion[[#This Row],[Spool No]],[1]Sheet2!$B:$U,20,0)</f>
        <v>595.08170060800001</v>
      </c>
      <c r="O419" s="2">
        <v>85</v>
      </c>
      <c r="P419" s="2">
        <v>12</v>
      </c>
      <c r="Q419" s="2"/>
    </row>
    <row r="420" spans="1:17" ht="20.100000000000001" customHeight="1">
      <c r="A420" s="2" t="s">
        <v>9</v>
      </c>
      <c r="B420" s="2" t="s">
        <v>277</v>
      </c>
      <c r="C420" s="2" t="s">
        <v>278</v>
      </c>
      <c r="D420" s="2" t="e">
        <f>VLOOKUP(C:C,Vlookup!A:A,1,0)</f>
        <v>#N/A</v>
      </c>
      <c r="E420" s="2">
        <v>7</v>
      </c>
      <c r="F420" s="2" t="s">
        <v>10</v>
      </c>
      <c r="G420" s="2" t="s">
        <v>25</v>
      </c>
      <c r="H420" s="2" t="s">
        <v>11</v>
      </c>
      <c r="I420" s="2">
        <v>1</v>
      </c>
      <c r="J420" s="5">
        <v>46043</v>
      </c>
      <c r="K420" s="5">
        <v>46043</v>
      </c>
      <c r="L420" s="2" t="s">
        <v>865</v>
      </c>
      <c r="M420" s="5">
        <v>46091</v>
      </c>
      <c r="N420" s="3">
        <f>VLOOKUP(NavDataRegion[[#This Row],[Spool No]],[1]Sheet2!$B:$U,20,0)</f>
        <v>241.07176215999999</v>
      </c>
      <c r="O420" s="2">
        <v>49</v>
      </c>
      <c r="P420" s="2">
        <v>12</v>
      </c>
      <c r="Q420" s="2"/>
    </row>
    <row r="421" spans="1:17" ht="20.100000000000001" customHeight="1">
      <c r="A421" s="2" t="s">
        <v>9</v>
      </c>
      <c r="B421" s="2" t="s">
        <v>279</v>
      </c>
      <c r="C421" s="2" t="s">
        <v>280</v>
      </c>
      <c r="D421" s="2" t="e">
        <f>VLOOKUP(C:C,Vlookup!A:A,1,0)</f>
        <v>#N/A</v>
      </c>
      <c r="E421" s="2">
        <v>5</v>
      </c>
      <c r="F421" s="2" t="s">
        <v>10</v>
      </c>
      <c r="G421" s="2" t="s">
        <v>281</v>
      </c>
      <c r="H421" s="2" t="s">
        <v>11</v>
      </c>
      <c r="I421" s="2">
        <v>1</v>
      </c>
      <c r="J421" s="5">
        <v>46010</v>
      </c>
      <c r="K421" s="5">
        <v>46013</v>
      </c>
      <c r="L421" s="2" t="s">
        <v>865</v>
      </c>
      <c r="M421" s="5">
        <v>46090</v>
      </c>
      <c r="N421" s="3">
        <f>VLOOKUP(NavDataRegion[[#This Row],[Spool No]],[1]Sheet2!$B:$U,20,0)</f>
        <v>387.53505000000001</v>
      </c>
      <c r="O421" s="2">
        <v>24</v>
      </c>
      <c r="P421" s="2">
        <v>12</v>
      </c>
      <c r="Q421" s="2"/>
    </row>
    <row r="422" spans="1:17" ht="20.100000000000001" customHeight="1">
      <c r="A422" s="2" t="s">
        <v>9</v>
      </c>
      <c r="B422" s="2" t="s">
        <v>1047</v>
      </c>
      <c r="C422" s="2" t="s">
        <v>1806</v>
      </c>
      <c r="D422" s="2" t="e">
        <f>VLOOKUP(C:C,Vlookup!A:A,1,0)</f>
        <v>#N/A</v>
      </c>
      <c r="E422" s="2">
        <v>14</v>
      </c>
      <c r="F422" s="17" t="s">
        <v>10</v>
      </c>
      <c r="G422" s="17" t="s">
        <v>25</v>
      </c>
      <c r="H422" s="2" t="s">
        <v>11</v>
      </c>
      <c r="I422" s="2">
        <v>1</v>
      </c>
      <c r="J422" s="5">
        <v>46098</v>
      </c>
      <c r="K422" s="5">
        <v>46099</v>
      </c>
      <c r="L422" s="2" t="s">
        <v>865</v>
      </c>
      <c r="M422" s="5">
        <v>45754</v>
      </c>
      <c r="N422" s="3">
        <f>VLOOKUP(NavDataRegion[[#This Row],[Spool No]],[1]Sheet2!$B:$U,20,0)</f>
        <v>4.3253199999999996</v>
      </c>
      <c r="O422" s="2">
        <v>1</v>
      </c>
      <c r="P422" s="2">
        <v>1</v>
      </c>
      <c r="Q422" s="2"/>
    </row>
    <row r="423" spans="1:17" ht="20.100000000000001" customHeight="1">
      <c r="A423" s="2" t="s">
        <v>9</v>
      </c>
      <c r="B423" s="2" t="s">
        <v>1053</v>
      </c>
      <c r="C423" s="2" t="s">
        <v>1516</v>
      </c>
      <c r="D423" s="2" t="e">
        <f>VLOOKUP(C:C,Vlookup!A:A,1,0)</f>
        <v>#N/A</v>
      </c>
      <c r="E423" s="2">
        <v>14</v>
      </c>
      <c r="F423" s="17" t="s">
        <v>10</v>
      </c>
      <c r="G423" s="17" t="s">
        <v>25</v>
      </c>
      <c r="H423" s="2" t="s">
        <v>11</v>
      </c>
      <c r="I423" s="2">
        <v>1</v>
      </c>
      <c r="J423" s="5">
        <v>46098</v>
      </c>
      <c r="K423" s="5">
        <v>46099</v>
      </c>
      <c r="L423" s="2" t="s">
        <v>865</v>
      </c>
      <c r="M423" s="5">
        <v>45754</v>
      </c>
      <c r="N423" s="3">
        <f>VLOOKUP(NavDataRegion[[#This Row],[Spool No]],[1]Sheet2!$B:$U,20,0)</f>
        <v>9.3691999999999993</v>
      </c>
      <c r="O423" s="2">
        <v>2.25</v>
      </c>
      <c r="P423" s="2">
        <v>0.75</v>
      </c>
      <c r="Q423" s="2"/>
    </row>
    <row r="424" spans="1:17" ht="20.100000000000001" customHeight="1">
      <c r="A424" s="2" t="s">
        <v>9</v>
      </c>
      <c r="B424" s="2" t="s">
        <v>1055</v>
      </c>
      <c r="C424" s="2" t="s">
        <v>1517</v>
      </c>
      <c r="D424" s="2" t="e">
        <f>VLOOKUP(C:C,Vlookup!A:A,1,0)</f>
        <v>#N/A</v>
      </c>
      <c r="E424" s="2">
        <v>14</v>
      </c>
      <c r="F424" s="17" t="s">
        <v>10</v>
      </c>
      <c r="G424" s="17" t="s">
        <v>25</v>
      </c>
      <c r="H424" s="2" t="s">
        <v>11</v>
      </c>
      <c r="I424" s="2">
        <v>1</v>
      </c>
      <c r="J424" s="5">
        <v>46098</v>
      </c>
      <c r="K424" s="5">
        <v>46099</v>
      </c>
      <c r="L424" s="2" t="s">
        <v>865</v>
      </c>
      <c r="M424" s="5">
        <v>45754</v>
      </c>
      <c r="N424" s="3">
        <f>VLOOKUP(NavDataRegion[[#This Row],[Spool No]],[1]Sheet2!$B:$U,20,0)</f>
        <v>38.588239999999999</v>
      </c>
      <c r="O424" s="2">
        <v>8</v>
      </c>
      <c r="P424" s="2">
        <v>2</v>
      </c>
      <c r="Q424" s="2"/>
    </row>
    <row r="425" spans="1:17" ht="20.100000000000001" customHeight="1">
      <c r="A425" s="2" t="s">
        <v>9</v>
      </c>
      <c r="B425" s="2" t="s">
        <v>1059</v>
      </c>
      <c r="C425" s="2" t="s">
        <v>1519</v>
      </c>
      <c r="D425" s="2" t="e">
        <f>VLOOKUP(C:C,Vlookup!A:A,1,0)</f>
        <v>#N/A</v>
      </c>
      <c r="E425" s="2">
        <v>14</v>
      </c>
      <c r="F425" s="17" t="s">
        <v>10</v>
      </c>
      <c r="G425" s="17" t="s">
        <v>25</v>
      </c>
      <c r="H425" s="2" t="s">
        <v>11</v>
      </c>
      <c r="I425" s="2">
        <v>1</v>
      </c>
      <c r="J425" s="5">
        <v>46098</v>
      </c>
      <c r="K425" s="5">
        <v>46099</v>
      </c>
      <c r="L425" s="2" t="s">
        <v>865</v>
      </c>
      <c r="M425" s="5">
        <v>45754</v>
      </c>
      <c r="N425" s="3">
        <f>VLOOKUP(NavDataRegion[[#This Row],[Spool No]],[1]Sheet2!$B:$U,20,0)</f>
        <v>1.9741200000000001</v>
      </c>
      <c r="O425" s="2">
        <v>3</v>
      </c>
      <c r="P425" s="2">
        <v>1</v>
      </c>
      <c r="Q425" s="2"/>
    </row>
    <row r="426" spans="1:17" ht="20.100000000000001" customHeight="1">
      <c r="A426" s="2" t="s">
        <v>9</v>
      </c>
      <c r="B426" s="2" t="s">
        <v>326</v>
      </c>
      <c r="C426" s="2" t="s">
        <v>777</v>
      </c>
      <c r="D426" s="2" t="e">
        <f>VLOOKUP(C:C,Vlookup!A:A,1,0)</f>
        <v>#N/A</v>
      </c>
      <c r="E426" s="2">
        <v>13</v>
      </c>
      <c r="F426" s="2" t="s">
        <v>10</v>
      </c>
      <c r="G426" s="2" t="s">
        <v>25</v>
      </c>
      <c r="H426" s="2" t="s">
        <v>11</v>
      </c>
      <c r="I426" s="2">
        <v>1</v>
      </c>
      <c r="J426" s="5">
        <v>46087</v>
      </c>
      <c r="K426" s="5">
        <v>46094</v>
      </c>
      <c r="L426" s="2" t="s">
        <v>865</v>
      </c>
      <c r="M426" s="5">
        <v>46105</v>
      </c>
      <c r="N426" s="3">
        <f>VLOOKUP(NavDataRegion[[#This Row],[Spool No]],[1]Sheet2!$B:$U,20,0)</f>
        <v>172.53448</v>
      </c>
      <c r="O426" s="2">
        <v>19</v>
      </c>
      <c r="P426" s="2">
        <v>10</v>
      </c>
      <c r="Q426" s="2"/>
    </row>
    <row r="427" spans="1:17" ht="20.100000000000001" customHeight="1">
      <c r="A427" s="2" t="s">
        <v>9</v>
      </c>
      <c r="B427" s="2" t="s">
        <v>158</v>
      </c>
      <c r="C427" s="2" t="s">
        <v>392</v>
      </c>
      <c r="D427" s="2" t="e">
        <f>VLOOKUP(C:C,Vlookup!A:A,1,0)</f>
        <v>#N/A</v>
      </c>
      <c r="E427" s="2">
        <v>8</v>
      </c>
      <c r="F427" s="2" t="s">
        <v>393</v>
      </c>
      <c r="G427" s="2" t="s">
        <v>16</v>
      </c>
      <c r="H427" s="2" t="s">
        <v>11</v>
      </c>
      <c r="I427" s="2">
        <v>1</v>
      </c>
      <c r="J427" s="5">
        <v>46045</v>
      </c>
      <c r="K427" s="5">
        <v>46048</v>
      </c>
      <c r="L427" s="2" t="s">
        <v>865</v>
      </c>
      <c r="M427" s="5">
        <v>46091</v>
      </c>
      <c r="N427" s="3">
        <f>VLOOKUP(NavDataRegion[[#This Row],[Spool No]],[1]Sheet2!$B:$U,20,0)</f>
        <v>1941.9768472000001</v>
      </c>
      <c r="O427" s="2">
        <v>127</v>
      </c>
      <c r="P427" s="2">
        <v>12</v>
      </c>
      <c r="Q427" s="2"/>
    </row>
    <row r="428" spans="1:17" ht="20.100000000000001" customHeight="1">
      <c r="A428" s="2" t="s">
        <v>9</v>
      </c>
      <c r="B428" s="2" t="s">
        <v>260</v>
      </c>
      <c r="C428" s="2" t="s">
        <v>451</v>
      </c>
      <c r="D428" s="2" t="e">
        <f>VLOOKUP(C:C,Vlookup!A:A,1,0)</f>
        <v>#N/A</v>
      </c>
      <c r="E428" s="2">
        <v>2</v>
      </c>
      <c r="F428" s="2" t="s">
        <v>10</v>
      </c>
      <c r="G428" s="2" t="s">
        <v>25</v>
      </c>
      <c r="H428" s="2" t="s">
        <v>11</v>
      </c>
      <c r="I428" s="2">
        <v>1</v>
      </c>
      <c r="J428" s="5">
        <v>45988</v>
      </c>
      <c r="K428" s="5">
        <v>45989</v>
      </c>
      <c r="L428" s="2" t="s">
        <v>865</v>
      </c>
      <c r="M428" s="5">
        <v>46090</v>
      </c>
      <c r="N428" s="3">
        <f>VLOOKUP(NavDataRegion[[#This Row],[Spool No]],[1]Sheet2!$B:$U,20,0)</f>
        <v>358.77882</v>
      </c>
      <c r="O428" s="2">
        <v>24</v>
      </c>
      <c r="P428" s="2">
        <v>12</v>
      </c>
      <c r="Q428" s="2"/>
    </row>
    <row r="429" spans="1:17" ht="20.100000000000001" customHeight="1">
      <c r="A429" s="2" t="s">
        <v>9</v>
      </c>
      <c r="B429" s="2" t="s">
        <v>266</v>
      </c>
      <c r="C429" s="2" t="s">
        <v>454</v>
      </c>
      <c r="D429" s="2" t="e">
        <f>VLOOKUP(C:C,Vlookup!A:A,1,0)</f>
        <v>#N/A</v>
      </c>
      <c r="E429" s="2">
        <v>7</v>
      </c>
      <c r="F429" s="2" t="s">
        <v>10</v>
      </c>
      <c r="G429" s="2" t="s">
        <v>16</v>
      </c>
      <c r="H429" s="2" t="s">
        <v>11</v>
      </c>
      <c r="I429" s="2">
        <v>1</v>
      </c>
      <c r="J429" s="5">
        <v>46043</v>
      </c>
      <c r="K429" s="5">
        <v>46043</v>
      </c>
      <c r="L429" s="2" t="s">
        <v>865</v>
      </c>
      <c r="M429" s="5">
        <v>46091</v>
      </c>
      <c r="N429" s="3">
        <f>VLOOKUP(NavDataRegion[[#This Row],[Spool No]],[1]Sheet2!$B:$U,20,0)</f>
        <v>285.85350216000001</v>
      </c>
      <c r="O429" s="2">
        <v>80</v>
      </c>
      <c r="P429" s="2">
        <v>12</v>
      </c>
      <c r="Q429" s="2"/>
    </row>
    <row r="430" spans="1:17" ht="20.100000000000001" customHeight="1">
      <c r="A430" s="2" t="s">
        <v>9</v>
      </c>
      <c r="B430" s="2" t="s">
        <v>273</v>
      </c>
      <c r="C430" s="2" t="s">
        <v>457</v>
      </c>
      <c r="D430" s="2" t="e">
        <f>VLOOKUP(C:C,Vlookup!A:A,1,0)</f>
        <v>#N/A</v>
      </c>
      <c r="E430" s="2">
        <v>9</v>
      </c>
      <c r="F430" s="2" t="s">
        <v>458</v>
      </c>
      <c r="G430" s="2" t="s">
        <v>276</v>
      </c>
      <c r="H430" s="2" t="s">
        <v>11</v>
      </c>
      <c r="I430" s="2">
        <v>1</v>
      </c>
      <c r="J430" s="5">
        <v>46051</v>
      </c>
      <c r="K430" s="5">
        <v>46055</v>
      </c>
      <c r="L430" s="2" t="s">
        <v>865</v>
      </c>
      <c r="M430" s="5">
        <v>46091</v>
      </c>
      <c r="N430" s="3">
        <f>VLOOKUP(NavDataRegion[[#This Row],[Spool No]],[1]Sheet2!$B:$U,20,0)</f>
        <v>408.894980272</v>
      </c>
      <c r="O430" s="2">
        <v>44</v>
      </c>
      <c r="P430" s="2">
        <v>12</v>
      </c>
      <c r="Q430" s="2"/>
    </row>
    <row r="431" spans="1:17" ht="20.100000000000001" customHeight="1">
      <c r="A431" s="2" t="s">
        <v>9</v>
      </c>
      <c r="B431" s="2" t="s">
        <v>260</v>
      </c>
      <c r="C431" s="2" t="s">
        <v>261</v>
      </c>
      <c r="D431" s="2" t="e">
        <f>VLOOKUP(C:C,Vlookup!A:A,1,0)</f>
        <v>#N/A</v>
      </c>
      <c r="E431" s="2">
        <v>6</v>
      </c>
      <c r="F431" s="2" t="s">
        <v>10</v>
      </c>
      <c r="G431" s="2" t="s">
        <v>16</v>
      </c>
      <c r="H431" s="2" t="s">
        <v>11</v>
      </c>
      <c r="I431" s="2">
        <v>1</v>
      </c>
      <c r="J431" s="5">
        <v>46029</v>
      </c>
      <c r="K431" s="5">
        <v>46029</v>
      </c>
      <c r="L431" s="2" t="s">
        <v>865</v>
      </c>
      <c r="M431" s="5">
        <v>46091</v>
      </c>
      <c r="N431" s="3">
        <f>VLOOKUP(NavDataRegion[[#This Row],[Spool No]],[1]Sheet2!$B:$U,20,0)</f>
        <v>389.57451060800003</v>
      </c>
      <c r="O431" s="2">
        <v>59.5</v>
      </c>
      <c r="P431" s="2">
        <v>12</v>
      </c>
      <c r="Q431" s="2"/>
    </row>
    <row r="432" spans="1:17" ht="20.100000000000001" customHeight="1">
      <c r="A432" s="2" t="s">
        <v>9</v>
      </c>
      <c r="B432" s="2" t="s">
        <v>1071</v>
      </c>
      <c r="C432" s="2" t="s">
        <v>1072</v>
      </c>
      <c r="D432" s="2" t="e">
        <f>VLOOKUP(C:C,Vlookup!A:A,1,0)</f>
        <v>#N/A</v>
      </c>
      <c r="E432" s="2">
        <v>14</v>
      </c>
      <c r="F432" s="17" t="s">
        <v>10</v>
      </c>
      <c r="G432" s="17" t="s">
        <v>25</v>
      </c>
      <c r="H432" s="2" t="s">
        <v>11</v>
      </c>
      <c r="I432" s="2">
        <v>1</v>
      </c>
      <c r="J432" s="5">
        <v>46098</v>
      </c>
      <c r="K432" s="5">
        <v>46099</v>
      </c>
      <c r="L432" s="2" t="s">
        <v>865</v>
      </c>
      <c r="M432" s="5">
        <v>45754</v>
      </c>
      <c r="N432" s="3">
        <f>VLOOKUP(NavDataRegion[[#This Row],[Spool No]],[1]Sheet2!$B:$U,20,0)</f>
        <v>17.761199999999999</v>
      </c>
      <c r="O432" s="2">
        <v>5.25</v>
      </c>
      <c r="P432" s="2">
        <v>0.75</v>
      </c>
      <c r="Q432" s="2"/>
    </row>
    <row r="433" spans="1:17" ht="20.100000000000001" customHeight="1">
      <c r="A433" s="2" t="s">
        <v>9</v>
      </c>
      <c r="B433" s="2" t="s">
        <v>154</v>
      </c>
      <c r="C433" s="2" t="s">
        <v>529</v>
      </c>
      <c r="D433" s="2" t="e">
        <f>VLOOKUP(C:C,Vlookup!A:A,1,0)</f>
        <v>#N/A</v>
      </c>
      <c r="E433" s="2">
        <v>9</v>
      </c>
      <c r="F433" s="2" t="s">
        <v>10</v>
      </c>
      <c r="G433" s="2" t="s">
        <v>25</v>
      </c>
      <c r="H433" s="2" t="s">
        <v>11</v>
      </c>
      <c r="I433" s="2">
        <v>1</v>
      </c>
      <c r="J433" s="5">
        <v>46049</v>
      </c>
      <c r="K433" s="5">
        <v>46050</v>
      </c>
      <c r="L433" s="2" t="s">
        <v>865</v>
      </c>
      <c r="M433" s="5">
        <v>46091</v>
      </c>
      <c r="N433" s="3">
        <f>VLOOKUP(NavDataRegion[[#This Row],[Spool No]],[1]Sheet2!$B:$U,20,0)</f>
        <v>2034.83208216</v>
      </c>
      <c r="O433" s="2">
        <v>73</v>
      </c>
      <c r="P433" s="2">
        <v>12</v>
      </c>
      <c r="Q433" s="2"/>
    </row>
    <row r="434" spans="1:17" ht="20.100000000000001" customHeight="1">
      <c r="A434" s="2" t="s">
        <v>9</v>
      </c>
      <c r="B434" s="2" t="s">
        <v>1083</v>
      </c>
      <c r="C434" s="2" t="s">
        <v>1526</v>
      </c>
      <c r="D434" s="2" t="e">
        <f>VLOOKUP(C:C,Vlookup!A:A,1,0)</f>
        <v>#N/A</v>
      </c>
      <c r="E434" s="2">
        <v>14</v>
      </c>
      <c r="F434" s="17" t="s">
        <v>10</v>
      </c>
      <c r="G434" s="17" t="s">
        <v>25</v>
      </c>
      <c r="H434" s="2" t="s">
        <v>11</v>
      </c>
      <c r="I434" s="2">
        <v>1</v>
      </c>
      <c r="J434" s="5">
        <v>46098</v>
      </c>
      <c r="K434" s="5">
        <v>46099</v>
      </c>
      <c r="L434" s="2" t="s">
        <v>865</v>
      </c>
      <c r="M434" s="5">
        <v>45754</v>
      </c>
      <c r="N434" s="3">
        <f>VLOOKUP(NavDataRegion[[#This Row],[Spool No]],[1]Sheet2!$B:$U,20,0)</f>
        <v>8.5864799999999999</v>
      </c>
      <c r="O434" s="2">
        <v>1</v>
      </c>
      <c r="P434" s="2">
        <v>1</v>
      </c>
      <c r="Q434" s="2"/>
    </row>
    <row r="435" spans="1:17" ht="20.100000000000001" customHeight="1">
      <c r="A435" s="2" t="s">
        <v>9</v>
      </c>
      <c r="B435" s="2" t="s">
        <v>1269</v>
      </c>
      <c r="C435" s="2" t="s">
        <v>1591</v>
      </c>
      <c r="D435" s="2" t="e">
        <f>VLOOKUP(C:C,Vlookup!A:A,1,0)</f>
        <v>#N/A</v>
      </c>
      <c r="E435" s="2">
        <v>14</v>
      </c>
      <c r="F435" s="17" t="s">
        <v>10</v>
      </c>
      <c r="G435" s="17" t="s">
        <v>25</v>
      </c>
      <c r="H435" s="2" t="s">
        <v>11</v>
      </c>
      <c r="I435" s="2">
        <v>1</v>
      </c>
      <c r="J435" s="5">
        <v>46100</v>
      </c>
      <c r="K435" s="5">
        <v>46101</v>
      </c>
      <c r="L435" s="2" t="s">
        <v>865</v>
      </c>
      <c r="M435" s="5">
        <v>45754</v>
      </c>
      <c r="N435" s="3">
        <f>VLOOKUP(NavDataRegion[[#This Row],[Spool No]],[1]Sheet2!$B:$U,20,0)</f>
        <v>5.3766999999999996</v>
      </c>
      <c r="O435" s="2">
        <v>2</v>
      </c>
      <c r="P435" s="2">
        <v>0.5</v>
      </c>
      <c r="Q435" s="2"/>
    </row>
    <row r="436" spans="1:17" ht="20.100000000000001" customHeight="1">
      <c r="A436" s="2" t="s">
        <v>9</v>
      </c>
      <c r="B436" s="2" t="s">
        <v>262</v>
      </c>
      <c r="C436" s="2" t="s">
        <v>582</v>
      </c>
      <c r="D436" s="2" t="e">
        <f>VLOOKUP(C:C,Vlookup!A:A,1,0)</f>
        <v>#N/A</v>
      </c>
      <c r="E436" s="2">
        <v>8</v>
      </c>
      <c r="F436" s="2" t="s">
        <v>10</v>
      </c>
      <c r="G436" s="2" t="s">
        <v>16</v>
      </c>
      <c r="H436" s="2" t="s">
        <v>11</v>
      </c>
      <c r="I436" s="2">
        <v>1</v>
      </c>
      <c r="J436" s="5">
        <v>46045</v>
      </c>
      <c r="K436" s="5">
        <v>46045</v>
      </c>
      <c r="L436" s="2" t="s">
        <v>865</v>
      </c>
      <c r="M436" s="5">
        <v>46091</v>
      </c>
      <c r="N436" s="3">
        <f>VLOOKUP(NavDataRegion[[#This Row],[Spool No]],[1]Sheet2!$B:$U,20,0)</f>
        <v>406.23175276799998</v>
      </c>
      <c r="O436" s="2">
        <v>56</v>
      </c>
      <c r="P436" s="2">
        <v>12</v>
      </c>
      <c r="Q436" s="2"/>
    </row>
    <row r="437" spans="1:17" ht="20.100000000000001" customHeight="1">
      <c r="A437" s="2" t="s">
        <v>9</v>
      </c>
      <c r="B437" s="2" t="s">
        <v>277</v>
      </c>
      <c r="C437" s="2" t="s">
        <v>459</v>
      </c>
      <c r="D437" s="2" t="e">
        <f>VLOOKUP(C:C,Vlookup!A:A,1,0)</f>
        <v>#N/A</v>
      </c>
      <c r="E437" s="2">
        <v>6</v>
      </c>
      <c r="F437" s="2" t="s">
        <v>10</v>
      </c>
      <c r="G437" s="2" t="s">
        <v>16</v>
      </c>
      <c r="H437" s="2" t="s">
        <v>11</v>
      </c>
      <c r="I437" s="2">
        <v>1</v>
      </c>
      <c r="J437" s="5">
        <v>46029</v>
      </c>
      <c r="K437" s="5">
        <v>46029</v>
      </c>
      <c r="L437" s="2" t="s">
        <v>865</v>
      </c>
      <c r="M437" s="5">
        <v>46091</v>
      </c>
      <c r="N437" s="3">
        <f>VLOOKUP(NavDataRegion[[#This Row],[Spool No]],[1]Sheet2!$B:$U,20,0)</f>
        <v>409.14156060800002</v>
      </c>
      <c r="O437" s="2">
        <v>43</v>
      </c>
      <c r="P437" s="2">
        <v>12</v>
      </c>
      <c r="Q437" s="2"/>
    </row>
    <row r="438" spans="1:17" ht="20.100000000000001" customHeight="1">
      <c r="A438" s="2" t="s">
        <v>9</v>
      </c>
      <c r="B438" s="2" t="s">
        <v>273</v>
      </c>
      <c r="C438" s="2" t="s">
        <v>586</v>
      </c>
      <c r="D438" s="2" t="e">
        <f>VLOOKUP(C:C,Vlookup!A:A,1,0)</f>
        <v>#N/A</v>
      </c>
      <c r="E438" s="2">
        <v>3</v>
      </c>
      <c r="F438" s="2" t="s">
        <v>587</v>
      </c>
      <c r="G438" s="2" t="s">
        <v>281</v>
      </c>
      <c r="H438" s="2" t="s">
        <v>11</v>
      </c>
      <c r="I438" s="2">
        <v>1</v>
      </c>
      <c r="J438" s="5">
        <v>46003</v>
      </c>
      <c r="K438" s="5">
        <v>46006</v>
      </c>
      <c r="L438" s="2" t="s">
        <v>865</v>
      </c>
      <c r="M438" s="5">
        <v>46090</v>
      </c>
      <c r="N438" s="3">
        <f>VLOOKUP(NavDataRegion[[#This Row],[Spool No]],[1]Sheet2!$B:$U,20,0)</f>
        <v>284.58114</v>
      </c>
      <c r="O438" s="2">
        <v>24</v>
      </c>
      <c r="P438" s="2">
        <v>12</v>
      </c>
      <c r="Q438" s="2"/>
    </row>
    <row r="439" spans="1:17" ht="20.100000000000001" customHeight="1">
      <c r="A439" s="2" t="s">
        <v>9</v>
      </c>
      <c r="B439" s="2" t="s">
        <v>277</v>
      </c>
      <c r="C439" s="2" t="s">
        <v>588</v>
      </c>
      <c r="D439" s="2" t="e">
        <f>VLOOKUP(C:C,Vlookup!A:A,1,0)</f>
        <v>#N/A</v>
      </c>
      <c r="E439" s="2">
        <v>8</v>
      </c>
      <c r="F439" s="2" t="s">
        <v>10</v>
      </c>
      <c r="G439" s="2" t="s">
        <v>25</v>
      </c>
      <c r="H439" s="2" t="s">
        <v>11</v>
      </c>
      <c r="I439" s="2">
        <v>1</v>
      </c>
      <c r="J439" s="5">
        <v>46045</v>
      </c>
      <c r="K439" s="5">
        <v>46048</v>
      </c>
      <c r="L439" s="2" t="s">
        <v>865</v>
      </c>
      <c r="M439" s="5">
        <v>46091</v>
      </c>
      <c r="N439" s="3">
        <f>VLOOKUP(NavDataRegion[[#This Row],[Spool No]],[1]Sheet2!$B:$U,20,0)</f>
        <v>591.04812216000005</v>
      </c>
      <c r="O439" s="2">
        <v>73</v>
      </c>
      <c r="P439" s="2">
        <v>12</v>
      </c>
      <c r="Q439" s="2"/>
    </row>
    <row r="440" spans="1:17" ht="20.100000000000001" customHeight="1">
      <c r="A440" s="2" t="s">
        <v>9</v>
      </c>
      <c r="B440" s="2" t="s">
        <v>279</v>
      </c>
      <c r="C440" s="2" t="s">
        <v>589</v>
      </c>
      <c r="D440" s="2" t="e">
        <f>VLOOKUP(C:C,Vlookup!A:A,1,0)</f>
        <v>#N/A</v>
      </c>
      <c r="E440" s="2">
        <v>3</v>
      </c>
      <c r="F440" s="2" t="s">
        <v>590</v>
      </c>
      <c r="G440" s="2" t="s">
        <v>276</v>
      </c>
      <c r="H440" s="2" t="s">
        <v>11</v>
      </c>
      <c r="I440" s="2">
        <v>1</v>
      </c>
      <c r="J440" s="5">
        <v>46003</v>
      </c>
      <c r="K440" s="5">
        <v>46006</v>
      </c>
      <c r="L440" s="2" t="s">
        <v>865</v>
      </c>
      <c r="M440" s="5">
        <v>46090</v>
      </c>
      <c r="N440" s="3">
        <f>VLOOKUP(NavDataRegion[[#This Row],[Spool No]],[1]Sheet2!$B:$U,20,0)</f>
        <v>234.344590608</v>
      </c>
      <c r="O440" s="2">
        <v>31</v>
      </c>
      <c r="P440" s="2">
        <v>12</v>
      </c>
      <c r="Q440" s="2"/>
    </row>
    <row r="441" spans="1:17" ht="20.100000000000001" customHeight="1">
      <c r="A441" s="2" t="s">
        <v>9</v>
      </c>
      <c r="B441" s="2" t="s">
        <v>282</v>
      </c>
      <c r="C441" s="2" t="s">
        <v>591</v>
      </c>
      <c r="D441" s="2" t="e">
        <f>VLOOKUP(C:C,Vlookup!A:A,1,0)</f>
        <v>#N/A</v>
      </c>
      <c r="E441" s="2">
        <v>13</v>
      </c>
      <c r="F441" s="2" t="s">
        <v>592</v>
      </c>
      <c r="G441" s="2" t="s">
        <v>16</v>
      </c>
      <c r="H441" s="2" t="s">
        <v>11</v>
      </c>
      <c r="I441" s="2">
        <v>1</v>
      </c>
      <c r="J441" s="5">
        <v>46087</v>
      </c>
      <c r="K441" s="5">
        <v>46090</v>
      </c>
      <c r="L441" s="2" t="s">
        <v>865</v>
      </c>
      <c r="M441" s="5">
        <v>46105</v>
      </c>
      <c r="N441" s="3">
        <f>VLOOKUP(NavDataRegion[[#This Row],[Spool No]],[1]Sheet2!$B:$U,20,0)</f>
        <v>527.16677935999996</v>
      </c>
      <c r="O441" s="2">
        <v>34</v>
      </c>
      <c r="P441" s="2">
        <v>12</v>
      </c>
      <c r="Q441" s="2"/>
    </row>
    <row r="442" spans="1:17" ht="20.100000000000001" customHeight="1">
      <c r="A442" s="2" t="s">
        <v>9</v>
      </c>
      <c r="B442" s="2" t="s">
        <v>1269</v>
      </c>
      <c r="C442" s="2" t="s">
        <v>1746</v>
      </c>
      <c r="D442" s="2" t="e">
        <f>VLOOKUP(C:C,Vlookup!A:A,1,0)</f>
        <v>#N/A</v>
      </c>
      <c r="E442" s="2">
        <v>14</v>
      </c>
      <c r="F442" s="17" t="s">
        <v>10</v>
      </c>
      <c r="G442" s="17" t="s">
        <v>25</v>
      </c>
      <c r="H442" s="2" t="s">
        <v>11</v>
      </c>
      <c r="I442" s="2">
        <v>1</v>
      </c>
      <c r="J442" s="5">
        <v>46100</v>
      </c>
      <c r="K442" s="5">
        <v>46101</v>
      </c>
      <c r="L442" s="2" t="s">
        <v>865</v>
      </c>
      <c r="M442" s="5">
        <v>45754</v>
      </c>
      <c r="N442" s="3">
        <f>VLOOKUP(NavDataRegion[[#This Row],[Spool No]],[1]Sheet2!$B:$U,20,0)</f>
        <v>3.28694</v>
      </c>
      <c r="O442" s="2">
        <v>0.5</v>
      </c>
      <c r="P442" s="2">
        <v>0.5</v>
      </c>
      <c r="Q442" s="2"/>
    </row>
    <row r="443" spans="1:17" ht="20.100000000000001" customHeight="1">
      <c r="A443" s="2" t="s">
        <v>9</v>
      </c>
      <c r="B443" s="2" t="s">
        <v>262</v>
      </c>
      <c r="C443" s="2" t="s">
        <v>682</v>
      </c>
      <c r="D443" s="2" t="e">
        <f>VLOOKUP(C:C,Vlookup!A:A,1,0)</f>
        <v>#N/A</v>
      </c>
      <c r="E443" s="2">
        <v>9</v>
      </c>
      <c r="F443" s="2" t="s">
        <v>10</v>
      </c>
      <c r="G443" s="2" t="s">
        <v>25</v>
      </c>
      <c r="H443" s="2" t="s">
        <v>11</v>
      </c>
      <c r="I443" s="2">
        <v>1</v>
      </c>
      <c r="J443" s="5">
        <v>46049</v>
      </c>
      <c r="K443" s="5">
        <v>46050</v>
      </c>
      <c r="L443" s="2" t="s">
        <v>865</v>
      </c>
      <c r="M443" s="5">
        <v>46091</v>
      </c>
      <c r="N443" s="3">
        <f>VLOOKUP(NavDataRegion[[#This Row],[Spool No]],[1]Sheet2!$B:$U,20,0)</f>
        <v>431.47595999999999</v>
      </c>
      <c r="O443" s="2">
        <v>192</v>
      </c>
      <c r="P443" s="2">
        <v>12</v>
      </c>
      <c r="Q443" s="2"/>
    </row>
    <row r="444" spans="1:17" ht="20.100000000000001" customHeight="1">
      <c r="A444" s="2" t="s">
        <v>9</v>
      </c>
      <c r="B444" s="2" t="s">
        <v>266</v>
      </c>
      <c r="C444" s="2" t="s">
        <v>683</v>
      </c>
      <c r="D444" s="2" t="e">
        <f>VLOOKUP(C:C,Vlookup!A:A,1,0)</f>
        <v>#N/A</v>
      </c>
      <c r="E444" s="2">
        <v>12</v>
      </c>
      <c r="F444" s="2" t="s">
        <v>10</v>
      </c>
      <c r="G444" s="2" t="s">
        <v>16</v>
      </c>
      <c r="H444" s="2" t="s">
        <v>11</v>
      </c>
      <c r="I444" s="2">
        <v>1</v>
      </c>
      <c r="J444" s="5">
        <v>46073</v>
      </c>
      <c r="K444" s="5">
        <v>46076</v>
      </c>
      <c r="L444" s="2" t="s">
        <v>865</v>
      </c>
      <c r="M444" s="5">
        <v>46105</v>
      </c>
      <c r="N444" s="3">
        <f>VLOOKUP(NavDataRegion[[#This Row],[Spool No]],[1]Sheet2!$B:$U,20,0)</f>
        <v>1206.9209027679999</v>
      </c>
      <c r="O444" s="2">
        <v>32</v>
      </c>
      <c r="P444" s="2">
        <v>12</v>
      </c>
      <c r="Q444" s="2"/>
    </row>
    <row r="445" spans="1:17" ht="20.100000000000001" customHeight="1">
      <c r="A445" s="2" t="s">
        <v>9</v>
      </c>
      <c r="B445" s="2" t="s">
        <v>273</v>
      </c>
      <c r="C445" s="2" t="s">
        <v>685</v>
      </c>
      <c r="D445" s="2" t="e">
        <f>VLOOKUP(C:C,Vlookup!A:A,1,0)</f>
        <v>#N/A</v>
      </c>
      <c r="E445" s="2">
        <v>12</v>
      </c>
      <c r="F445" s="2" t="s">
        <v>686</v>
      </c>
      <c r="G445" s="2" t="s">
        <v>276</v>
      </c>
      <c r="H445" s="2" t="s">
        <v>11</v>
      </c>
      <c r="I445" s="2">
        <v>1</v>
      </c>
      <c r="J445" s="5">
        <v>46073</v>
      </c>
      <c r="K445" s="5">
        <v>46077</v>
      </c>
      <c r="L445" s="2" t="s">
        <v>865</v>
      </c>
      <c r="M445" s="5">
        <v>46105</v>
      </c>
      <c r="N445" s="3">
        <f>VLOOKUP(NavDataRegion[[#This Row],[Spool No]],[1]Sheet2!$B:$U,20,0)</f>
        <v>1202.8944806080001</v>
      </c>
      <c r="O445" s="2">
        <v>43</v>
      </c>
      <c r="P445" s="2">
        <v>12</v>
      </c>
      <c r="Q445" s="2"/>
    </row>
    <row r="446" spans="1:17" ht="20.100000000000001" customHeight="1">
      <c r="A446" s="2" t="s">
        <v>9</v>
      </c>
      <c r="B446" s="2" t="s">
        <v>279</v>
      </c>
      <c r="C446" s="2" t="s">
        <v>687</v>
      </c>
      <c r="D446" s="2" t="e">
        <f>VLOOKUP(C:C,Vlookup!A:A,1,0)</f>
        <v>#N/A</v>
      </c>
      <c r="E446" s="2">
        <v>5</v>
      </c>
      <c r="F446" s="2" t="s">
        <v>688</v>
      </c>
      <c r="G446" s="2" t="s">
        <v>281</v>
      </c>
      <c r="H446" s="2" t="s">
        <v>11</v>
      </c>
      <c r="I446" s="2">
        <v>1</v>
      </c>
      <c r="J446" s="5">
        <v>46010</v>
      </c>
      <c r="K446" s="5">
        <v>46013</v>
      </c>
      <c r="L446" s="2" t="s">
        <v>865</v>
      </c>
      <c r="M446" s="5">
        <v>46090</v>
      </c>
      <c r="N446" s="3">
        <f>VLOOKUP(NavDataRegion[[#This Row],[Spool No]],[1]Sheet2!$B:$U,20,0)</f>
        <v>251.26642215999999</v>
      </c>
      <c r="O446" s="2">
        <v>25</v>
      </c>
      <c r="P446" s="2">
        <v>12</v>
      </c>
      <c r="Q446" s="2"/>
    </row>
    <row r="447" spans="1:17" ht="20.100000000000001" customHeight="1">
      <c r="A447" s="2" t="s">
        <v>9</v>
      </c>
      <c r="B447" s="2" t="s">
        <v>1271</v>
      </c>
      <c r="C447" s="2" t="s">
        <v>1272</v>
      </c>
      <c r="D447" s="2" t="e">
        <f>VLOOKUP(C:C,Vlookup!A:A,1,0)</f>
        <v>#N/A</v>
      </c>
      <c r="E447" s="2">
        <v>14</v>
      </c>
      <c r="F447" s="17" t="s">
        <v>10</v>
      </c>
      <c r="G447" s="17" t="s">
        <v>25</v>
      </c>
      <c r="H447" s="2" t="s">
        <v>11</v>
      </c>
      <c r="I447" s="2">
        <v>1</v>
      </c>
      <c r="J447" s="5">
        <v>46100</v>
      </c>
      <c r="K447" s="5">
        <v>46101</v>
      </c>
      <c r="L447" s="2" t="s">
        <v>865</v>
      </c>
      <c r="M447" s="5">
        <v>45754</v>
      </c>
      <c r="N447" s="3">
        <f>VLOOKUP(NavDataRegion[[#This Row],[Spool No]],[1]Sheet2!$B:$U,20,0)</f>
        <v>0.82874000000000003</v>
      </c>
      <c r="O447" s="2">
        <v>1</v>
      </c>
      <c r="P447" s="2">
        <v>0.5</v>
      </c>
      <c r="Q447" s="2"/>
    </row>
    <row r="448" spans="1:17" ht="20.100000000000001" customHeight="1">
      <c r="A448" s="2" t="s">
        <v>9</v>
      </c>
      <c r="B448" s="2" t="s">
        <v>309</v>
      </c>
      <c r="C448" s="2" t="s">
        <v>695</v>
      </c>
      <c r="D448" s="2" t="e">
        <f>VLOOKUP(C:C,Vlookup!A:A,1,0)</f>
        <v>#N/A</v>
      </c>
      <c r="E448" s="2">
        <v>3</v>
      </c>
      <c r="F448" s="2" t="s">
        <v>10</v>
      </c>
      <c r="G448" s="2" t="s">
        <v>25</v>
      </c>
      <c r="H448" s="2" t="s">
        <v>11</v>
      </c>
      <c r="I448" s="2">
        <v>1</v>
      </c>
      <c r="J448" s="5">
        <v>45995</v>
      </c>
      <c r="K448" s="5">
        <v>45999</v>
      </c>
      <c r="L448" s="2" t="s">
        <v>865</v>
      </c>
      <c r="M448" s="5">
        <v>46090</v>
      </c>
      <c r="N448" s="3">
        <f>VLOOKUP(NavDataRegion[[#This Row],[Spool No]],[1]Sheet2!$B:$U,20,0)</f>
        <v>236.36474999999999</v>
      </c>
      <c r="O448" s="2">
        <v>0</v>
      </c>
      <c r="P448" s="2">
        <v>12</v>
      </c>
      <c r="Q448" s="2"/>
    </row>
    <row r="449" spans="1:17" ht="20.100000000000001" customHeight="1">
      <c r="A449" s="2" t="s">
        <v>9</v>
      </c>
      <c r="B449" s="2" t="s">
        <v>227</v>
      </c>
      <c r="C449" s="2" t="s">
        <v>734</v>
      </c>
      <c r="D449" s="2" t="e">
        <f>VLOOKUP(C:C,Vlookup!A:A,1,0)</f>
        <v>#N/A</v>
      </c>
      <c r="E449" s="2">
        <v>13</v>
      </c>
      <c r="F449" s="2" t="s">
        <v>735</v>
      </c>
      <c r="G449" s="2" t="s">
        <v>25</v>
      </c>
      <c r="H449" s="2" t="s">
        <v>11</v>
      </c>
      <c r="I449" s="2">
        <v>1</v>
      </c>
      <c r="J449" s="5">
        <v>46087</v>
      </c>
      <c r="K449" s="5">
        <v>46090</v>
      </c>
      <c r="L449" s="2" t="s">
        <v>865</v>
      </c>
      <c r="M449" s="5">
        <v>46105</v>
      </c>
      <c r="N449" s="3">
        <f>VLOOKUP(NavDataRegion[[#This Row],[Spool No]],[1]Sheet2!$B:$U,20,0)</f>
        <v>532.15218000000004</v>
      </c>
      <c r="O449" s="2">
        <v>49</v>
      </c>
      <c r="P449" s="2">
        <v>12</v>
      </c>
      <c r="Q449" s="2"/>
    </row>
    <row r="450" spans="1:17" ht="20.100000000000001" customHeight="1">
      <c r="A450" s="2" t="s">
        <v>9</v>
      </c>
      <c r="B450" s="2" t="s">
        <v>273</v>
      </c>
      <c r="C450" s="2" t="s">
        <v>737</v>
      </c>
      <c r="D450" s="2" t="e">
        <f>VLOOKUP(C:C,Vlookup!A:A,1,0)</f>
        <v>#N/A</v>
      </c>
      <c r="E450" s="2">
        <v>12</v>
      </c>
      <c r="F450" s="2" t="s">
        <v>738</v>
      </c>
      <c r="G450" s="2" t="s">
        <v>281</v>
      </c>
      <c r="H450" s="2" t="s">
        <v>11</v>
      </c>
      <c r="I450" s="2">
        <v>1</v>
      </c>
      <c r="J450" s="5">
        <v>46073</v>
      </c>
      <c r="K450" s="5">
        <v>46077</v>
      </c>
      <c r="L450" s="2" t="s">
        <v>865</v>
      </c>
      <c r="M450" s="5">
        <v>46105</v>
      </c>
      <c r="N450" s="3">
        <f>VLOOKUP(NavDataRegion[[#This Row],[Spool No]],[1]Sheet2!$B:$U,20,0)</f>
        <v>629.71317216</v>
      </c>
      <c r="O450" s="2">
        <v>34</v>
      </c>
      <c r="P450" s="2">
        <v>12</v>
      </c>
      <c r="Q450" s="2"/>
    </row>
    <row r="451" spans="1:17" ht="20.100000000000001" customHeight="1">
      <c r="A451" s="2" t="s">
        <v>9</v>
      </c>
      <c r="B451" s="2" t="s">
        <v>279</v>
      </c>
      <c r="C451" s="2" t="s">
        <v>739</v>
      </c>
      <c r="D451" s="2" t="e">
        <f>VLOOKUP(C:C,Vlookup!A:A,1,0)</f>
        <v>#N/A</v>
      </c>
      <c r="E451" s="2">
        <v>8</v>
      </c>
      <c r="F451" s="2" t="s">
        <v>740</v>
      </c>
      <c r="G451" s="2" t="s">
        <v>276</v>
      </c>
      <c r="H451" s="2" t="s">
        <v>11</v>
      </c>
      <c r="I451" s="2">
        <v>1</v>
      </c>
      <c r="J451" s="5">
        <v>46043</v>
      </c>
      <c r="K451" s="5">
        <v>46044</v>
      </c>
      <c r="L451" s="2" t="s">
        <v>865</v>
      </c>
      <c r="M451" s="5">
        <v>46091</v>
      </c>
      <c r="N451" s="3">
        <f>VLOOKUP(NavDataRegion[[#This Row],[Spool No]],[1]Sheet2!$B:$U,20,0)</f>
        <v>976.67138398400004</v>
      </c>
      <c r="O451" s="2">
        <v>35.5</v>
      </c>
      <c r="P451" s="2">
        <v>12</v>
      </c>
      <c r="Q451" s="2"/>
    </row>
    <row r="452" spans="1:17" ht="20.100000000000001" customHeight="1">
      <c r="A452" s="2" t="s">
        <v>9</v>
      </c>
      <c r="B452" s="2" t="s">
        <v>1093</v>
      </c>
      <c r="C452" s="2" t="s">
        <v>1094</v>
      </c>
      <c r="D452" s="2" t="e">
        <f>VLOOKUP(C:C,Vlookup!A:A,1,0)</f>
        <v>#N/A</v>
      </c>
      <c r="E452" s="2">
        <v>14</v>
      </c>
      <c r="F452" s="17" t="s">
        <v>10</v>
      </c>
      <c r="G452" s="17" t="s">
        <v>25</v>
      </c>
      <c r="H452" s="2" t="s">
        <v>11</v>
      </c>
      <c r="I452" s="2">
        <v>1</v>
      </c>
      <c r="J452" s="5">
        <v>46098</v>
      </c>
      <c r="K452" s="5">
        <v>46099</v>
      </c>
      <c r="L452" s="2" t="s">
        <v>865</v>
      </c>
      <c r="M452" s="5">
        <v>45754</v>
      </c>
      <c r="N452" s="3">
        <f>VLOOKUP(NavDataRegion[[#This Row],[Spool No]],[1]Sheet2!$B:$U,20,0)</f>
        <v>5.9787600000000003</v>
      </c>
      <c r="O452" s="2">
        <v>3</v>
      </c>
      <c r="P452" s="2">
        <v>1</v>
      </c>
      <c r="Q452" s="2"/>
    </row>
    <row r="453" spans="1:17" ht="20.100000000000001" customHeight="1">
      <c r="A453" s="2" t="s">
        <v>9</v>
      </c>
      <c r="B453" s="2" t="s">
        <v>309</v>
      </c>
      <c r="C453" s="2" t="s">
        <v>743</v>
      </c>
      <c r="D453" s="2" t="e">
        <f>VLOOKUP(C:C,Vlookup!A:A,1,0)</f>
        <v>#N/A</v>
      </c>
      <c r="E453" s="2">
        <v>3</v>
      </c>
      <c r="F453" s="2" t="s">
        <v>10</v>
      </c>
      <c r="G453" s="2" t="s">
        <v>25</v>
      </c>
      <c r="H453" s="2" t="s">
        <v>11</v>
      </c>
      <c r="I453" s="2">
        <v>1</v>
      </c>
      <c r="J453" s="5">
        <v>45995</v>
      </c>
      <c r="K453" s="5">
        <v>45999</v>
      </c>
      <c r="L453" s="2" t="s">
        <v>865</v>
      </c>
      <c r="M453" s="5">
        <v>46090</v>
      </c>
      <c r="N453" s="3">
        <f>VLOOKUP(NavDataRegion[[#This Row],[Spool No]],[1]Sheet2!$B:$U,20,0)</f>
        <v>236.36474999999999</v>
      </c>
      <c r="O453" s="2">
        <v>0</v>
      </c>
      <c r="P453" s="2">
        <v>12</v>
      </c>
      <c r="Q453" s="2"/>
    </row>
    <row r="454" spans="1:17" ht="20.100000000000001" customHeight="1">
      <c r="A454" s="2" t="s">
        <v>9</v>
      </c>
      <c r="B454" s="2" t="s">
        <v>315</v>
      </c>
      <c r="C454" s="2" t="s">
        <v>744</v>
      </c>
      <c r="D454" s="2" t="e">
        <f>VLOOKUP(C:C,Vlookup!A:A,1,0)</f>
        <v>#N/A</v>
      </c>
      <c r="E454" s="2">
        <v>5</v>
      </c>
      <c r="F454" s="2" t="s">
        <v>10</v>
      </c>
      <c r="G454" s="2" t="s">
        <v>281</v>
      </c>
      <c r="H454" s="2" t="s">
        <v>11</v>
      </c>
      <c r="I454" s="2">
        <v>1</v>
      </c>
      <c r="J454" s="5">
        <v>46010</v>
      </c>
      <c r="K454" s="5">
        <v>46013</v>
      </c>
      <c r="L454" s="2" t="s">
        <v>865</v>
      </c>
      <c r="M454" s="5">
        <v>46090</v>
      </c>
      <c r="N454" s="3">
        <f>VLOOKUP(NavDataRegion[[#This Row],[Spool No]],[1]Sheet2!$B:$U,20,0)</f>
        <v>344.16129000000001</v>
      </c>
      <c r="O454" s="2">
        <v>36</v>
      </c>
      <c r="P454" s="2">
        <v>12</v>
      </c>
      <c r="Q454" s="2"/>
    </row>
    <row r="455" spans="1:17" ht="20.100000000000001" customHeight="1">
      <c r="A455" s="2" t="s">
        <v>9</v>
      </c>
      <c r="B455" s="2" t="s">
        <v>309</v>
      </c>
      <c r="C455" s="2" t="s">
        <v>773</v>
      </c>
      <c r="D455" s="2" t="e">
        <f>VLOOKUP(C:C,Vlookup!A:A,1,0)</f>
        <v>#N/A</v>
      </c>
      <c r="E455" s="2">
        <v>3</v>
      </c>
      <c r="F455" s="2" t="s">
        <v>10</v>
      </c>
      <c r="G455" s="2" t="s">
        <v>25</v>
      </c>
      <c r="H455" s="2" t="s">
        <v>11</v>
      </c>
      <c r="I455" s="2">
        <v>1</v>
      </c>
      <c r="J455" s="5">
        <v>45995</v>
      </c>
      <c r="K455" s="5">
        <v>45999</v>
      </c>
      <c r="L455" s="2" t="s">
        <v>865</v>
      </c>
      <c r="M455" s="5">
        <v>46090</v>
      </c>
      <c r="N455" s="3">
        <f>VLOOKUP(NavDataRegion[[#This Row],[Spool No]],[1]Sheet2!$B:$U,20,0)</f>
        <v>236.36474999999999</v>
      </c>
      <c r="O455" s="2">
        <v>0</v>
      </c>
      <c r="P455" s="2">
        <v>12</v>
      </c>
      <c r="Q455" s="2"/>
    </row>
    <row r="456" spans="1:17" ht="20.100000000000001" customHeight="1">
      <c r="A456" s="2" t="s">
        <v>9</v>
      </c>
      <c r="B456" s="2" t="s">
        <v>279</v>
      </c>
      <c r="C456" s="2" t="s">
        <v>792</v>
      </c>
      <c r="D456" s="2" t="e">
        <f>VLOOKUP(C:C,Vlookup!A:A,1,0)</f>
        <v>#N/A</v>
      </c>
      <c r="E456" s="2">
        <v>5</v>
      </c>
      <c r="F456" s="2" t="s">
        <v>793</v>
      </c>
      <c r="G456" s="2" t="s">
        <v>276</v>
      </c>
      <c r="H456" s="2" t="s">
        <v>11</v>
      </c>
      <c r="I456" s="2">
        <v>1</v>
      </c>
      <c r="J456" s="5">
        <v>46010</v>
      </c>
      <c r="K456" s="5">
        <v>46013</v>
      </c>
      <c r="L456" s="2" t="s">
        <v>865</v>
      </c>
      <c r="M456" s="5">
        <v>46090</v>
      </c>
      <c r="N456" s="3">
        <f>VLOOKUP(NavDataRegion[[#This Row],[Spool No]],[1]Sheet2!$B:$U,20,0)</f>
        <v>1005.697680608</v>
      </c>
      <c r="O456" s="2">
        <v>127</v>
      </c>
      <c r="P456" s="2">
        <v>12</v>
      </c>
      <c r="Q456" s="2"/>
    </row>
    <row r="457" spans="1:17" ht="20.100000000000001" customHeight="1">
      <c r="A457" s="2" t="s">
        <v>9</v>
      </c>
      <c r="B457" s="2" t="s">
        <v>309</v>
      </c>
      <c r="C457" s="2" t="s">
        <v>794</v>
      </c>
      <c r="D457" s="2" t="e">
        <f>VLOOKUP(C:C,Vlookup!A:A,1,0)</f>
        <v>#N/A</v>
      </c>
      <c r="E457" s="2">
        <v>3</v>
      </c>
      <c r="F457" s="2" t="s">
        <v>10</v>
      </c>
      <c r="G457" s="2" t="s">
        <v>25</v>
      </c>
      <c r="H457" s="2" t="s">
        <v>11</v>
      </c>
      <c r="I457" s="2">
        <v>1</v>
      </c>
      <c r="J457" s="5">
        <v>45995</v>
      </c>
      <c r="K457" s="5">
        <v>45999</v>
      </c>
      <c r="L457" s="2" t="s">
        <v>865</v>
      </c>
      <c r="M457" s="5">
        <v>46090</v>
      </c>
      <c r="N457" s="3">
        <f>VLOOKUP(NavDataRegion[[#This Row],[Spool No]],[1]Sheet2!$B:$U,20,0)</f>
        <v>236.36474999999999</v>
      </c>
      <c r="O457" s="2">
        <v>0</v>
      </c>
      <c r="P457" s="2">
        <v>12</v>
      </c>
      <c r="Q457" s="2"/>
    </row>
    <row r="458" spans="1:17" ht="20.100000000000001" customHeight="1">
      <c r="A458" s="2" t="s">
        <v>9</v>
      </c>
      <c r="B458" s="2" t="s">
        <v>309</v>
      </c>
      <c r="C458" s="2" t="s">
        <v>801</v>
      </c>
      <c r="D458" s="2" t="e">
        <f>VLOOKUP(C:C,Vlookup!A:A,1,0)</f>
        <v>#N/A</v>
      </c>
      <c r="E458" s="2">
        <v>3</v>
      </c>
      <c r="F458" s="2" t="s">
        <v>802</v>
      </c>
      <c r="G458" s="2" t="s">
        <v>25</v>
      </c>
      <c r="H458" s="2" t="s">
        <v>11</v>
      </c>
      <c r="I458" s="2">
        <v>1</v>
      </c>
      <c r="J458" s="5">
        <v>46003</v>
      </c>
      <c r="K458" s="5">
        <v>46006</v>
      </c>
      <c r="L458" s="2" t="s">
        <v>865</v>
      </c>
      <c r="M458" s="5">
        <v>46090</v>
      </c>
      <c r="N458" s="3">
        <f>VLOOKUP(NavDataRegion[[#This Row],[Spool No]],[1]Sheet2!$B:$U,20,0)</f>
        <v>326.45492000000002</v>
      </c>
      <c r="O458" s="2">
        <v>48</v>
      </c>
      <c r="P458" s="2">
        <v>12</v>
      </c>
      <c r="Q458" s="2"/>
    </row>
    <row r="459" spans="1:17" ht="20.100000000000001" customHeight="1">
      <c r="A459" s="2" t="s">
        <v>9</v>
      </c>
      <c r="B459" s="2" t="s">
        <v>309</v>
      </c>
      <c r="C459" s="2" t="s">
        <v>808</v>
      </c>
      <c r="D459" s="2" t="e">
        <f>VLOOKUP(C:C,Vlookup!A:A,1,0)</f>
        <v>#N/A</v>
      </c>
      <c r="E459" s="2">
        <v>2</v>
      </c>
      <c r="F459" s="2" t="s">
        <v>809</v>
      </c>
      <c r="G459" s="2" t="s">
        <v>25</v>
      </c>
      <c r="H459" s="2" t="s">
        <v>11</v>
      </c>
      <c r="I459" s="2">
        <v>1</v>
      </c>
      <c r="J459" s="5">
        <v>45988</v>
      </c>
      <c r="K459" s="5">
        <v>45989</v>
      </c>
      <c r="L459" s="2" t="s">
        <v>865</v>
      </c>
      <c r="M459" s="5">
        <v>46090</v>
      </c>
      <c r="N459" s="3">
        <f>VLOOKUP(NavDataRegion[[#This Row],[Spool No]],[1]Sheet2!$B:$U,20,0)</f>
        <v>326.45492000000002</v>
      </c>
      <c r="O459" s="2">
        <v>48</v>
      </c>
      <c r="P459" s="2">
        <v>12</v>
      </c>
      <c r="Q459" s="2"/>
    </row>
    <row r="460" spans="1:17" ht="20.100000000000001" customHeight="1">
      <c r="A460" s="2" t="s">
        <v>9</v>
      </c>
      <c r="B460" s="2" t="s">
        <v>309</v>
      </c>
      <c r="C460" s="2" t="s">
        <v>813</v>
      </c>
      <c r="D460" s="2" t="e">
        <f>VLOOKUP(C:C,Vlookup!A:A,1,0)</f>
        <v>#N/A</v>
      </c>
      <c r="E460" s="2">
        <v>2</v>
      </c>
      <c r="F460" s="2" t="s">
        <v>814</v>
      </c>
      <c r="G460" s="2" t="s">
        <v>25</v>
      </c>
      <c r="H460" s="2" t="s">
        <v>11</v>
      </c>
      <c r="I460" s="2">
        <v>1</v>
      </c>
      <c r="J460" s="5">
        <v>45988</v>
      </c>
      <c r="K460" s="5">
        <v>45989</v>
      </c>
      <c r="L460" s="2" t="s">
        <v>865</v>
      </c>
      <c r="M460" s="5">
        <v>46090</v>
      </c>
      <c r="N460" s="3">
        <f>VLOOKUP(NavDataRegion[[#This Row],[Spool No]],[1]Sheet2!$B:$U,20,0)</f>
        <v>326.45492000000002</v>
      </c>
      <c r="O460" s="2">
        <v>48</v>
      </c>
      <c r="P460" s="2">
        <v>12</v>
      </c>
      <c r="Q460" s="2"/>
    </row>
    <row r="461" spans="1:17" ht="20.100000000000001" customHeight="1">
      <c r="A461" s="2" t="s">
        <v>9</v>
      </c>
      <c r="B461" s="2" t="s">
        <v>309</v>
      </c>
      <c r="C461" s="2" t="s">
        <v>818</v>
      </c>
      <c r="D461" s="2" t="e">
        <f>VLOOKUP(C:C,Vlookup!A:A,1,0)</f>
        <v>#N/A</v>
      </c>
      <c r="E461" s="2">
        <v>3</v>
      </c>
      <c r="F461" s="2" t="s">
        <v>819</v>
      </c>
      <c r="G461" s="2" t="s">
        <v>25</v>
      </c>
      <c r="H461" s="2" t="s">
        <v>11</v>
      </c>
      <c r="I461" s="2">
        <v>1</v>
      </c>
      <c r="J461" s="5">
        <v>46003</v>
      </c>
      <c r="K461" s="5">
        <v>46006</v>
      </c>
      <c r="L461" s="2" t="s">
        <v>865</v>
      </c>
      <c r="M461" s="5">
        <v>46090</v>
      </c>
      <c r="N461" s="3">
        <f>VLOOKUP(NavDataRegion[[#This Row],[Spool No]],[1]Sheet2!$B:$U,20,0)</f>
        <v>326.45492000000002</v>
      </c>
      <c r="O461" s="2">
        <v>48</v>
      </c>
      <c r="P461" s="2">
        <v>12</v>
      </c>
      <c r="Q461" s="2"/>
    </row>
    <row r="462" spans="1:17" ht="20.100000000000001" customHeight="1">
      <c r="A462" s="2" t="s">
        <v>9</v>
      </c>
      <c r="B462" s="2" t="s">
        <v>17</v>
      </c>
      <c r="C462" s="2" t="s">
        <v>18</v>
      </c>
      <c r="D462" s="2" t="e">
        <f>VLOOKUP(C:C,Vlookup!A:A,1,0)</f>
        <v>#N/A</v>
      </c>
      <c r="E462" s="2">
        <v>11</v>
      </c>
      <c r="F462" s="2" t="s">
        <v>10</v>
      </c>
      <c r="G462" s="2" t="s">
        <v>16</v>
      </c>
      <c r="H462" s="2" t="s">
        <v>11</v>
      </c>
      <c r="I462" s="2">
        <v>1</v>
      </c>
      <c r="J462" s="5">
        <v>46057</v>
      </c>
      <c r="K462" s="5">
        <v>46058</v>
      </c>
      <c r="L462" s="2" t="s">
        <v>865</v>
      </c>
      <c r="M462" s="5">
        <v>46105</v>
      </c>
      <c r="N462" s="3">
        <f>VLOOKUP(NavDataRegion[[#This Row],[Spool No]],[1]Sheet2!$B:$U,20,0)</f>
        <v>975.99838720000002</v>
      </c>
      <c r="O462" s="2">
        <v>24</v>
      </c>
      <c r="P462" s="2">
        <v>14</v>
      </c>
      <c r="Q462" s="2"/>
    </row>
    <row r="463" spans="1:17" ht="20.100000000000001" customHeight="1">
      <c r="A463" s="2" t="s">
        <v>9</v>
      </c>
      <c r="B463" s="2" t="s">
        <v>1271</v>
      </c>
      <c r="C463" s="2" t="s">
        <v>1747</v>
      </c>
      <c r="D463" s="2" t="e">
        <f>VLOOKUP(C:C,Vlookup!A:A,1,0)</f>
        <v>#N/A</v>
      </c>
      <c r="E463" s="2">
        <v>14</v>
      </c>
      <c r="F463" s="17" t="s">
        <v>10</v>
      </c>
      <c r="G463" s="17" t="s">
        <v>25</v>
      </c>
      <c r="H463" s="2" t="s">
        <v>11</v>
      </c>
      <c r="I463" s="2">
        <v>1</v>
      </c>
      <c r="J463" s="5">
        <v>46100</v>
      </c>
      <c r="K463" s="5">
        <v>46101</v>
      </c>
      <c r="L463" s="2" t="s">
        <v>865</v>
      </c>
      <c r="M463" s="5">
        <v>45754</v>
      </c>
      <c r="N463" s="3">
        <f>VLOOKUP(NavDataRegion[[#This Row],[Spool No]],[1]Sheet2!$B:$U,20,0)</f>
        <v>9.0492799999999995</v>
      </c>
      <c r="O463" s="2">
        <v>0.5</v>
      </c>
      <c r="P463" s="2">
        <v>0.5</v>
      </c>
      <c r="Q463" s="2"/>
    </row>
    <row r="464" spans="1:17" ht="20.100000000000001" customHeight="1">
      <c r="A464" s="2" t="s">
        <v>9</v>
      </c>
      <c r="B464" s="2" t="s">
        <v>21</v>
      </c>
      <c r="C464" s="2" t="s">
        <v>22</v>
      </c>
      <c r="D464" s="2" t="e">
        <f>VLOOKUP(C:C,Vlookup!A:A,1,0)</f>
        <v>#N/A</v>
      </c>
      <c r="E464" s="2">
        <v>8</v>
      </c>
      <c r="F464" s="2" t="s">
        <v>10</v>
      </c>
      <c r="G464" s="2" t="s">
        <v>16</v>
      </c>
      <c r="H464" s="2" t="s">
        <v>11</v>
      </c>
      <c r="I464" s="2">
        <v>1</v>
      </c>
      <c r="J464" s="5">
        <v>46043</v>
      </c>
      <c r="K464" s="5">
        <v>46044</v>
      </c>
      <c r="L464" s="2" t="s">
        <v>865</v>
      </c>
      <c r="M464" s="5">
        <v>46091</v>
      </c>
      <c r="N464" s="3">
        <f>VLOOKUP(NavDataRegion[[#This Row],[Spool No]],[1]Sheet2!$B:$U,20,0)</f>
        <v>797.63175811200006</v>
      </c>
      <c r="O464" s="2">
        <v>51</v>
      </c>
      <c r="P464" s="2">
        <v>14</v>
      </c>
      <c r="Q464" s="2"/>
    </row>
    <row r="465" spans="1:17" ht="20.100000000000001" customHeight="1">
      <c r="A465" s="2" t="s">
        <v>9</v>
      </c>
      <c r="B465" s="2" t="s">
        <v>1271</v>
      </c>
      <c r="C465" s="2" t="s">
        <v>1844</v>
      </c>
      <c r="D465" s="2" t="e">
        <f>VLOOKUP(C:C,Vlookup!A:A,1,0)</f>
        <v>#N/A</v>
      </c>
      <c r="E465" s="2">
        <v>14</v>
      </c>
      <c r="F465" s="17" t="s">
        <v>10</v>
      </c>
      <c r="G465" s="17" t="s">
        <v>25</v>
      </c>
      <c r="H465" s="2" t="s">
        <v>11</v>
      </c>
      <c r="I465" s="2">
        <v>1</v>
      </c>
      <c r="J465" s="5">
        <v>46100</v>
      </c>
      <c r="K465" s="5">
        <v>46101</v>
      </c>
      <c r="L465" s="2" t="s">
        <v>865</v>
      </c>
      <c r="M465" s="5">
        <v>45754</v>
      </c>
      <c r="N465" s="3">
        <f>VLOOKUP(NavDataRegion[[#This Row],[Spool No]],[1]Sheet2!$B:$U,20,0)</f>
        <v>5.6893200000000004</v>
      </c>
      <c r="O465" s="2">
        <v>2.5</v>
      </c>
      <c r="P465" s="2">
        <v>0.5</v>
      </c>
      <c r="Q465" s="2"/>
    </row>
    <row r="466" spans="1:17" ht="20.100000000000001" customHeight="1">
      <c r="A466" s="2" t="s">
        <v>9</v>
      </c>
      <c r="B466" s="2" t="s">
        <v>230</v>
      </c>
      <c r="C466" s="2" t="s">
        <v>231</v>
      </c>
      <c r="D466" s="2" t="e">
        <f>VLOOKUP(C:C,Vlookup!A:A,1,0)</f>
        <v>#N/A</v>
      </c>
      <c r="E466" s="2">
        <v>6</v>
      </c>
      <c r="F466" s="2" t="s">
        <v>232</v>
      </c>
      <c r="G466" s="2" t="s">
        <v>25</v>
      </c>
      <c r="H466" s="2" t="s">
        <v>11</v>
      </c>
      <c r="I466" s="2">
        <v>1</v>
      </c>
      <c r="J466" s="5">
        <v>46017</v>
      </c>
      <c r="K466" s="5">
        <v>46027</v>
      </c>
      <c r="L466" s="2" t="s">
        <v>865</v>
      </c>
      <c r="M466" s="5">
        <v>46091</v>
      </c>
      <c r="N466" s="3">
        <f>VLOOKUP(NavDataRegion[[#This Row],[Spool No]],[1]Sheet2!$B:$U,20,0)</f>
        <v>563.86395000000005</v>
      </c>
      <c r="O466" s="2">
        <v>84</v>
      </c>
      <c r="P466" s="2">
        <v>14</v>
      </c>
      <c r="Q466" s="2"/>
    </row>
    <row r="467" spans="1:17" ht="20.100000000000001" customHeight="1">
      <c r="A467" s="2" t="s">
        <v>9</v>
      </c>
      <c r="B467" s="2" t="s">
        <v>270</v>
      </c>
      <c r="C467" s="2" t="s">
        <v>584</v>
      </c>
      <c r="D467" s="2" t="e">
        <f>VLOOKUP(C:C,Vlookup!A:A,1,0)</f>
        <v>#N/A</v>
      </c>
      <c r="E467" s="2">
        <v>6</v>
      </c>
      <c r="F467" s="2" t="s">
        <v>585</v>
      </c>
      <c r="G467" s="2" t="s">
        <v>16</v>
      </c>
      <c r="H467" s="2" t="s">
        <v>11</v>
      </c>
      <c r="I467" s="2">
        <v>1</v>
      </c>
      <c r="J467" s="5">
        <v>46029</v>
      </c>
      <c r="K467" s="5">
        <v>46029</v>
      </c>
      <c r="L467" s="2" t="s">
        <v>865</v>
      </c>
      <c r="M467" s="5">
        <v>46091</v>
      </c>
      <c r="N467" s="3">
        <f>VLOOKUP(NavDataRegion[[#This Row],[Spool No]],[1]Sheet2!$B:$U,20,0)</f>
        <v>808.883440608</v>
      </c>
      <c r="O467" s="2">
        <v>127</v>
      </c>
      <c r="P467" s="2">
        <v>12</v>
      </c>
      <c r="Q467" s="2"/>
    </row>
    <row r="468" spans="1:17" ht="20.100000000000001" customHeight="1">
      <c r="A468" s="2" t="s">
        <v>9</v>
      </c>
      <c r="B468" s="2" t="s">
        <v>903</v>
      </c>
      <c r="C468" s="2" t="s">
        <v>1459</v>
      </c>
      <c r="D468" s="2" t="e">
        <f>VLOOKUP(C:C,Vlookup!A:A,1,0)</f>
        <v>#N/A</v>
      </c>
      <c r="E468" s="2">
        <v>14</v>
      </c>
      <c r="F468" s="17" t="s">
        <v>10</v>
      </c>
      <c r="G468" s="17" t="s">
        <v>281</v>
      </c>
      <c r="H468" s="2" t="s">
        <v>11</v>
      </c>
      <c r="I468" s="2">
        <v>1</v>
      </c>
      <c r="J468" s="5">
        <v>46101</v>
      </c>
      <c r="K468" s="5">
        <v>46104</v>
      </c>
      <c r="L468" s="2" t="s">
        <v>865</v>
      </c>
      <c r="M468" s="5">
        <v>45754</v>
      </c>
      <c r="N468" s="3">
        <f>VLOOKUP(NavDataRegion[[#This Row],[Spool No]],[1]Sheet2!$B:$U,20,0)</f>
        <v>24.190519999999999</v>
      </c>
      <c r="O468" s="2">
        <v>2</v>
      </c>
      <c r="P468" s="2">
        <v>2</v>
      </c>
      <c r="Q468" s="2"/>
    </row>
    <row r="469" spans="1:17" ht="20.100000000000001" customHeight="1">
      <c r="A469" s="2" t="s">
        <v>9</v>
      </c>
      <c r="B469" s="2" t="s">
        <v>1273</v>
      </c>
      <c r="C469" s="2" t="s">
        <v>1845</v>
      </c>
      <c r="D469" s="2" t="e">
        <f>VLOOKUP(C:C,Vlookup!A:A,1,0)</f>
        <v>#N/A</v>
      </c>
      <c r="E469" s="2">
        <v>14</v>
      </c>
      <c r="F469" s="17" t="s">
        <v>10</v>
      </c>
      <c r="G469" s="17" t="s">
        <v>25</v>
      </c>
      <c r="H469" s="2" t="s">
        <v>11</v>
      </c>
      <c r="I469" s="2">
        <v>1</v>
      </c>
      <c r="J469" s="5">
        <v>46100</v>
      </c>
      <c r="K469" s="5">
        <v>46101</v>
      </c>
      <c r="L469" s="2" t="s">
        <v>865</v>
      </c>
      <c r="M469" s="5">
        <v>45754</v>
      </c>
      <c r="N469" s="3">
        <f>VLOOKUP(NavDataRegion[[#This Row],[Spool No]],[1]Sheet2!$B:$U,20,0)</f>
        <v>5.9048600000000002</v>
      </c>
      <c r="O469" s="2">
        <v>0.5</v>
      </c>
      <c r="P469" s="2">
        <v>0.5</v>
      </c>
      <c r="Q469" s="2"/>
    </row>
    <row r="470" spans="1:17" ht="20.100000000000001" customHeight="1">
      <c r="A470" s="2" t="s">
        <v>9</v>
      </c>
      <c r="B470" s="2" t="s">
        <v>161</v>
      </c>
      <c r="C470" s="2" t="s">
        <v>394</v>
      </c>
      <c r="D470" s="2" t="e">
        <f>VLOOKUP(C:C,Vlookup!A:A,1,0)</f>
        <v>#N/A</v>
      </c>
      <c r="E470" s="2">
        <v>3</v>
      </c>
      <c r="F470" s="2" t="s">
        <v>395</v>
      </c>
      <c r="G470" s="2" t="s">
        <v>25</v>
      </c>
      <c r="H470" s="2" t="s">
        <v>11</v>
      </c>
      <c r="I470" s="2">
        <v>1</v>
      </c>
      <c r="J470" s="5">
        <v>46003</v>
      </c>
      <c r="K470" s="5">
        <v>46003</v>
      </c>
      <c r="L470" s="2" t="s">
        <v>865</v>
      </c>
      <c r="M470" s="5">
        <v>46090</v>
      </c>
      <c r="N470" s="3">
        <f>VLOOKUP(NavDataRegion[[#This Row],[Spool No]],[1]Sheet2!$B:$U,20,0)</f>
        <v>1639.7619999999999</v>
      </c>
      <c r="O470" s="2">
        <v>28</v>
      </c>
      <c r="P470" s="2">
        <v>14</v>
      </c>
      <c r="Q470" s="2"/>
    </row>
    <row r="471" spans="1:17" ht="20.100000000000001" customHeight="1">
      <c r="A471" s="2" t="s">
        <v>9</v>
      </c>
      <c r="B471" s="2" t="s">
        <v>1273</v>
      </c>
      <c r="C471" s="2" t="s">
        <v>1898</v>
      </c>
      <c r="D471" s="2" t="e">
        <f>VLOOKUP(C:C,Vlookup!A:A,1,0)</f>
        <v>#N/A</v>
      </c>
      <c r="E471" s="2">
        <v>14</v>
      </c>
      <c r="F471" s="17" t="s">
        <v>10</v>
      </c>
      <c r="G471" s="17" t="s">
        <v>25</v>
      </c>
      <c r="H471" s="2" t="s">
        <v>11</v>
      </c>
      <c r="I471" s="2">
        <v>1</v>
      </c>
      <c r="J471" s="5">
        <v>46100</v>
      </c>
      <c r="K471" s="5">
        <v>46101</v>
      </c>
      <c r="L471" s="2" t="s">
        <v>865</v>
      </c>
      <c r="M471" s="5">
        <v>45754</v>
      </c>
      <c r="N471" s="3">
        <f>VLOOKUP(NavDataRegion[[#This Row],[Spool No]],[1]Sheet2!$B:$U,20,0)</f>
        <v>5.3766999999999996</v>
      </c>
      <c r="O471" s="2">
        <v>2</v>
      </c>
      <c r="P471" s="2">
        <v>0.5</v>
      </c>
      <c r="Q471" s="2"/>
    </row>
    <row r="472" spans="1:17" ht="20.100000000000001" customHeight="1">
      <c r="A472" s="2" t="s">
        <v>9</v>
      </c>
      <c r="B472" s="2" t="s">
        <v>17</v>
      </c>
      <c r="C472" s="2" t="s">
        <v>495</v>
      </c>
      <c r="D472" s="2" t="e">
        <f>VLOOKUP(C:C,Vlookup!A:A,1,0)</f>
        <v>#N/A</v>
      </c>
      <c r="E472" s="2">
        <v>8</v>
      </c>
      <c r="F472" s="2" t="s">
        <v>10</v>
      </c>
      <c r="G472" s="2" t="s">
        <v>16</v>
      </c>
      <c r="H472" s="2" t="s">
        <v>11</v>
      </c>
      <c r="I472" s="2">
        <v>1</v>
      </c>
      <c r="J472" s="5">
        <v>46045</v>
      </c>
      <c r="K472" s="5">
        <v>46045</v>
      </c>
      <c r="L472" s="2" t="s">
        <v>865</v>
      </c>
      <c r="M472" s="5">
        <v>46091</v>
      </c>
      <c r="N472" s="3">
        <f>VLOOKUP(NavDataRegion[[#This Row],[Spool No]],[1]Sheet2!$B:$U,20,0)</f>
        <v>834.94023719999996</v>
      </c>
      <c r="O472" s="2">
        <v>51</v>
      </c>
      <c r="P472" s="2">
        <v>14</v>
      </c>
      <c r="Q472" s="2"/>
    </row>
    <row r="473" spans="1:17" ht="20.100000000000001" customHeight="1">
      <c r="A473" s="2" t="s">
        <v>9</v>
      </c>
      <c r="B473" s="2" t="s">
        <v>161</v>
      </c>
      <c r="C473" s="2" t="s">
        <v>531</v>
      </c>
      <c r="D473" s="2" t="e">
        <f>VLOOKUP(C:C,Vlookup!A:A,1,0)</f>
        <v>#N/A</v>
      </c>
      <c r="E473" s="2">
        <v>2</v>
      </c>
      <c r="F473" s="2" t="s">
        <v>532</v>
      </c>
      <c r="G473" s="2" t="s">
        <v>25</v>
      </c>
      <c r="H473" s="2" t="s">
        <v>11</v>
      </c>
      <c r="I473" s="2">
        <v>1</v>
      </c>
      <c r="J473" s="5">
        <v>45988</v>
      </c>
      <c r="K473" s="5">
        <v>45989</v>
      </c>
      <c r="L473" s="2" t="s">
        <v>865</v>
      </c>
      <c r="M473" s="5">
        <v>46090</v>
      </c>
      <c r="N473" s="3">
        <f>VLOOKUP(NavDataRegion[[#This Row],[Spool No]],[1]Sheet2!$B:$U,20,0)</f>
        <v>1539.6859999999999</v>
      </c>
      <c r="O473" s="2">
        <v>14</v>
      </c>
      <c r="P473" s="2">
        <v>14</v>
      </c>
      <c r="Q473" s="2"/>
    </row>
    <row r="474" spans="1:17" ht="20.100000000000001" customHeight="1">
      <c r="A474" s="2" t="s">
        <v>9</v>
      </c>
      <c r="B474" s="2" t="s">
        <v>233</v>
      </c>
      <c r="C474" s="2" t="s">
        <v>564</v>
      </c>
      <c r="D474" s="2" t="e">
        <f>VLOOKUP(C:C,Vlookup!A:A,1,0)</f>
        <v>#N/A</v>
      </c>
      <c r="E474" s="2">
        <v>3</v>
      </c>
      <c r="F474" s="2" t="s">
        <v>10</v>
      </c>
      <c r="G474" s="2" t="s">
        <v>16</v>
      </c>
      <c r="H474" s="2" t="s">
        <v>11</v>
      </c>
      <c r="I474" s="2">
        <v>1</v>
      </c>
      <c r="J474" s="5">
        <v>46003</v>
      </c>
      <c r="K474" s="5">
        <v>46003</v>
      </c>
      <c r="L474" s="2" t="s">
        <v>865</v>
      </c>
      <c r="M474" s="5">
        <v>46090</v>
      </c>
      <c r="N474" s="3">
        <f>VLOOKUP(NavDataRegion[[#This Row],[Spool No]],[1]Sheet2!$B:$U,20,0)</f>
        <v>655.65596000000005</v>
      </c>
      <c r="O474" s="2">
        <v>37</v>
      </c>
      <c r="P474" s="2">
        <v>14</v>
      </c>
      <c r="Q474" s="2"/>
    </row>
    <row r="475" spans="1:17" ht="20.100000000000001" customHeight="1">
      <c r="A475" s="2" t="s">
        <v>9</v>
      </c>
      <c r="B475" s="2" t="s">
        <v>161</v>
      </c>
      <c r="C475" s="2" t="s">
        <v>646</v>
      </c>
      <c r="D475" s="2" t="e">
        <f>VLOOKUP(C:C,Vlookup!A:A,1,0)</f>
        <v>#N/A</v>
      </c>
      <c r="E475" s="2">
        <v>3</v>
      </c>
      <c r="F475" s="2" t="s">
        <v>647</v>
      </c>
      <c r="G475" s="2" t="s">
        <v>16</v>
      </c>
      <c r="H475" s="2" t="s">
        <v>11</v>
      </c>
      <c r="I475" s="2">
        <v>1</v>
      </c>
      <c r="J475" s="5">
        <v>46003</v>
      </c>
      <c r="K475" s="5">
        <v>46003</v>
      </c>
      <c r="L475" s="2" t="s">
        <v>865</v>
      </c>
      <c r="M475" s="5">
        <v>46090</v>
      </c>
      <c r="N475" s="3">
        <f>VLOOKUP(NavDataRegion[[#This Row],[Spool No]],[1]Sheet2!$B:$U,20,0)</f>
        <v>2219.599740608</v>
      </c>
      <c r="O475" s="2">
        <v>35</v>
      </c>
      <c r="P475" s="2">
        <v>14</v>
      </c>
      <c r="Q475" s="2"/>
    </row>
    <row r="476" spans="1:17" ht="20.100000000000001" customHeight="1">
      <c r="A476" s="2" t="s">
        <v>9</v>
      </c>
      <c r="B476" s="2" t="s">
        <v>233</v>
      </c>
      <c r="C476" s="2" t="s">
        <v>434</v>
      </c>
      <c r="D476" s="2" t="e">
        <f>VLOOKUP(C:C,Vlookup!A:A,1,0)</f>
        <v>#N/A</v>
      </c>
      <c r="E476" s="2">
        <v>1</v>
      </c>
      <c r="F476" s="2" t="s">
        <v>10</v>
      </c>
      <c r="G476" s="2" t="s">
        <v>25</v>
      </c>
      <c r="H476" s="2" t="s">
        <v>11</v>
      </c>
      <c r="I476" s="2">
        <v>1</v>
      </c>
      <c r="J476" s="5">
        <v>45975</v>
      </c>
      <c r="K476" s="5">
        <v>45764</v>
      </c>
      <c r="L476" s="2" t="s">
        <v>865</v>
      </c>
      <c r="M476" s="5">
        <v>46090</v>
      </c>
      <c r="N476" s="3">
        <f>VLOOKUP(NavDataRegion[[#This Row],[Spool No]],[1]Sheet2!$B:$U,20,0)</f>
        <v>542.38522999999998</v>
      </c>
      <c r="O476" s="2">
        <v>14</v>
      </c>
      <c r="P476" s="2">
        <v>14</v>
      </c>
      <c r="Q476" s="2"/>
    </row>
    <row r="477" spans="1:17" ht="20.100000000000001" customHeight="1">
      <c r="A477" s="2" t="s">
        <v>9</v>
      </c>
      <c r="B477" s="2" t="s">
        <v>233</v>
      </c>
      <c r="C477" s="2" t="s">
        <v>667</v>
      </c>
      <c r="D477" s="2" t="e">
        <f>VLOOKUP(C:C,Vlookup!A:A,1,0)</f>
        <v>#N/A</v>
      </c>
      <c r="E477" s="2">
        <v>5</v>
      </c>
      <c r="F477" s="2" t="s">
        <v>10</v>
      </c>
      <c r="G477" s="2" t="s">
        <v>16</v>
      </c>
      <c r="H477" s="2" t="s">
        <v>11</v>
      </c>
      <c r="I477" s="2">
        <v>1</v>
      </c>
      <c r="J477" s="5">
        <v>46009</v>
      </c>
      <c r="K477" s="5">
        <v>46010</v>
      </c>
      <c r="L477" s="2" t="s">
        <v>865</v>
      </c>
      <c r="M477" s="5">
        <v>46090</v>
      </c>
      <c r="N477" s="3">
        <f>VLOOKUP(NavDataRegion[[#This Row],[Spool No]],[1]Sheet2!$B:$U,20,0)</f>
        <v>236.01562999999999</v>
      </c>
      <c r="O477" s="2">
        <v>37</v>
      </c>
      <c r="P477" s="2">
        <v>14</v>
      </c>
      <c r="Q477" s="2"/>
    </row>
    <row r="478" spans="1:17" ht="20.100000000000001" customHeight="1">
      <c r="A478" s="2" t="s">
        <v>9</v>
      </c>
      <c r="B478" s="2" t="s">
        <v>161</v>
      </c>
      <c r="C478" s="2" t="s">
        <v>723</v>
      </c>
      <c r="D478" s="2" t="e">
        <f>VLOOKUP(C:C,Vlookup!A:A,1,0)</f>
        <v>#N/A</v>
      </c>
      <c r="E478" s="2">
        <v>4</v>
      </c>
      <c r="F478" s="2" t="s">
        <v>724</v>
      </c>
      <c r="G478" s="2" t="s">
        <v>16</v>
      </c>
      <c r="H478" s="2" t="s">
        <v>11</v>
      </c>
      <c r="I478" s="2">
        <v>1</v>
      </c>
      <c r="J478" s="5">
        <v>46008</v>
      </c>
      <c r="K478" s="5">
        <v>46009</v>
      </c>
      <c r="L478" s="2" t="s">
        <v>865</v>
      </c>
      <c r="M478" s="5">
        <v>46090</v>
      </c>
      <c r="N478" s="3">
        <f>VLOOKUP(NavDataRegion[[#This Row],[Spool No]],[1]Sheet2!$B:$U,20,0)</f>
        <v>1618.6937406080001</v>
      </c>
      <c r="O478" s="2">
        <v>25</v>
      </c>
      <c r="P478" s="2">
        <v>14</v>
      </c>
      <c r="Q478" s="2"/>
    </row>
    <row r="479" spans="1:17" ht="20.100000000000001" customHeight="1">
      <c r="A479" s="2" t="s">
        <v>9</v>
      </c>
      <c r="B479" s="2" t="s">
        <v>1275</v>
      </c>
      <c r="C479" s="2" t="s">
        <v>1846</v>
      </c>
      <c r="D479" s="2" t="e">
        <f>VLOOKUP(C:C,Vlookup!A:A,1,0)</f>
        <v>#N/A</v>
      </c>
      <c r="E479" s="2">
        <v>14</v>
      </c>
      <c r="F479" s="17" t="s">
        <v>10</v>
      </c>
      <c r="G479" s="17" t="s">
        <v>25</v>
      </c>
      <c r="H479" s="2" t="s">
        <v>11</v>
      </c>
      <c r="I479" s="2">
        <v>1</v>
      </c>
      <c r="J479" s="5">
        <v>46100</v>
      </c>
      <c r="K479" s="5">
        <v>46101</v>
      </c>
      <c r="L479" s="2" t="s">
        <v>865</v>
      </c>
      <c r="M479" s="5">
        <v>45754</v>
      </c>
      <c r="N479" s="3">
        <f>VLOOKUP(NavDataRegion[[#This Row],[Spool No]],[1]Sheet2!$B:$U,20,0)</f>
        <v>5.17096</v>
      </c>
      <c r="O479" s="2">
        <v>2</v>
      </c>
      <c r="P479" s="2">
        <v>0.5</v>
      </c>
      <c r="Q479" s="2"/>
    </row>
    <row r="480" spans="1:17" ht="20.100000000000001" customHeight="1">
      <c r="A480" s="2" t="s">
        <v>9</v>
      </c>
      <c r="B480" s="2" t="s">
        <v>180</v>
      </c>
      <c r="C480" s="2" t="s">
        <v>181</v>
      </c>
      <c r="D480" s="2" t="e">
        <f>VLOOKUP(C:C,Vlookup!A:A,1,0)</f>
        <v>#N/A</v>
      </c>
      <c r="E480" s="2">
        <v>13</v>
      </c>
      <c r="F480" s="2" t="s">
        <v>182</v>
      </c>
      <c r="G480" s="2" t="s">
        <v>16</v>
      </c>
      <c r="H480" s="2" t="s">
        <v>11</v>
      </c>
      <c r="I480" s="2">
        <v>1</v>
      </c>
      <c r="J480" s="5">
        <v>46087</v>
      </c>
      <c r="K480" s="5">
        <v>46090</v>
      </c>
      <c r="L480" s="2" t="s">
        <v>865</v>
      </c>
      <c r="M480" s="5">
        <v>46105</v>
      </c>
      <c r="N480" s="3">
        <f>VLOOKUP(NavDataRegion[[#This Row],[Spool No]],[1]Sheet2!$B:$U,20,0)</f>
        <v>4250.8229624320002</v>
      </c>
      <c r="O480" s="2">
        <v>11</v>
      </c>
      <c r="P480" s="2">
        <v>16</v>
      </c>
      <c r="Q480" s="2"/>
    </row>
    <row r="481" spans="1:17" ht="20.100000000000001" customHeight="1">
      <c r="A481" s="2" t="s">
        <v>9</v>
      </c>
      <c r="B481" s="2" t="s">
        <v>183</v>
      </c>
      <c r="C481" s="2" t="s">
        <v>184</v>
      </c>
      <c r="D481" s="2" t="e">
        <f>VLOOKUP(C:C,Vlookup!A:A,1,0)</f>
        <v>#N/A</v>
      </c>
      <c r="E481" s="2">
        <v>10</v>
      </c>
      <c r="F481" s="2" t="s">
        <v>10</v>
      </c>
      <c r="G481" s="2" t="s">
        <v>16</v>
      </c>
      <c r="H481" s="2" t="s">
        <v>11</v>
      </c>
      <c r="I481" s="2">
        <v>1</v>
      </c>
      <c r="J481" s="5">
        <v>46064</v>
      </c>
      <c r="K481" s="5">
        <v>46065</v>
      </c>
      <c r="L481" s="2" t="s">
        <v>865</v>
      </c>
      <c r="M481" s="5">
        <v>46091</v>
      </c>
      <c r="N481" s="3">
        <f>VLOOKUP(NavDataRegion[[#This Row],[Spool No]],[1]Sheet2!$B:$U,20,0)</f>
        <v>5233.5250428600002</v>
      </c>
      <c r="O481" s="2">
        <v>31</v>
      </c>
      <c r="P481" s="2">
        <v>16</v>
      </c>
      <c r="Q481" s="2"/>
    </row>
    <row r="482" spans="1:17" ht="20.100000000000001" customHeight="1">
      <c r="A482" s="2" t="s">
        <v>9</v>
      </c>
      <c r="B482" s="2" t="s">
        <v>1275</v>
      </c>
      <c r="C482" s="2" t="s">
        <v>1899</v>
      </c>
      <c r="D482" s="2" t="e">
        <f>VLOOKUP(C:C,Vlookup!A:A,1,0)</f>
        <v>#N/A</v>
      </c>
      <c r="E482" s="2">
        <v>14</v>
      </c>
      <c r="F482" s="17" t="s">
        <v>10</v>
      </c>
      <c r="G482" s="17" t="s">
        <v>25</v>
      </c>
      <c r="H482" s="2" t="s">
        <v>11</v>
      </c>
      <c r="I482" s="2">
        <v>1</v>
      </c>
      <c r="J482" s="5">
        <v>46100</v>
      </c>
      <c r="K482" s="5">
        <v>46101</v>
      </c>
      <c r="L482" s="2" t="s">
        <v>865</v>
      </c>
      <c r="M482" s="5">
        <v>45754</v>
      </c>
      <c r="N482" s="3">
        <f>VLOOKUP(NavDataRegion[[#This Row],[Spool No]],[1]Sheet2!$B:$U,20,0)</f>
        <v>4.0579799999999997</v>
      </c>
      <c r="O482" s="2">
        <v>2.5</v>
      </c>
      <c r="P482" s="2">
        <v>0.5</v>
      </c>
      <c r="Q482" s="2"/>
    </row>
    <row r="483" spans="1:17" ht="20.100000000000001" customHeight="1">
      <c r="A483" s="10" t="s">
        <v>9</v>
      </c>
      <c r="B483" s="10" t="s">
        <v>156</v>
      </c>
      <c r="C483" s="10" t="s">
        <v>843</v>
      </c>
      <c r="D483" s="2" t="e">
        <f>VLOOKUP(C:C,Vlookup!A:A,1,0)</f>
        <v>#N/A</v>
      </c>
      <c r="E483" s="2">
        <v>12</v>
      </c>
      <c r="F483" s="2"/>
      <c r="G483" s="2" t="s">
        <v>25</v>
      </c>
      <c r="H483" s="2" t="s">
        <v>11</v>
      </c>
      <c r="I483" s="2">
        <v>1</v>
      </c>
      <c r="J483" s="5">
        <v>46073</v>
      </c>
      <c r="K483" s="5">
        <v>46077</v>
      </c>
      <c r="L483" s="2" t="s">
        <v>865</v>
      </c>
      <c r="M483" s="5">
        <v>46105</v>
      </c>
      <c r="N483" s="3">
        <f>VLOOKUP(NavDataRegion[[#This Row],[Spool No]],[1]Sheet2!$B:$U,20,0)</f>
        <v>949.62532999999996</v>
      </c>
      <c r="O483" s="3">
        <v>12</v>
      </c>
      <c r="P483" s="12">
        <v>12</v>
      </c>
      <c r="Q483" s="2"/>
    </row>
    <row r="484" spans="1:17" ht="20.100000000000001" customHeight="1">
      <c r="A484" s="2" t="s">
        <v>9</v>
      </c>
      <c r="B484" s="2" t="s">
        <v>1273</v>
      </c>
      <c r="C484" s="2" t="s">
        <v>1748</v>
      </c>
      <c r="D484" s="2" t="e">
        <f>VLOOKUP(C:C,Vlookup!A:A,1,0)</f>
        <v>#N/A</v>
      </c>
      <c r="E484" s="2">
        <v>16</v>
      </c>
      <c r="F484" s="17" t="s">
        <v>10</v>
      </c>
      <c r="G484" s="17" t="s">
        <v>25</v>
      </c>
      <c r="H484" s="2" t="s">
        <v>11</v>
      </c>
      <c r="I484" s="2">
        <v>1</v>
      </c>
      <c r="J484" s="5">
        <v>46107</v>
      </c>
      <c r="K484" s="5">
        <v>46111</v>
      </c>
      <c r="L484" s="2" t="s">
        <v>865</v>
      </c>
      <c r="M484" s="5">
        <v>46167</v>
      </c>
      <c r="N484" s="3">
        <f>VLOOKUP(NavDataRegion[[#This Row],[Spool No]],[1]Sheet2!$B:$U,20,0)</f>
        <v>9.9433600000000002</v>
      </c>
      <c r="O484" s="2">
        <v>1</v>
      </c>
      <c r="P484" s="2">
        <v>0.5</v>
      </c>
      <c r="Q484" s="2"/>
    </row>
    <row r="485" spans="1:17" ht="20.100000000000001" customHeight="1">
      <c r="A485" s="2" t="s">
        <v>9</v>
      </c>
      <c r="B485" s="2" t="s">
        <v>212</v>
      </c>
      <c r="C485" s="2" t="s">
        <v>555</v>
      </c>
      <c r="D485" s="2" t="e">
        <f>VLOOKUP(C:C,Vlookup!A:A,1,0)</f>
        <v>#N/A</v>
      </c>
      <c r="E485" s="2">
        <v>18</v>
      </c>
      <c r="F485" s="2" t="s">
        <v>556</v>
      </c>
      <c r="G485" s="2" t="s">
        <v>16</v>
      </c>
      <c r="H485" s="2" t="s">
        <v>11</v>
      </c>
      <c r="I485" s="2">
        <v>1</v>
      </c>
      <c r="J485" s="5">
        <v>46105</v>
      </c>
      <c r="K485" s="5">
        <v>46112</v>
      </c>
      <c r="L485" s="2" t="s">
        <v>865</v>
      </c>
      <c r="M485" s="5">
        <v>45754</v>
      </c>
      <c r="N485" s="3">
        <f>VLOOKUP(NavDataRegion[[#This Row],[Spool No]],[1]Sheet2!$B:$U,20,0)</f>
        <v>560.87023515199996</v>
      </c>
      <c r="O485" s="2">
        <v>43.5</v>
      </c>
      <c r="P485" s="2">
        <v>4</v>
      </c>
      <c r="Q485" s="2"/>
    </row>
    <row r="486" spans="1:17" ht="20.100000000000001" customHeight="1">
      <c r="A486" s="2" t="s">
        <v>9</v>
      </c>
      <c r="B486" s="2" t="s">
        <v>903</v>
      </c>
      <c r="C486" s="2" t="s">
        <v>1657</v>
      </c>
      <c r="D486" s="2" t="e">
        <f>VLOOKUP(C:C,Vlookup!A:A,1,0)</f>
        <v>#N/A</v>
      </c>
      <c r="E486" s="2">
        <v>14</v>
      </c>
      <c r="F486" s="17" t="s">
        <v>10</v>
      </c>
      <c r="G486" s="17" t="s">
        <v>281</v>
      </c>
      <c r="H486" s="2" t="s">
        <v>11</v>
      </c>
      <c r="I486" s="2">
        <v>1</v>
      </c>
      <c r="J486" s="5">
        <v>46101</v>
      </c>
      <c r="K486" s="5">
        <v>46104</v>
      </c>
      <c r="L486" s="2" t="s">
        <v>865</v>
      </c>
      <c r="M486" s="5">
        <v>45754</v>
      </c>
      <c r="N486" s="3">
        <f>VLOOKUP(NavDataRegion[[#This Row],[Spool No]],[1]Sheet2!$B:$U,20,0)</f>
        <v>47.148560000000003</v>
      </c>
      <c r="O486" s="2">
        <v>6</v>
      </c>
      <c r="P486" s="2">
        <v>2</v>
      </c>
      <c r="Q486" s="2"/>
    </row>
    <row r="487" spans="1:17" ht="20.100000000000001" customHeight="1">
      <c r="A487" s="2" t="s">
        <v>9</v>
      </c>
      <c r="B487" s="2" t="s">
        <v>255</v>
      </c>
      <c r="C487" s="2" t="s">
        <v>448</v>
      </c>
      <c r="D487" s="2" t="e">
        <f>VLOOKUP(C:C,Vlookup!A:A,1,0)</f>
        <v>#N/A</v>
      </c>
      <c r="E487" s="2">
        <v>11</v>
      </c>
      <c r="F487" s="2" t="s">
        <v>449</v>
      </c>
      <c r="G487" s="2" t="s">
        <v>25</v>
      </c>
      <c r="H487" s="2" t="s">
        <v>11</v>
      </c>
      <c r="I487" s="2">
        <v>1</v>
      </c>
      <c r="J487" s="5">
        <v>46057</v>
      </c>
      <c r="K487" s="5">
        <v>46058</v>
      </c>
      <c r="L487" s="2" t="s">
        <v>865</v>
      </c>
      <c r="M487" s="5">
        <v>46105</v>
      </c>
      <c r="N487" s="3">
        <f>VLOOKUP(NavDataRegion[[#This Row],[Spool No]],[1]Sheet2!$B:$U,20,0)</f>
        <v>1113.9379627200001</v>
      </c>
      <c r="O487" s="2">
        <v>20.362204724000001</v>
      </c>
      <c r="P487" s="2">
        <v>16</v>
      </c>
      <c r="Q487" s="2"/>
    </row>
    <row r="488" spans="1:17" ht="20.100000000000001" customHeight="1">
      <c r="A488" s="2" t="s">
        <v>9</v>
      </c>
      <c r="B488" s="2" t="s">
        <v>258</v>
      </c>
      <c r="C488" s="2" t="s">
        <v>450</v>
      </c>
      <c r="D488" s="2" t="e">
        <f>VLOOKUP(C:C,Vlookup!A:A,1,0)</f>
        <v>#N/A</v>
      </c>
      <c r="E488" s="2">
        <v>9</v>
      </c>
      <c r="F488" s="2" t="s">
        <v>10</v>
      </c>
      <c r="G488" s="2" t="s">
        <v>25</v>
      </c>
      <c r="H488" s="2" t="s">
        <v>11</v>
      </c>
      <c r="I488" s="2">
        <v>1</v>
      </c>
      <c r="J488" s="5">
        <v>46049</v>
      </c>
      <c r="K488" s="5">
        <v>46050</v>
      </c>
      <c r="L488" s="2" t="s">
        <v>865</v>
      </c>
      <c r="M488" s="5">
        <v>46091</v>
      </c>
      <c r="N488" s="3">
        <f>VLOOKUP(NavDataRegion[[#This Row],[Spool No]],[1]Sheet2!$B:$U,20,0)</f>
        <v>379.25200000000001</v>
      </c>
      <c r="O488" s="2">
        <v>16</v>
      </c>
      <c r="P488" s="2">
        <v>16</v>
      </c>
      <c r="Q488" s="2"/>
    </row>
    <row r="489" spans="1:17" ht="20.100000000000001" customHeight="1">
      <c r="A489" s="2" t="s">
        <v>9</v>
      </c>
      <c r="B489" s="2" t="s">
        <v>177</v>
      </c>
      <c r="C489" s="2" t="s">
        <v>542</v>
      </c>
      <c r="D489" s="2" t="e">
        <f>VLOOKUP(C:C,Vlookup!A:A,1,0)</f>
        <v>#N/A</v>
      </c>
      <c r="E489" s="2">
        <v>10</v>
      </c>
      <c r="F489" s="2" t="s">
        <v>543</v>
      </c>
      <c r="G489" s="2" t="s">
        <v>16</v>
      </c>
      <c r="H489" s="2" t="s">
        <v>11</v>
      </c>
      <c r="I489" s="2">
        <v>1</v>
      </c>
      <c r="J489" s="5">
        <v>46064</v>
      </c>
      <c r="K489" s="5">
        <v>46065</v>
      </c>
      <c r="L489" s="2" t="s">
        <v>865</v>
      </c>
      <c r="M489" s="5">
        <v>46091</v>
      </c>
      <c r="N489" s="3">
        <f>VLOOKUP(NavDataRegion[[#This Row],[Spool No]],[1]Sheet2!$B:$U,20,0)</f>
        <v>1616.5049824319999</v>
      </c>
      <c r="O489" s="2">
        <v>43</v>
      </c>
      <c r="P489" s="2">
        <v>16</v>
      </c>
      <c r="Q489" s="2"/>
    </row>
    <row r="490" spans="1:17" ht="20.100000000000001" customHeight="1">
      <c r="A490" s="2" t="s">
        <v>9</v>
      </c>
      <c r="B490" s="2" t="s">
        <v>156</v>
      </c>
      <c r="C490" s="2" t="s">
        <v>391</v>
      </c>
      <c r="D490" s="2" t="e">
        <f>VLOOKUP(C:C,Vlookup!A:A,1,0)</f>
        <v>#N/A</v>
      </c>
      <c r="E490" s="2">
        <v>13</v>
      </c>
      <c r="F490" s="2" t="s">
        <v>10</v>
      </c>
      <c r="G490" s="2" t="s">
        <v>16</v>
      </c>
      <c r="H490" s="2" t="s">
        <v>11</v>
      </c>
      <c r="I490" s="2">
        <v>1</v>
      </c>
      <c r="J490" s="5">
        <v>46087</v>
      </c>
      <c r="K490" s="5">
        <v>46094</v>
      </c>
      <c r="L490" s="2" t="s">
        <v>865</v>
      </c>
      <c r="M490" s="5">
        <v>46105</v>
      </c>
      <c r="N490" s="3">
        <f>VLOOKUP(NavDataRegion[[#This Row],[Spool No]],[1]Sheet2!$B:$U,20,0)</f>
        <v>3993.6569606080002</v>
      </c>
      <c r="O490" s="2">
        <v>43</v>
      </c>
      <c r="P490" s="2">
        <v>12</v>
      </c>
      <c r="Q490" s="2"/>
    </row>
    <row r="491" spans="1:17" ht="20.100000000000001" customHeight="1">
      <c r="A491" s="2" t="s">
        <v>9</v>
      </c>
      <c r="B491" s="2" t="s">
        <v>1337</v>
      </c>
      <c r="C491" s="2" t="s">
        <v>1623</v>
      </c>
      <c r="D491" s="2" t="e">
        <f>VLOOKUP(C:C,Vlookup!A:A,1,0)</f>
        <v>#N/A</v>
      </c>
      <c r="E491" s="2">
        <v>14</v>
      </c>
      <c r="F491" s="17" t="s">
        <v>10</v>
      </c>
      <c r="G491" s="17" t="s">
        <v>25</v>
      </c>
      <c r="H491" s="2" t="s">
        <v>11</v>
      </c>
      <c r="I491" s="2">
        <v>1</v>
      </c>
      <c r="J491" s="5">
        <v>46100</v>
      </c>
      <c r="K491" s="5">
        <v>46101</v>
      </c>
      <c r="L491" s="2" t="s">
        <v>865</v>
      </c>
      <c r="M491" s="5">
        <v>45754</v>
      </c>
      <c r="N491" s="3">
        <f>VLOOKUP(NavDataRegion[[#This Row],[Spool No]],[1]Sheet2!$B:$U,20,0)</f>
        <v>2.3416999999999999</v>
      </c>
      <c r="O491" s="2">
        <v>3</v>
      </c>
      <c r="P491" s="2">
        <v>0.5</v>
      </c>
      <c r="Q491" s="2"/>
    </row>
    <row r="492" spans="1:17" ht="20.100000000000001" customHeight="1">
      <c r="A492" s="10" t="s">
        <v>9</v>
      </c>
      <c r="B492" s="10" t="s">
        <v>156</v>
      </c>
      <c r="C492" s="10" t="s">
        <v>844</v>
      </c>
      <c r="D492" s="2" t="e">
        <f>VLOOKUP(C:C,Vlookup!A:A,1,0)</f>
        <v>#N/A</v>
      </c>
      <c r="E492" s="2">
        <v>12</v>
      </c>
      <c r="F492" s="2"/>
      <c r="G492" s="2" t="s">
        <v>16</v>
      </c>
      <c r="H492" s="2" t="s">
        <v>11</v>
      </c>
      <c r="I492" s="2">
        <v>1</v>
      </c>
      <c r="J492" s="5">
        <v>46073</v>
      </c>
      <c r="K492" s="5">
        <v>46076</v>
      </c>
      <c r="L492" s="2" t="s">
        <v>865</v>
      </c>
      <c r="M492" s="5">
        <v>46105</v>
      </c>
      <c r="N492" s="3">
        <f>VLOOKUP(NavDataRegion[[#This Row],[Spool No]],[1]Sheet2!$B:$U,20,0)</f>
        <v>853.35387060799997</v>
      </c>
      <c r="O492" s="3">
        <v>12</v>
      </c>
      <c r="P492" s="12">
        <v>12</v>
      </c>
      <c r="Q492" s="2"/>
    </row>
    <row r="493" spans="1:17" ht="20.100000000000001" customHeight="1">
      <c r="A493" s="2" t="s">
        <v>9</v>
      </c>
      <c r="B493" s="2" t="s">
        <v>1349</v>
      </c>
      <c r="C493" s="2" t="s">
        <v>1771</v>
      </c>
      <c r="D493" s="2" t="e">
        <f>VLOOKUP(C:C,Vlookup!A:A,1,0)</f>
        <v>#N/A</v>
      </c>
      <c r="E493" s="2">
        <v>14</v>
      </c>
      <c r="F493" s="17" t="s">
        <v>10</v>
      </c>
      <c r="G493" s="17" t="s">
        <v>281</v>
      </c>
      <c r="H493" s="2" t="s">
        <v>11</v>
      </c>
      <c r="I493" s="2">
        <v>1</v>
      </c>
      <c r="J493" s="5">
        <v>46105</v>
      </c>
      <c r="K493" s="5">
        <v>46106</v>
      </c>
      <c r="L493" s="2" t="s">
        <v>865</v>
      </c>
      <c r="M493" s="5">
        <v>45754</v>
      </c>
      <c r="N493" s="3">
        <f>VLOOKUP(NavDataRegion[[#This Row],[Spool No]],[1]Sheet2!$B:$U,20,0)</f>
        <v>8.7479200000000006</v>
      </c>
      <c r="O493" s="2">
        <v>1.5</v>
      </c>
      <c r="P493" s="2">
        <v>0.5</v>
      </c>
      <c r="Q493" s="2"/>
    </row>
    <row r="494" spans="1:17" ht="20.100000000000001" customHeight="1">
      <c r="A494" s="2" t="s">
        <v>9</v>
      </c>
      <c r="B494" s="2" t="s">
        <v>258</v>
      </c>
      <c r="C494" s="2" t="s">
        <v>681</v>
      </c>
      <c r="D494" s="2" t="e">
        <f>VLOOKUP(C:C,Vlookup!A:A,1,0)</f>
        <v>#N/A</v>
      </c>
      <c r="E494" s="2">
        <v>11</v>
      </c>
      <c r="F494" s="2" t="s">
        <v>10</v>
      </c>
      <c r="G494" s="2" t="s">
        <v>16</v>
      </c>
      <c r="H494" s="2" t="s">
        <v>11</v>
      </c>
      <c r="I494" s="2">
        <v>1</v>
      </c>
      <c r="J494" s="5">
        <v>46064</v>
      </c>
      <c r="K494" s="5">
        <v>46069</v>
      </c>
      <c r="L494" s="2" t="s">
        <v>865</v>
      </c>
      <c r="M494" s="5">
        <v>46105</v>
      </c>
      <c r="N494" s="3">
        <f>VLOOKUP(NavDataRegion[[#This Row],[Spool No]],[1]Sheet2!$B:$U,20,0)</f>
        <v>1105.1112000000001</v>
      </c>
      <c r="O494" s="2">
        <v>57</v>
      </c>
      <c r="P494" s="2">
        <v>16</v>
      </c>
      <c r="Q494" s="2"/>
    </row>
    <row r="495" spans="1:17" ht="20.100000000000001" customHeight="1">
      <c r="A495" s="2" t="s">
        <v>9</v>
      </c>
      <c r="B495" s="2" t="s">
        <v>1351</v>
      </c>
      <c r="C495" s="2" t="s">
        <v>1772</v>
      </c>
      <c r="D495" s="2" t="e">
        <f>VLOOKUP(C:C,Vlookup!A:A,1,0)</f>
        <v>#N/A</v>
      </c>
      <c r="E495" s="2">
        <v>14</v>
      </c>
      <c r="F495" s="17" t="s">
        <v>10</v>
      </c>
      <c r="G495" s="17" t="s">
        <v>281</v>
      </c>
      <c r="H495" s="2" t="s">
        <v>11</v>
      </c>
      <c r="I495" s="2">
        <v>1</v>
      </c>
      <c r="J495" s="5">
        <v>46105</v>
      </c>
      <c r="K495" s="5">
        <v>46106</v>
      </c>
      <c r="L495" s="2" t="s">
        <v>865</v>
      </c>
      <c r="M495" s="5">
        <v>45754</v>
      </c>
      <c r="N495" s="3">
        <f>VLOOKUP(NavDataRegion[[#This Row],[Spool No]],[1]Sheet2!$B:$U,20,0)</f>
        <v>3.78424</v>
      </c>
      <c r="O495" s="2">
        <v>1.5</v>
      </c>
      <c r="P495" s="2">
        <v>0.5</v>
      </c>
      <c r="Q495" s="2"/>
    </row>
    <row r="496" spans="1:17" ht="20.100000000000001" customHeight="1">
      <c r="A496" s="2" t="s">
        <v>9</v>
      </c>
      <c r="B496" s="2" t="s">
        <v>14</v>
      </c>
      <c r="C496" s="2" t="s">
        <v>15</v>
      </c>
      <c r="D496" s="2" t="e">
        <f>VLOOKUP(C:C,Vlookup!A:A,1,0)</f>
        <v>#N/A</v>
      </c>
      <c r="E496" s="2">
        <v>10</v>
      </c>
      <c r="F496" s="2" t="s">
        <v>10</v>
      </c>
      <c r="G496" s="2" t="s">
        <v>16</v>
      </c>
      <c r="H496" s="2" t="s">
        <v>11</v>
      </c>
      <c r="I496" s="2">
        <v>1</v>
      </c>
      <c r="J496" s="5">
        <v>46064</v>
      </c>
      <c r="K496" s="5">
        <v>46065</v>
      </c>
      <c r="L496" s="2" t="s">
        <v>865</v>
      </c>
      <c r="M496" s="5">
        <v>46091</v>
      </c>
      <c r="N496" s="3">
        <f>VLOOKUP(NavDataRegion[[#This Row],[Spool No]],[1]Sheet2!$B:$U,20,0)</f>
        <v>1261.3430072000001</v>
      </c>
      <c r="O496" s="2">
        <v>72</v>
      </c>
      <c r="P496" s="2">
        <v>18</v>
      </c>
      <c r="Q496" s="2"/>
    </row>
    <row r="497" spans="1:17" ht="20.100000000000001" customHeight="1">
      <c r="A497" s="2" t="s">
        <v>9</v>
      </c>
      <c r="B497" s="2" t="s">
        <v>14</v>
      </c>
      <c r="C497" s="2" t="s">
        <v>354</v>
      </c>
      <c r="D497" s="2" t="e">
        <f>VLOOKUP(C:C,Vlookup!A:A,1,0)</f>
        <v>#N/A</v>
      </c>
      <c r="E497" s="2">
        <v>3</v>
      </c>
      <c r="F497" s="2" t="s">
        <v>10</v>
      </c>
      <c r="G497" s="2" t="s">
        <v>25</v>
      </c>
      <c r="H497" s="2" t="s">
        <v>11</v>
      </c>
      <c r="I497" s="2">
        <v>1</v>
      </c>
      <c r="J497" s="5">
        <v>46003</v>
      </c>
      <c r="K497" s="5">
        <v>46003</v>
      </c>
      <c r="L497" s="2" t="s">
        <v>865</v>
      </c>
      <c r="M497" s="5">
        <v>46090</v>
      </c>
      <c r="N497" s="3">
        <f>VLOOKUP(NavDataRegion[[#This Row],[Spool No]],[1]Sheet2!$B:$U,20,0)</f>
        <v>582.875</v>
      </c>
      <c r="O497" s="2">
        <v>18</v>
      </c>
      <c r="P497" s="2">
        <v>18</v>
      </c>
      <c r="Q497" s="2"/>
    </row>
    <row r="498" spans="1:17" ht="20.100000000000001" customHeight="1">
      <c r="A498" s="2" t="s">
        <v>9</v>
      </c>
      <c r="B498" s="2" t="s">
        <v>152</v>
      </c>
      <c r="C498" s="2" t="s">
        <v>389</v>
      </c>
      <c r="D498" s="2" t="e">
        <f>VLOOKUP(C:C,Vlookup!A:A,1,0)</f>
        <v>#N/A</v>
      </c>
      <c r="E498" s="2">
        <v>8</v>
      </c>
      <c r="F498" s="2" t="s">
        <v>10</v>
      </c>
      <c r="G498" s="2" t="s">
        <v>16</v>
      </c>
      <c r="H498" s="2" t="s">
        <v>11</v>
      </c>
      <c r="I498" s="2">
        <v>1</v>
      </c>
      <c r="J498" s="5">
        <v>46043</v>
      </c>
      <c r="K498" s="5">
        <v>46044</v>
      </c>
      <c r="L498" s="2" t="s">
        <v>865</v>
      </c>
      <c r="M498" s="5">
        <v>46091</v>
      </c>
      <c r="N498" s="3">
        <f>VLOOKUP(NavDataRegion[[#This Row],[Spool No]],[1]Sheet2!$B:$U,20,0)</f>
        <v>550.69074636799996</v>
      </c>
      <c r="O498" s="2">
        <v>45</v>
      </c>
      <c r="P498" s="2">
        <v>18</v>
      </c>
      <c r="Q498" s="2"/>
    </row>
    <row r="499" spans="1:17" ht="20.100000000000001" customHeight="1">
      <c r="A499" s="2" t="s">
        <v>9</v>
      </c>
      <c r="B499" s="2" t="s">
        <v>14</v>
      </c>
      <c r="C499" s="2" t="s">
        <v>494</v>
      </c>
      <c r="D499" s="2" t="e">
        <f>VLOOKUP(C:C,Vlookup!A:A,1,0)</f>
        <v>#N/A</v>
      </c>
      <c r="E499" s="2">
        <v>9</v>
      </c>
      <c r="F499" s="2" t="s">
        <v>10</v>
      </c>
      <c r="G499" s="2" t="s">
        <v>16</v>
      </c>
      <c r="H499" s="2" t="s">
        <v>11</v>
      </c>
      <c r="I499" s="2">
        <v>1</v>
      </c>
      <c r="J499" s="5">
        <v>46057</v>
      </c>
      <c r="K499" s="5">
        <v>46058</v>
      </c>
      <c r="L499" s="2" t="s">
        <v>865</v>
      </c>
      <c r="M499" s="5">
        <v>46091</v>
      </c>
      <c r="N499" s="3">
        <f>VLOOKUP(NavDataRegion[[#This Row],[Spool No]],[1]Sheet2!$B:$U,20,0)</f>
        <v>482.12620720000001</v>
      </c>
      <c r="O499" s="2">
        <v>27</v>
      </c>
      <c r="P499" s="2">
        <v>18</v>
      </c>
      <c r="Q499" s="2"/>
    </row>
    <row r="500" spans="1:17" ht="20.100000000000001" customHeight="1">
      <c r="A500" s="2" t="s">
        <v>9</v>
      </c>
      <c r="B500" s="2" t="s">
        <v>1093</v>
      </c>
      <c r="C500" s="2" t="s">
        <v>1531</v>
      </c>
      <c r="D500" s="2" t="e">
        <f>VLOOKUP(C:C,Vlookup!A:A,1,0)</f>
        <v>#N/A</v>
      </c>
      <c r="E500" s="2">
        <v>14</v>
      </c>
      <c r="F500" s="17" t="s">
        <v>10</v>
      </c>
      <c r="G500" s="17" t="s">
        <v>25</v>
      </c>
      <c r="H500" s="2" t="s">
        <v>11</v>
      </c>
      <c r="I500" s="2">
        <v>1</v>
      </c>
      <c r="J500" s="5">
        <v>46098</v>
      </c>
      <c r="K500" s="5">
        <v>46099</v>
      </c>
      <c r="L500" s="2" t="s">
        <v>865</v>
      </c>
      <c r="M500" s="5">
        <v>45754</v>
      </c>
      <c r="N500" s="3">
        <f>VLOOKUP(NavDataRegion[[#This Row],[Spool No]],[1]Sheet2!$B:$U,20,0)</f>
        <v>18.397680000000001</v>
      </c>
      <c r="O500" s="2">
        <v>3</v>
      </c>
      <c r="P500" s="2">
        <v>1</v>
      </c>
      <c r="Q500" s="2"/>
    </row>
    <row r="501" spans="1:17" ht="20.100000000000001" customHeight="1">
      <c r="A501" s="2" t="s">
        <v>9</v>
      </c>
      <c r="B501" s="2" t="s">
        <v>14</v>
      </c>
      <c r="C501" s="2" t="s">
        <v>615</v>
      </c>
      <c r="D501" s="2" t="e">
        <f>VLOOKUP(C:C,Vlookup!A:A,1,0)</f>
        <v>#N/A</v>
      </c>
      <c r="E501" s="2">
        <v>5</v>
      </c>
      <c r="F501" s="2" t="s">
        <v>10</v>
      </c>
      <c r="G501" s="2" t="s">
        <v>16</v>
      </c>
      <c r="H501" s="2" t="s">
        <v>11</v>
      </c>
      <c r="I501" s="2">
        <v>1</v>
      </c>
      <c r="J501" s="5">
        <v>46010</v>
      </c>
      <c r="K501" s="5">
        <v>46013</v>
      </c>
      <c r="L501" s="2" t="s">
        <v>865</v>
      </c>
      <c r="M501" s="5">
        <v>46090</v>
      </c>
      <c r="N501" s="3">
        <f>VLOOKUP(NavDataRegion[[#This Row],[Spool No]],[1]Sheet2!$B:$U,20,0)</f>
        <v>631.12070138180002</v>
      </c>
      <c r="O501" s="2">
        <v>27</v>
      </c>
      <c r="P501" s="2">
        <v>18</v>
      </c>
      <c r="Q501" s="2"/>
    </row>
    <row r="502" spans="1:17" ht="20.100000000000001" customHeight="1">
      <c r="A502" s="2" t="s">
        <v>9</v>
      </c>
      <c r="B502" s="2" t="s">
        <v>903</v>
      </c>
      <c r="C502" s="2" t="s">
        <v>1782</v>
      </c>
      <c r="D502" s="2" t="e">
        <f>VLOOKUP(C:C,Vlookup!A:A,1,0)</f>
        <v>#N/A</v>
      </c>
      <c r="E502" s="2">
        <v>14</v>
      </c>
      <c r="F502" s="17" t="s">
        <v>10</v>
      </c>
      <c r="G502" s="17" t="s">
        <v>281</v>
      </c>
      <c r="H502" s="2" t="s">
        <v>11</v>
      </c>
      <c r="I502" s="2">
        <v>1</v>
      </c>
      <c r="J502" s="5">
        <v>46101</v>
      </c>
      <c r="K502" s="5">
        <v>46104</v>
      </c>
      <c r="L502" s="2" t="s">
        <v>865</v>
      </c>
      <c r="M502" s="5">
        <v>45754</v>
      </c>
      <c r="N502" s="3">
        <f>VLOOKUP(NavDataRegion[[#This Row],[Spool No]],[1]Sheet2!$B:$U,20,0)</f>
        <v>57.059559999999998</v>
      </c>
      <c r="O502" s="2">
        <v>8</v>
      </c>
      <c r="P502" s="2">
        <v>2</v>
      </c>
      <c r="Q502" s="2"/>
    </row>
    <row r="503" spans="1:17" ht="20.100000000000001" customHeight="1">
      <c r="A503" s="2" t="s">
        <v>9</v>
      </c>
      <c r="B503" s="2" t="s">
        <v>302</v>
      </c>
      <c r="C503" s="2" t="s">
        <v>303</v>
      </c>
      <c r="D503" s="2" t="e">
        <f>VLOOKUP(C:C,Vlookup!A:A,1,0)</f>
        <v>#N/A</v>
      </c>
      <c r="E503" s="2">
        <v>11</v>
      </c>
      <c r="F503" s="2" t="s">
        <v>10</v>
      </c>
      <c r="G503" s="2" t="s">
        <v>16</v>
      </c>
      <c r="H503" s="2" t="s">
        <v>11</v>
      </c>
      <c r="I503" s="2">
        <v>1</v>
      </c>
      <c r="J503" s="5">
        <v>46064</v>
      </c>
      <c r="K503" s="5">
        <v>46065</v>
      </c>
      <c r="L503" s="2" t="s">
        <v>865</v>
      </c>
      <c r="M503" s="5">
        <v>46105</v>
      </c>
      <c r="N503" s="3">
        <f>VLOOKUP(NavDataRegion[[#This Row],[Spool No]],[1]Sheet2!$B:$U,20,0)</f>
        <v>947.53204800000003</v>
      </c>
      <c r="O503" s="2">
        <v>75</v>
      </c>
      <c r="P503" s="2">
        <v>20</v>
      </c>
      <c r="Q503" s="2"/>
    </row>
    <row r="504" spans="1:17" ht="20.100000000000001" customHeight="1">
      <c r="A504" s="2" t="s">
        <v>9</v>
      </c>
      <c r="B504" s="2" t="s">
        <v>304</v>
      </c>
      <c r="C504" s="2" t="s">
        <v>305</v>
      </c>
      <c r="D504" s="2" t="e">
        <f>VLOOKUP(C:C,Vlookup!A:A,1,0)</f>
        <v>#N/A</v>
      </c>
      <c r="E504" s="2">
        <v>11</v>
      </c>
      <c r="F504" s="2" t="s">
        <v>10</v>
      </c>
      <c r="G504" s="2" t="s">
        <v>16</v>
      </c>
      <c r="H504" s="2" t="s">
        <v>11</v>
      </c>
      <c r="I504" s="2">
        <v>1</v>
      </c>
      <c r="J504" s="5">
        <v>46064</v>
      </c>
      <c r="K504" s="5">
        <v>46065</v>
      </c>
      <c r="L504" s="2" t="s">
        <v>865</v>
      </c>
      <c r="M504" s="5">
        <v>46105</v>
      </c>
      <c r="N504" s="3">
        <f>VLOOKUP(NavDataRegion[[#This Row],[Spool No]],[1]Sheet2!$B:$U,20,0)</f>
        <v>948.91023831999996</v>
      </c>
      <c r="O504" s="2">
        <v>75</v>
      </c>
      <c r="P504" s="2">
        <v>20</v>
      </c>
      <c r="Q504" s="2"/>
    </row>
    <row r="505" spans="1:17" ht="20.100000000000001" customHeight="1">
      <c r="A505" s="2" t="s">
        <v>9</v>
      </c>
      <c r="B505" s="2" t="s">
        <v>1093</v>
      </c>
      <c r="C505" s="2" t="s">
        <v>1704</v>
      </c>
      <c r="D505" s="2" t="e">
        <f>VLOOKUP(C:C,Vlookup!A:A,1,0)</f>
        <v>#N/A</v>
      </c>
      <c r="E505" s="2">
        <v>14</v>
      </c>
      <c r="F505" s="17" t="s">
        <v>10</v>
      </c>
      <c r="G505" s="17" t="s">
        <v>25</v>
      </c>
      <c r="H505" s="2" t="s">
        <v>11</v>
      </c>
      <c r="I505" s="2">
        <v>1</v>
      </c>
      <c r="J505" s="5">
        <v>46098</v>
      </c>
      <c r="K505" s="5">
        <v>46099</v>
      </c>
      <c r="L505" s="2" t="s">
        <v>865</v>
      </c>
      <c r="M505" s="5">
        <v>45754</v>
      </c>
      <c r="N505" s="3">
        <f>VLOOKUP(NavDataRegion[[#This Row],[Spool No]],[1]Sheet2!$B:$U,20,0)</f>
        <v>13.88388</v>
      </c>
      <c r="O505" s="2">
        <v>1</v>
      </c>
      <c r="P505" s="2">
        <v>1</v>
      </c>
      <c r="Q505" s="2"/>
    </row>
    <row r="506" spans="1:17" ht="20.100000000000001" customHeight="1">
      <c r="A506" s="2" t="s">
        <v>9</v>
      </c>
      <c r="B506" s="2" t="s">
        <v>306</v>
      </c>
      <c r="C506" s="2" t="s">
        <v>307</v>
      </c>
      <c r="D506" s="2" t="e">
        <f>VLOOKUP(C:C,Vlookup!A:A,1,0)</f>
        <v>#N/A</v>
      </c>
      <c r="E506" s="2">
        <v>8</v>
      </c>
      <c r="F506" s="2" t="s">
        <v>308</v>
      </c>
      <c r="G506" s="2" t="s">
        <v>10</v>
      </c>
      <c r="H506" s="2" t="s">
        <v>11</v>
      </c>
      <c r="I506" s="2">
        <v>1</v>
      </c>
      <c r="J506" s="5">
        <v>46043</v>
      </c>
      <c r="K506" s="5">
        <v>46044</v>
      </c>
      <c r="L506" s="2" t="s">
        <v>865</v>
      </c>
      <c r="M506" s="5">
        <v>46091</v>
      </c>
      <c r="N506" s="3">
        <f>VLOOKUP(NavDataRegion[[#This Row],[Spool No]],[1]Sheet2!$B:$U,20,0)</f>
        <v>2149.79</v>
      </c>
      <c r="O506" s="2">
        <v>34.724409440000002</v>
      </c>
      <c r="P506" s="2">
        <v>24</v>
      </c>
      <c r="Q506" s="2"/>
    </row>
    <row r="507" spans="1:17" ht="20.100000000000001" customHeight="1">
      <c r="A507" s="2" t="s">
        <v>9</v>
      </c>
      <c r="B507" s="2" t="s">
        <v>309</v>
      </c>
      <c r="C507" s="2" t="s">
        <v>310</v>
      </c>
      <c r="D507" s="2" t="e">
        <f>VLOOKUP(C:C,Vlookup!A:A,1,0)</f>
        <v>#N/A</v>
      </c>
      <c r="E507" s="2">
        <v>4</v>
      </c>
      <c r="F507" s="2" t="s">
        <v>10</v>
      </c>
      <c r="G507" s="2" t="s">
        <v>25</v>
      </c>
      <c r="H507" s="2" t="s">
        <v>11</v>
      </c>
      <c r="I507" s="2">
        <v>1</v>
      </c>
      <c r="J507" s="5">
        <v>46008</v>
      </c>
      <c r="K507" s="5">
        <v>46009</v>
      </c>
      <c r="L507" s="2" t="s">
        <v>865</v>
      </c>
      <c r="M507" s="5">
        <v>46090</v>
      </c>
      <c r="N507" s="3">
        <f>VLOOKUP(NavDataRegion[[#This Row],[Spool No]],[1]Sheet2!$B:$U,20,0)</f>
        <v>3290.14</v>
      </c>
      <c r="O507" s="2">
        <v>0</v>
      </c>
      <c r="P507" s="2">
        <v>24</v>
      </c>
      <c r="Q507" s="2"/>
    </row>
    <row r="508" spans="1:17" ht="20.100000000000001" customHeight="1">
      <c r="A508" s="2" t="s">
        <v>9</v>
      </c>
      <c r="B508" s="2" t="s">
        <v>1095</v>
      </c>
      <c r="C508" s="2" t="s">
        <v>1532</v>
      </c>
      <c r="D508" s="2" t="e">
        <f>VLOOKUP(C:C,Vlookup!A:A,1,0)</f>
        <v>#N/A</v>
      </c>
      <c r="E508" s="2">
        <v>14</v>
      </c>
      <c r="F508" s="17" t="s">
        <v>10</v>
      </c>
      <c r="G508" s="17" t="s">
        <v>25</v>
      </c>
      <c r="H508" s="2" t="s">
        <v>11</v>
      </c>
      <c r="I508" s="2">
        <v>1</v>
      </c>
      <c r="J508" s="5">
        <v>46098</v>
      </c>
      <c r="K508" s="5">
        <v>46099</v>
      </c>
      <c r="L508" s="2" t="s">
        <v>865</v>
      </c>
      <c r="M508" s="5">
        <v>45754</v>
      </c>
      <c r="N508" s="3">
        <f>VLOOKUP(NavDataRegion[[#This Row],[Spool No]],[1]Sheet2!$B:$U,20,0)</f>
        <v>17.4192</v>
      </c>
      <c r="O508" s="2">
        <v>3</v>
      </c>
      <c r="P508" s="2">
        <v>1</v>
      </c>
      <c r="Q508" s="2"/>
    </row>
    <row r="509" spans="1:17" ht="20.100000000000001" customHeight="1">
      <c r="A509" s="2" t="s">
        <v>9</v>
      </c>
      <c r="B509" s="2" t="s">
        <v>1095</v>
      </c>
      <c r="C509" s="2" t="s">
        <v>1812</v>
      </c>
      <c r="D509" s="2" t="e">
        <f>VLOOKUP(C:C,Vlookup!A:A,1,0)</f>
        <v>#N/A</v>
      </c>
      <c r="E509" s="2">
        <v>14</v>
      </c>
      <c r="F509" s="17" t="s">
        <v>10</v>
      </c>
      <c r="G509" s="17" t="s">
        <v>25</v>
      </c>
      <c r="H509" s="2" t="s">
        <v>11</v>
      </c>
      <c r="I509" s="2">
        <v>1</v>
      </c>
      <c r="J509" s="5">
        <v>46098</v>
      </c>
      <c r="K509" s="5">
        <v>46099</v>
      </c>
      <c r="L509" s="2" t="s">
        <v>865</v>
      </c>
      <c r="M509" s="5">
        <v>45754</v>
      </c>
      <c r="N509" s="3">
        <f>VLOOKUP(NavDataRegion[[#This Row],[Spool No]],[1]Sheet2!$B:$U,20,0)</f>
        <v>6.8665200000000004</v>
      </c>
      <c r="O509" s="2">
        <v>3</v>
      </c>
      <c r="P509" s="2">
        <v>1</v>
      </c>
      <c r="Q509" s="2"/>
    </row>
    <row r="510" spans="1:17" ht="20.100000000000001" customHeight="1">
      <c r="A510" s="2" t="s">
        <v>9</v>
      </c>
      <c r="B510" s="2" t="s">
        <v>306</v>
      </c>
      <c r="C510" s="2" t="s">
        <v>472</v>
      </c>
      <c r="D510" s="2" t="e">
        <f>VLOOKUP(C:C,Vlookup!A:A,1,0)</f>
        <v>#N/A</v>
      </c>
      <c r="E510" s="2">
        <v>11</v>
      </c>
      <c r="F510" s="2" t="s">
        <v>473</v>
      </c>
      <c r="G510" s="2" t="s">
        <v>16</v>
      </c>
      <c r="H510" s="2" t="s">
        <v>11</v>
      </c>
      <c r="I510" s="2">
        <v>1</v>
      </c>
      <c r="J510" s="5">
        <v>46064</v>
      </c>
      <c r="K510" s="5">
        <v>46069</v>
      </c>
      <c r="L510" s="2" t="s">
        <v>865</v>
      </c>
      <c r="M510" s="5">
        <v>46105</v>
      </c>
      <c r="N510" s="3">
        <f>VLOOKUP(NavDataRegion[[#This Row],[Spool No]],[1]Sheet2!$B:$U,20,0)</f>
        <v>1711.6777811520001</v>
      </c>
      <c r="O510" s="2">
        <v>41.25</v>
      </c>
      <c r="P510" s="2">
        <v>24</v>
      </c>
      <c r="Q510" s="2"/>
    </row>
    <row r="511" spans="1:17" ht="20.100000000000001" customHeight="1">
      <c r="A511" s="2" t="s">
        <v>9</v>
      </c>
      <c r="B511" s="2" t="s">
        <v>1101</v>
      </c>
      <c r="C511" s="2" t="s">
        <v>1535</v>
      </c>
      <c r="D511" s="2" t="e">
        <f>VLOOKUP(C:C,Vlookup!A:A,1,0)</f>
        <v>#N/A</v>
      </c>
      <c r="E511" s="2">
        <v>14</v>
      </c>
      <c r="F511" s="17" t="s">
        <v>10</v>
      </c>
      <c r="G511" s="17" t="s">
        <v>25</v>
      </c>
      <c r="H511" s="2" t="s">
        <v>11</v>
      </c>
      <c r="I511" s="2">
        <v>1</v>
      </c>
      <c r="J511" s="5">
        <v>46098</v>
      </c>
      <c r="K511" s="5">
        <v>46099</v>
      </c>
      <c r="L511" s="2" t="s">
        <v>865</v>
      </c>
      <c r="M511" s="5">
        <v>45754</v>
      </c>
      <c r="N511" s="3">
        <f>VLOOKUP(NavDataRegion[[#This Row],[Spool No]],[1]Sheet2!$B:$U,20,0)</f>
        <v>4.6989999999999998</v>
      </c>
      <c r="O511" s="2">
        <v>4.5</v>
      </c>
      <c r="P511" s="2">
        <v>0.75</v>
      </c>
      <c r="Q511" s="2"/>
    </row>
    <row r="512" spans="1:17" ht="20.100000000000001" customHeight="1">
      <c r="A512" s="2" t="s">
        <v>9</v>
      </c>
      <c r="B512" s="2" t="s">
        <v>311</v>
      </c>
      <c r="C512" s="2" t="s">
        <v>476</v>
      </c>
      <c r="D512" s="2" t="e">
        <f>VLOOKUP(C:C,Vlookup!A:A,1,0)</f>
        <v>#N/A</v>
      </c>
      <c r="E512" s="2">
        <v>10</v>
      </c>
      <c r="F512" s="2" t="s">
        <v>10</v>
      </c>
      <c r="G512" s="2" t="s">
        <v>16</v>
      </c>
      <c r="H512" s="2" t="s">
        <v>11</v>
      </c>
      <c r="I512" s="2">
        <v>1</v>
      </c>
      <c r="J512" s="5">
        <v>46064</v>
      </c>
      <c r="K512" s="5">
        <v>46065</v>
      </c>
      <c r="L512" s="2" t="s">
        <v>865</v>
      </c>
      <c r="M512" s="5">
        <v>46091</v>
      </c>
      <c r="N512" s="3">
        <f>VLOOKUP(NavDataRegion[[#This Row],[Spool No]],[1]Sheet2!$B:$U,20,0)</f>
        <v>3847.2062787599998</v>
      </c>
      <c r="O512" s="2">
        <v>55</v>
      </c>
      <c r="P512" s="2">
        <v>24</v>
      </c>
      <c r="Q512" s="2"/>
    </row>
    <row r="513" spans="1:17" ht="20.100000000000001" customHeight="1">
      <c r="A513" s="2" t="s">
        <v>9</v>
      </c>
      <c r="B513" s="2" t="s">
        <v>306</v>
      </c>
      <c r="C513" s="2" t="s">
        <v>600</v>
      </c>
      <c r="D513" s="2" t="e">
        <f>VLOOKUP(C:C,Vlookup!A:A,1,0)</f>
        <v>#N/A</v>
      </c>
      <c r="E513" s="2">
        <v>11</v>
      </c>
      <c r="F513" s="2" t="s">
        <v>601</v>
      </c>
      <c r="G513" s="2" t="s">
        <v>16</v>
      </c>
      <c r="H513" s="2" t="s">
        <v>11</v>
      </c>
      <c r="I513" s="2">
        <v>1</v>
      </c>
      <c r="J513" s="5">
        <v>46064</v>
      </c>
      <c r="K513" s="5">
        <v>46065</v>
      </c>
      <c r="L513" s="2" t="s">
        <v>865</v>
      </c>
      <c r="M513" s="5">
        <v>46105</v>
      </c>
      <c r="N513" s="3">
        <f>VLOOKUP(NavDataRegion[[#This Row],[Spool No]],[1]Sheet2!$B:$U,20,0)</f>
        <v>1518.8016624320001</v>
      </c>
      <c r="O513" s="2">
        <v>35</v>
      </c>
      <c r="P513" s="2">
        <v>24</v>
      </c>
      <c r="Q513" s="2"/>
    </row>
    <row r="514" spans="1:17" ht="20.100000000000001" customHeight="1">
      <c r="A514" s="2" t="s">
        <v>9</v>
      </c>
      <c r="B514" s="2" t="s">
        <v>905</v>
      </c>
      <c r="C514" s="2" t="s">
        <v>1783</v>
      </c>
      <c r="D514" s="2" t="e">
        <f>VLOOKUP(C:C,Vlookup!A:A,1,0)</f>
        <v>#N/A</v>
      </c>
      <c r="E514" s="2">
        <v>14</v>
      </c>
      <c r="F514" s="17" t="s">
        <v>10</v>
      </c>
      <c r="G514" s="17" t="s">
        <v>281</v>
      </c>
      <c r="H514" s="2" t="s">
        <v>11</v>
      </c>
      <c r="I514" s="2">
        <v>1</v>
      </c>
      <c r="J514" s="5">
        <v>46101</v>
      </c>
      <c r="K514" s="5">
        <v>46104</v>
      </c>
      <c r="L514" s="2" t="s">
        <v>865</v>
      </c>
      <c r="M514" s="5">
        <v>45754</v>
      </c>
      <c r="N514" s="3">
        <f>VLOOKUP(NavDataRegion[[#This Row],[Spool No]],[1]Sheet2!$B:$U,20,0)</f>
        <v>12.374980000000001</v>
      </c>
      <c r="O514" s="2">
        <v>2</v>
      </c>
      <c r="P514" s="2">
        <v>0.5</v>
      </c>
      <c r="Q514" s="2"/>
    </row>
    <row r="515" spans="1:17" ht="20.100000000000001" customHeight="1">
      <c r="A515" s="10" t="s">
        <v>9</v>
      </c>
      <c r="B515" s="10" t="s">
        <v>227</v>
      </c>
      <c r="C515" s="10" t="s">
        <v>845</v>
      </c>
      <c r="D515" s="2" t="e">
        <f>VLOOKUP(C:C,Vlookup!A:A,1,0)</f>
        <v>#N/A</v>
      </c>
      <c r="E515" s="2">
        <v>12</v>
      </c>
      <c r="F515" s="2" t="s">
        <v>864</v>
      </c>
      <c r="G515" s="2" t="s">
        <v>25</v>
      </c>
      <c r="H515" s="2" t="s">
        <v>11</v>
      </c>
      <c r="I515" s="2">
        <v>1</v>
      </c>
      <c r="J515" s="5">
        <v>46073</v>
      </c>
      <c r="K515" s="5">
        <v>46076</v>
      </c>
      <c r="L515" s="2" t="s">
        <v>865</v>
      </c>
      <c r="M515" s="5">
        <v>46105</v>
      </c>
      <c r="N515" s="3">
        <f>VLOOKUP(NavDataRegion[[#This Row],[Spool No]],[1]Sheet2!$B:$U,20,0)</f>
        <v>142.38256215999999</v>
      </c>
      <c r="O515" s="3">
        <v>12</v>
      </c>
      <c r="P515" s="12">
        <v>12</v>
      </c>
      <c r="Q515" s="2"/>
    </row>
    <row r="516" spans="1:17" ht="20.100000000000001" customHeight="1">
      <c r="A516" s="2" t="s">
        <v>9</v>
      </c>
      <c r="B516" s="2" t="s">
        <v>233</v>
      </c>
      <c r="C516" s="2" t="s">
        <v>234</v>
      </c>
      <c r="D516" s="2" t="e">
        <f>VLOOKUP(C:C,Vlookup!A:A,1,0)</f>
        <v>#N/A</v>
      </c>
      <c r="E516" s="2">
        <v>6</v>
      </c>
      <c r="F516" s="2" t="s">
        <v>10</v>
      </c>
      <c r="G516" s="2" t="s">
        <v>16</v>
      </c>
      <c r="H516" s="2" t="s">
        <v>11</v>
      </c>
      <c r="I516" s="2">
        <v>1</v>
      </c>
      <c r="J516" s="5">
        <v>46029</v>
      </c>
      <c r="K516" s="5">
        <v>46029</v>
      </c>
      <c r="L516" s="2" t="s">
        <v>865</v>
      </c>
      <c r="M516" s="5">
        <v>46091</v>
      </c>
      <c r="N516" s="3">
        <f>VLOOKUP(NavDataRegion[[#This Row],[Spool No]],[1]Sheet2!$B:$U,20,0)</f>
        <v>299.02042</v>
      </c>
      <c r="O516" s="2">
        <v>62</v>
      </c>
      <c r="P516" s="2">
        <v>14</v>
      </c>
      <c r="Q516" s="2"/>
    </row>
    <row r="517" spans="1:17" ht="20.100000000000001" customHeight="1">
      <c r="A517" s="10" t="s">
        <v>9</v>
      </c>
      <c r="B517" s="10" t="s">
        <v>262</v>
      </c>
      <c r="C517" s="10" t="s">
        <v>846</v>
      </c>
      <c r="D517" s="2" t="e">
        <f>VLOOKUP(C:C,Vlookup!A:A,1,0)</f>
        <v>#N/A</v>
      </c>
      <c r="E517" s="2">
        <v>12</v>
      </c>
      <c r="F517" s="2"/>
      <c r="G517" s="2" t="s">
        <v>25</v>
      </c>
      <c r="H517" s="2" t="s">
        <v>11</v>
      </c>
      <c r="I517" s="2">
        <v>1</v>
      </c>
      <c r="J517" s="5">
        <v>46073</v>
      </c>
      <c r="K517" s="5">
        <v>46077</v>
      </c>
      <c r="L517" s="2" t="s">
        <v>865</v>
      </c>
      <c r="M517" s="5">
        <v>46105</v>
      </c>
      <c r="N517" s="3">
        <f>VLOOKUP(NavDataRegion[[#This Row],[Spool No]],[1]Sheet2!$B:$U,20,0)</f>
        <v>262.89375000000001</v>
      </c>
      <c r="O517" s="3">
        <v>12</v>
      </c>
      <c r="P517" s="12">
        <v>12</v>
      </c>
      <c r="Q517" s="2"/>
    </row>
    <row r="518" spans="1:17" ht="20.100000000000001" customHeight="1">
      <c r="A518" s="10" t="s">
        <v>9</v>
      </c>
      <c r="B518" s="10" t="s">
        <v>262</v>
      </c>
      <c r="C518" s="10" t="s">
        <v>847</v>
      </c>
      <c r="D518" s="2" t="e">
        <f>VLOOKUP(C:C,Vlookup!A:A,1,0)</f>
        <v>#N/A</v>
      </c>
      <c r="E518" s="2">
        <v>12</v>
      </c>
      <c r="F518" s="2"/>
      <c r="G518" s="2" t="s">
        <v>25</v>
      </c>
      <c r="H518" s="2" t="s">
        <v>11</v>
      </c>
      <c r="I518" s="2">
        <v>1</v>
      </c>
      <c r="J518" s="5">
        <v>46073</v>
      </c>
      <c r="K518" s="5">
        <v>46077</v>
      </c>
      <c r="L518" s="2" t="s">
        <v>865</v>
      </c>
      <c r="M518" s="5">
        <v>46105</v>
      </c>
      <c r="N518" s="3">
        <f>VLOOKUP(NavDataRegion[[#This Row],[Spool No]],[1]Sheet2!$B:$U,20,0)</f>
        <v>262.89375000000001</v>
      </c>
      <c r="O518" s="3">
        <v>12</v>
      </c>
      <c r="P518" s="12">
        <v>12</v>
      </c>
      <c r="Q518" s="2"/>
    </row>
    <row r="519" spans="1:17" ht="20.100000000000001" customHeight="1">
      <c r="A519" s="10" t="s">
        <v>9</v>
      </c>
      <c r="B519" s="10" t="s">
        <v>300</v>
      </c>
      <c r="C519" s="10" t="s">
        <v>848</v>
      </c>
      <c r="D519" s="2" t="e">
        <f>VLOOKUP(C:C,Vlookup!A:A,1,0)</f>
        <v>#N/A</v>
      </c>
      <c r="E519" s="2">
        <v>12</v>
      </c>
      <c r="F519" s="2"/>
      <c r="G519" s="2" t="s">
        <v>25</v>
      </c>
      <c r="H519" s="2" t="s">
        <v>11</v>
      </c>
      <c r="I519" s="2">
        <v>1</v>
      </c>
      <c r="J519" s="5">
        <v>46073</v>
      </c>
      <c r="K519" s="5">
        <v>46077</v>
      </c>
      <c r="L519" s="2" t="s">
        <v>865</v>
      </c>
      <c r="M519" s="5">
        <v>46105</v>
      </c>
      <c r="N519" s="3">
        <f>VLOOKUP(NavDataRegion[[#This Row],[Spool No]],[1]Sheet2!$B:$U,20,0)</f>
        <v>82.990250000000003</v>
      </c>
      <c r="O519" s="3">
        <v>12</v>
      </c>
      <c r="P519" s="12">
        <v>12</v>
      </c>
      <c r="Q519" s="2"/>
    </row>
    <row r="520" spans="1:17" ht="20.100000000000001" customHeight="1">
      <c r="A520" s="10" t="s">
        <v>9</v>
      </c>
      <c r="B520" s="10" t="s">
        <v>300</v>
      </c>
      <c r="C520" s="10" t="s">
        <v>849</v>
      </c>
      <c r="D520" s="2" t="e">
        <f>VLOOKUP(C:C,Vlookup!A:A,1,0)</f>
        <v>#N/A</v>
      </c>
      <c r="E520" s="2">
        <v>12</v>
      </c>
      <c r="F520" s="2"/>
      <c r="G520" s="2" t="s">
        <v>25</v>
      </c>
      <c r="H520" s="2" t="s">
        <v>11</v>
      </c>
      <c r="I520" s="2">
        <v>1</v>
      </c>
      <c r="J520" s="5">
        <v>46073</v>
      </c>
      <c r="K520" s="5">
        <v>46077</v>
      </c>
      <c r="L520" s="2" t="s">
        <v>865</v>
      </c>
      <c r="M520" s="5">
        <v>46105</v>
      </c>
      <c r="N520" s="3">
        <f>VLOOKUP(NavDataRegion[[#This Row],[Spool No]],[1]Sheet2!$B:$U,20,0)</f>
        <v>82.990250000000003</v>
      </c>
      <c r="O520" s="3">
        <v>12</v>
      </c>
      <c r="P520" s="12">
        <v>12</v>
      </c>
      <c r="Q520" s="2"/>
    </row>
    <row r="521" spans="1:17" ht="20.100000000000001" customHeight="1">
      <c r="A521" s="10" t="s">
        <v>9</v>
      </c>
      <c r="B521" s="10" t="s">
        <v>300</v>
      </c>
      <c r="C521" s="10" t="s">
        <v>850</v>
      </c>
      <c r="D521" s="2" t="e">
        <f>VLOOKUP(C:C,Vlookup!A:A,1,0)</f>
        <v>#N/A</v>
      </c>
      <c r="E521" s="2">
        <v>12</v>
      </c>
      <c r="F521" s="2"/>
      <c r="G521" s="2" t="s">
        <v>25</v>
      </c>
      <c r="H521" s="2" t="s">
        <v>11</v>
      </c>
      <c r="I521" s="2">
        <v>1</v>
      </c>
      <c r="J521" s="5">
        <v>46073</v>
      </c>
      <c r="K521" s="5">
        <v>46076</v>
      </c>
      <c r="L521" s="2" t="s">
        <v>865</v>
      </c>
      <c r="M521" s="5">
        <v>46105</v>
      </c>
      <c r="N521" s="3">
        <f>VLOOKUP(NavDataRegion[[#This Row],[Spool No]],[1]Sheet2!$B:$U,20,0)</f>
        <v>82.990250000000003</v>
      </c>
      <c r="O521" s="3">
        <v>12</v>
      </c>
      <c r="P521" s="12">
        <v>12</v>
      </c>
      <c r="Q521" s="2"/>
    </row>
    <row r="522" spans="1:17" ht="20.100000000000001" customHeight="1">
      <c r="A522" s="10" t="s">
        <v>9</v>
      </c>
      <c r="B522" s="10" t="s">
        <v>300</v>
      </c>
      <c r="C522" s="10" t="s">
        <v>851</v>
      </c>
      <c r="D522" s="2" t="e">
        <f>VLOOKUP(C:C,Vlookup!A:A,1,0)</f>
        <v>#N/A</v>
      </c>
      <c r="E522" s="2">
        <v>12</v>
      </c>
      <c r="F522" s="2"/>
      <c r="G522" s="2" t="s">
        <v>25</v>
      </c>
      <c r="H522" s="2" t="s">
        <v>11</v>
      </c>
      <c r="I522" s="2">
        <v>1</v>
      </c>
      <c r="J522" s="5">
        <v>46073</v>
      </c>
      <c r="K522" s="5">
        <v>46077</v>
      </c>
      <c r="L522" s="2" t="s">
        <v>865</v>
      </c>
      <c r="M522" s="5">
        <v>46105</v>
      </c>
      <c r="N522" s="3">
        <f>VLOOKUP(NavDataRegion[[#This Row],[Spool No]],[1]Sheet2!$B:$U,20,0)</f>
        <v>82.990250000000003</v>
      </c>
      <c r="O522" s="3">
        <v>12</v>
      </c>
      <c r="P522" s="12">
        <v>12</v>
      </c>
      <c r="Q522" s="2"/>
    </row>
    <row r="523" spans="1:17" ht="20.100000000000001" customHeight="1">
      <c r="A523" s="10" t="s">
        <v>9</v>
      </c>
      <c r="B523" s="10" t="s">
        <v>300</v>
      </c>
      <c r="C523" s="10" t="s">
        <v>852</v>
      </c>
      <c r="D523" s="2" t="e">
        <f>VLOOKUP(C:C,Vlookup!A:A,1,0)</f>
        <v>#N/A</v>
      </c>
      <c r="E523" s="2">
        <v>12</v>
      </c>
      <c r="F523" s="2"/>
      <c r="G523" s="2" t="s">
        <v>25</v>
      </c>
      <c r="H523" s="2" t="s">
        <v>11</v>
      </c>
      <c r="I523" s="2">
        <v>1</v>
      </c>
      <c r="J523" s="5">
        <v>46073</v>
      </c>
      <c r="K523" s="5">
        <v>46077</v>
      </c>
      <c r="L523" s="2" t="s">
        <v>865</v>
      </c>
      <c r="M523" s="5">
        <v>46105</v>
      </c>
      <c r="N523" s="3">
        <f>VLOOKUP(NavDataRegion[[#This Row],[Spool No]],[1]Sheet2!$B:$U,20,0)</f>
        <v>82.990250000000003</v>
      </c>
      <c r="O523" s="3">
        <v>12</v>
      </c>
      <c r="P523" s="12">
        <v>12</v>
      </c>
      <c r="Q523" s="2"/>
    </row>
    <row r="524" spans="1:17" ht="20.100000000000001" customHeight="1">
      <c r="A524" s="10" t="s">
        <v>9</v>
      </c>
      <c r="B524" s="10" t="s">
        <v>300</v>
      </c>
      <c r="C524" s="10" t="s">
        <v>853</v>
      </c>
      <c r="D524" s="2" t="e">
        <f>VLOOKUP(C:C,Vlookup!A:A,1,0)</f>
        <v>#N/A</v>
      </c>
      <c r="E524" s="2">
        <v>12</v>
      </c>
      <c r="F524" s="2"/>
      <c r="G524" s="2" t="s">
        <v>25</v>
      </c>
      <c r="H524" s="2" t="s">
        <v>11</v>
      </c>
      <c r="I524" s="2">
        <v>1</v>
      </c>
      <c r="J524" s="5">
        <v>46073</v>
      </c>
      <c r="K524" s="5">
        <v>46077</v>
      </c>
      <c r="L524" s="2" t="s">
        <v>865</v>
      </c>
      <c r="M524" s="5">
        <v>46105</v>
      </c>
      <c r="N524" s="3">
        <f>VLOOKUP(NavDataRegion[[#This Row],[Spool No]],[1]Sheet2!$B:$U,20,0)</f>
        <v>82.990250000000003</v>
      </c>
      <c r="O524" s="3">
        <v>12</v>
      </c>
      <c r="P524" s="12">
        <v>12</v>
      </c>
      <c r="Q524" s="2"/>
    </row>
    <row r="525" spans="1:17" ht="20.100000000000001" customHeight="1">
      <c r="A525" s="10" t="s">
        <v>9</v>
      </c>
      <c r="B525" s="10" t="s">
        <v>300</v>
      </c>
      <c r="C525" s="10" t="s">
        <v>854</v>
      </c>
      <c r="D525" s="2" t="e">
        <f>VLOOKUP(C:C,Vlookup!A:A,1,0)</f>
        <v>#N/A</v>
      </c>
      <c r="E525" s="2">
        <v>12</v>
      </c>
      <c r="F525" s="2"/>
      <c r="G525" s="2" t="s">
        <v>25</v>
      </c>
      <c r="H525" s="2" t="s">
        <v>11</v>
      </c>
      <c r="I525" s="2">
        <v>1</v>
      </c>
      <c r="J525" s="5">
        <v>46073</v>
      </c>
      <c r="K525" s="5">
        <v>46076</v>
      </c>
      <c r="L525" s="2" t="s">
        <v>865</v>
      </c>
      <c r="M525" s="5">
        <v>46105</v>
      </c>
      <c r="N525" s="3">
        <f>VLOOKUP(NavDataRegion[[#This Row],[Spool No]],[1]Sheet2!$B:$U,20,0)</f>
        <v>82.990250000000003</v>
      </c>
      <c r="O525" s="3">
        <v>12</v>
      </c>
      <c r="P525" s="12">
        <v>12</v>
      </c>
      <c r="Q525" s="2"/>
    </row>
    <row r="526" spans="1:17" ht="20.100000000000001" customHeight="1">
      <c r="A526" s="10" t="s">
        <v>9</v>
      </c>
      <c r="B526" s="10" t="s">
        <v>300</v>
      </c>
      <c r="C526" s="10" t="s">
        <v>855</v>
      </c>
      <c r="D526" s="2" t="e">
        <f>VLOOKUP(C:C,Vlookup!A:A,1,0)</f>
        <v>#N/A</v>
      </c>
      <c r="E526" s="2">
        <v>12</v>
      </c>
      <c r="F526" s="2"/>
      <c r="G526" s="2" t="s">
        <v>25</v>
      </c>
      <c r="H526" s="2" t="s">
        <v>11</v>
      </c>
      <c r="I526" s="2">
        <v>1</v>
      </c>
      <c r="J526" s="5">
        <v>46073</v>
      </c>
      <c r="K526" s="5">
        <v>46077</v>
      </c>
      <c r="L526" s="2" t="s">
        <v>865</v>
      </c>
      <c r="M526" s="5">
        <v>46105</v>
      </c>
      <c r="N526" s="3">
        <f>VLOOKUP(NavDataRegion[[#This Row],[Spool No]],[1]Sheet2!$B:$U,20,0)</f>
        <v>82.990250000000003</v>
      </c>
      <c r="O526" s="3">
        <v>12</v>
      </c>
      <c r="P526" s="12">
        <v>12</v>
      </c>
      <c r="Q526" s="2"/>
    </row>
    <row r="527" spans="1:17" ht="20.100000000000001" customHeight="1">
      <c r="A527" s="10" t="s">
        <v>9</v>
      </c>
      <c r="B527" s="10" t="s">
        <v>311</v>
      </c>
      <c r="C527" s="10" t="s">
        <v>856</v>
      </c>
      <c r="D527" s="2" t="e">
        <f>VLOOKUP(C:C,Vlookup!A:A,1,0)</f>
        <v>#N/A</v>
      </c>
      <c r="E527" s="2">
        <v>12</v>
      </c>
      <c r="F527" s="2"/>
      <c r="G527" s="2" t="s">
        <v>25</v>
      </c>
      <c r="H527" s="2" t="s">
        <v>11</v>
      </c>
      <c r="I527" s="2">
        <v>1</v>
      </c>
      <c r="J527" s="5">
        <v>46073</v>
      </c>
      <c r="K527" s="5">
        <v>46076</v>
      </c>
      <c r="L527" s="2" t="s">
        <v>865</v>
      </c>
      <c r="M527" s="5">
        <v>46105</v>
      </c>
      <c r="N527" s="3">
        <f>VLOOKUP(NavDataRegion[[#This Row],[Spool No]],[1]Sheet2!$B:$U,20,0)</f>
        <v>153.87413000000001</v>
      </c>
      <c r="O527" s="3">
        <v>14</v>
      </c>
      <c r="P527" s="12">
        <v>14</v>
      </c>
      <c r="Q527" s="2"/>
    </row>
    <row r="528" spans="1:17" ht="20.100000000000001" customHeight="1">
      <c r="A528" s="10" t="s">
        <v>9</v>
      </c>
      <c r="B528" s="10" t="s">
        <v>311</v>
      </c>
      <c r="C528" s="10" t="s">
        <v>857</v>
      </c>
      <c r="D528" s="2" t="e">
        <f>VLOOKUP(C:C,Vlookup!A:A,1,0)</f>
        <v>#N/A</v>
      </c>
      <c r="E528" s="2">
        <v>12</v>
      </c>
      <c r="F528" s="2"/>
      <c r="G528" s="2" t="s">
        <v>25</v>
      </c>
      <c r="H528" s="2" t="s">
        <v>11</v>
      </c>
      <c r="I528" s="2">
        <v>1</v>
      </c>
      <c r="J528" s="5">
        <v>46073</v>
      </c>
      <c r="K528" s="5">
        <v>46077</v>
      </c>
      <c r="L528" s="2" t="s">
        <v>865</v>
      </c>
      <c r="M528" s="5">
        <v>46105</v>
      </c>
      <c r="N528" s="3">
        <f>VLOOKUP(NavDataRegion[[#This Row],[Spool No]],[1]Sheet2!$B:$U,20,0)</f>
        <v>153.87413000000001</v>
      </c>
      <c r="O528" s="3">
        <v>14</v>
      </c>
      <c r="P528" s="12">
        <v>14</v>
      </c>
      <c r="Q528" s="2"/>
    </row>
    <row r="529" spans="1:17" ht="20.100000000000001" customHeight="1">
      <c r="A529" s="10" t="s">
        <v>9</v>
      </c>
      <c r="B529" s="10" t="s">
        <v>311</v>
      </c>
      <c r="C529" s="10" t="s">
        <v>858</v>
      </c>
      <c r="D529" s="2" t="e">
        <f>VLOOKUP(C:C,Vlookup!A:A,1,0)</f>
        <v>#N/A</v>
      </c>
      <c r="E529" s="2">
        <v>12</v>
      </c>
      <c r="F529" s="2"/>
      <c r="G529" s="2" t="s">
        <v>25</v>
      </c>
      <c r="H529" s="2" t="s">
        <v>11</v>
      </c>
      <c r="I529" s="2">
        <v>1</v>
      </c>
      <c r="J529" s="5">
        <v>46073</v>
      </c>
      <c r="K529" s="5">
        <v>46077</v>
      </c>
      <c r="L529" s="2" t="s">
        <v>865</v>
      </c>
      <c r="M529" s="5">
        <v>46105</v>
      </c>
      <c r="N529" s="3">
        <f>VLOOKUP(NavDataRegion[[#This Row],[Spool No]],[1]Sheet2!$B:$U,20,0)</f>
        <v>153.87413000000001</v>
      </c>
      <c r="O529" s="3">
        <v>14</v>
      </c>
      <c r="P529" s="12">
        <v>14</v>
      </c>
      <c r="Q529" s="2"/>
    </row>
    <row r="530" spans="1:17" ht="20.100000000000001" customHeight="1">
      <c r="A530" s="10" t="s">
        <v>9</v>
      </c>
      <c r="B530" s="10" t="s">
        <v>311</v>
      </c>
      <c r="C530" s="10" t="s">
        <v>859</v>
      </c>
      <c r="D530" s="2" t="e">
        <f>VLOOKUP(C:C,Vlookup!A:A,1,0)</f>
        <v>#N/A</v>
      </c>
      <c r="E530" s="2">
        <v>12</v>
      </c>
      <c r="F530" s="2"/>
      <c r="G530" s="2" t="s">
        <v>25</v>
      </c>
      <c r="H530" s="2" t="s">
        <v>11</v>
      </c>
      <c r="I530" s="2">
        <v>1</v>
      </c>
      <c r="J530" s="5">
        <v>46073</v>
      </c>
      <c r="K530" s="5">
        <v>46077</v>
      </c>
      <c r="L530" s="2" t="s">
        <v>865</v>
      </c>
      <c r="M530" s="5">
        <v>46105</v>
      </c>
      <c r="N530" s="3">
        <f>VLOOKUP(NavDataRegion[[#This Row],[Spool No]],[1]Sheet2!$B:$U,20,0)</f>
        <v>153.87413000000001</v>
      </c>
      <c r="O530" s="3">
        <v>14</v>
      </c>
      <c r="P530" s="12">
        <v>14</v>
      </c>
      <c r="Q530" s="2"/>
    </row>
    <row r="531" spans="1:17" ht="20.100000000000001" customHeight="1">
      <c r="A531" s="10" t="s">
        <v>9</v>
      </c>
      <c r="B531" s="10" t="s">
        <v>311</v>
      </c>
      <c r="C531" s="10" t="s">
        <v>860</v>
      </c>
      <c r="D531" s="2" t="e">
        <f>VLOOKUP(C:C,Vlookup!A:A,1,0)</f>
        <v>#N/A</v>
      </c>
      <c r="E531" s="2">
        <v>12</v>
      </c>
      <c r="F531" s="2"/>
      <c r="G531" s="2" t="s">
        <v>25</v>
      </c>
      <c r="H531" s="2" t="s">
        <v>11</v>
      </c>
      <c r="I531" s="2">
        <v>1</v>
      </c>
      <c r="J531" s="5">
        <v>46073</v>
      </c>
      <c r="K531" s="5">
        <v>46077</v>
      </c>
      <c r="L531" s="2" t="s">
        <v>865</v>
      </c>
      <c r="M531" s="5">
        <v>46105</v>
      </c>
      <c r="N531" s="3">
        <f>VLOOKUP(NavDataRegion[[#This Row],[Spool No]],[1]Sheet2!$B:$U,20,0)</f>
        <v>153.87413000000001</v>
      </c>
      <c r="O531" s="3">
        <v>14</v>
      </c>
      <c r="P531" s="12">
        <v>14</v>
      </c>
      <c r="Q531" s="2"/>
    </row>
    <row r="532" spans="1:17" ht="20.100000000000001" customHeight="1">
      <c r="A532" s="10" t="s">
        <v>9</v>
      </c>
      <c r="B532" s="10" t="s">
        <v>311</v>
      </c>
      <c r="C532" s="10" t="s">
        <v>861</v>
      </c>
      <c r="D532" s="2" t="e">
        <f>VLOOKUP(C:C,Vlookup!A:A,1,0)</f>
        <v>#N/A</v>
      </c>
      <c r="E532" s="2">
        <v>12</v>
      </c>
      <c r="F532" s="2"/>
      <c r="G532" s="2" t="s">
        <v>25</v>
      </c>
      <c r="H532" s="2" t="s">
        <v>11</v>
      </c>
      <c r="I532" s="2">
        <v>1</v>
      </c>
      <c r="J532" s="5">
        <v>46073</v>
      </c>
      <c r="K532" s="5">
        <v>46077</v>
      </c>
      <c r="L532" s="2" t="s">
        <v>865</v>
      </c>
      <c r="M532" s="5">
        <v>46105</v>
      </c>
      <c r="N532" s="3">
        <f>VLOOKUP(NavDataRegion[[#This Row],[Spool No]],[1]Sheet2!$B:$U,20,0)</f>
        <v>153.87413000000001</v>
      </c>
      <c r="O532" s="3">
        <v>14</v>
      </c>
      <c r="P532" s="12">
        <v>14</v>
      </c>
      <c r="Q532" s="2"/>
    </row>
    <row r="533" spans="1:17" ht="20.100000000000001" customHeight="1">
      <c r="A533" s="10" t="s">
        <v>9</v>
      </c>
      <c r="B533" s="10" t="s">
        <v>311</v>
      </c>
      <c r="C533" s="10" t="s">
        <v>862</v>
      </c>
      <c r="D533" s="2" t="e">
        <f>VLOOKUP(C:C,Vlookup!A:A,1,0)</f>
        <v>#N/A</v>
      </c>
      <c r="E533" s="2">
        <v>12</v>
      </c>
      <c r="F533" s="2"/>
      <c r="G533" s="2" t="s">
        <v>25</v>
      </c>
      <c r="H533" s="2" t="s">
        <v>11</v>
      </c>
      <c r="I533" s="2">
        <v>1</v>
      </c>
      <c r="J533" s="5">
        <v>46073</v>
      </c>
      <c r="K533" s="5">
        <v>46077</v>
      </c>
      <c r="L533" s="2" t="s">
        <v>865</v>
      </c>
      <c r="M533" s="5">
        <v>46105</v>
      </c>
      <c r="N533" s="3">
        <f>VLOOKUP(NavDataRegion[[#This Row],[Spool No]],[1]Sheet2!$B:$U,20,0)</f>
        <v>153.87413000000001</v>
      </c>
      <c r="O533" s="3">
        <v>14</v>
      </c>
      <c r="P533" s="12">
        <v>14</v>
      </c>
      <c r="Q533" s="2"/>
    </row>
    <row r="534" spans="1:17" ht="20.100000000000001" customHeight="1">
      <c r="A534" s="10" t="s">
        <v>9</v>
      </c>
      <c r="B534" s="10" t="s">
        <v>311</v>
      </c>
      <c r="C534" s="10" t="s">
        <v>863</v>
      </c>
      <c r="D534" s="2" t="e">
        <f>VLOOKUP(C:C,Vlookup!A:A,1,0)</f>
        <v>#N/A</v>
      </c>
      <c r="E534" s="2">
        <v>12</v>
      </c>
      <c r="F534" s="2"/>
      <c r="G534" s="2" t="s">
        <v>25</v>
      </c>
      <c r="H534" s="2" t="s">
        <v>11</v>
      </c>
      <c r="I534" s="2">
        <v>1</v>
      </c>
      <c r="J534" s="5">
        <v>46073</v>
      </c>
      <c r="K534" s="5">
        <v>46076</v>
      </c>
      <c r="L534" s="2" t="s">
        <v>865</v>
      </c>
      <c r="M534" s="5">
        <v>46105</v>
      </c>
      <c r="N534" s="3">
        <f>VLOOKUP(NavDataRegion[[#This Row],[Spool No]],[1]Sheet2!$B:$U,20,0)</f>
        <v>153.87413000000001</v>
      </c>
      <c r="O534" s="3">
        <v>14</v>
      </c>
      <c r="P534" s="12">
        <v>14</v>
      </c>
      <c r="Q534" s="2"/>
    </row>
    <row r="535" spans="1:17" ht="20.100000000000001" customHeight="1">
      <c r="A535" s="2" t="s">
        <v>9</v>
      </c>
      <c r="B535" s="2" t="s">
        <v>258</v>
      </c>
      <c r="C535" s="2" t="s">
        <v>259</v>
      </c>
      <c r="D535" s="2" t="e">
        <f>VLOOKUP(C:C,Vlookup!A:A,1,0)</f>
        <v>#N/A</v>
      </c>
      <c r="E535" s="2">
        <v>12</v>
      </c>
      <c r="F535" s="2" t="s">
        <v>10</v>
      </c>
      <c r="G535" s="2" t="s">
        <v>16</v>
      </c>
      <c r="H535" s="2" t="s">
        <v>11</v>
      </c>
      <c r="I535" s="2">
        <v>1</v>
      </c>
      <c r="J535" s="5">
        <v>46073</v>
      </c>
      <c r="K535" s="5">
        <v>46076</v>
      </c>
      <c r="L535" s="2" t="s">
        <v>865</v>
      </c>
      <c r="M535" s="5">
        <v>46105</v>
      </c>
      <c r="N535" s="3">
        <f>VLOOKUP(NavDataRegion[[#This Row],[Spool No]],[1]Sheet2!$B:$U,20,0)</f>
        <v>883.13524215999996</v>
      </c>
      <c r="O535" s="2">
        <v>26</v>
      </c>
      <c r="P535" s="2">
        <v>16</v>
      </c>
      <c r="Q535" s="2"/>
    </row>
    <row r="536" spans="1:17" ht="20.100000000000001" customHeight="1">
      <c r="A536" s="2" t="s">
        <v>9</v>
      </c>
      <c r="B536" s="2" t="s">
        <v>258</v>
      </c>
      <c r="C536" s="2" t="s">
        <v>580</v>
      </c>
      <c r="D536" s="2" t="e">
        <f>VLOOKUP(C:C,Vlookup!A:A,1,0)</f>
        <v>#N/A</v>
      </c>
      <c r="E536" s="2">
        <v>12</v>
      </c>
      <c r="F536" s="2" t="s">
        <v>10</v>
      </c>
      <c r="G536" s="2" t="s">
        <v>16</v>
      </c>
      <c r="H536" s="2" t="s">
        <v>11</v>
      </c>
      <c r="I536" s="2">
        <v>1</v>
      </c>
      <c r="J536" s="5">
        <v>46073</v>
      </c>
      <c r="K536" s="5">
        <v>46076</v>
      </c>
      <c r="L536" s="2" t="s">
        <v>865</v>
      </c>
      <c r="M536" s="5">
        <v>46105</v>
      </c>
      <c r="N536" s="3">
        <f>VLOOKUP(NavDataRegion[[#This Row],[Spool No]],[1]Sheet2!$B:$U,20,0)</f>
        <v>914.03851999999995</v>
      </c>
      <c r="O536" s="2">
        <v>9</v>
      </c>
      <c r="P536" s="2">
        <v>16</v>
      </c>
      <c r="Q536" s="2"/>
    </row>
    <row r="537" spans="1:17" ht="20.100000000000001" customHeight="1">
      <c r="A537" s="13" t="s">
        <v>9</v>
      </c>
      <c r="B537" s="13" t="s">
        <v>306</v>
      </c>
      <c r="C537" s="13" t="s">
        <v>693</v>
      </c>
      <c r="D537" s="13" t="e">
        <f>VLOOKUP(C:C,Vlookup!A:A,1,0)</f>
        <v>#N/A</v>
      </c>
      <c r="E537" s="2">
        <v>12</v>
      </c>
      <c r="F537" s="2" t="s">
        <v>694</v>
      </c>
      <c r="G537" s="2" t="s">
        <v>16</v>
      </c>
      <c r="H537" s="2" t="s">
        <v>11</v>
      </c>
      <c r="I537" s="2">
        <v>1</v>
      </c>
      <c r="J537" s="5">
        <v>46073</v>
      </c>
      <c r="K537" s="5">
        <v>46076</v>
      </c>
      <c r="L537" s="2" t="s">
        <v>865</v>
      </c>
      <c r="M537" s="5">
        <v>46105</v>
      </c>
      <c r="N537" s="3">
        <f>VLOOKUP(NavDataRegion[[#This Row],[Spool No]],[1]Sheet2!$B:$U,20,0)</f>
        <v>3282.0009580599999</v>
      </c>
      <c r="O537" s="18">
        <v>140.17322831999999</v>
      </c>
      <c r="P537" s="2">
        <v>24</v>
      </c>
      <c r="Q537" s="2"/>
    </row>
    <row r="538" spans="1:17" ht="20.100000000000001" customHeight="1">
      <c r="A538" s="2" t="s">
        <v>9</v>
      </c>
      <c r="B538" s="2" t="s">
        <v>1337</v>
      </c>
      <c r="C538" s="2" t="s">
        <v>1769</v>
      </c>
      <c r="D538" s="2" t="e">
        <f>VLOOKUP(C:C,Vlookup!A:A,1,0)</f>
        <v>#N/A</v>
      </c>
      <c r="E538" s="2">
        <v>14</v>
      </c>
      <c r="F538" s="17" t="s">
        <v>10</v>
      </c>
      <c r="G538" s="17" t="s">
        <v>25</v>
      </c>
      <c r="H538" s="2" t="s">
        <v>11</v>
      </c>
      <c r="I538" s="2">
        <v>1</v>
      </c>
      <c r="J538" s="5">
        <v>46100</v>
      </c>
      <c r="K538" s="5">
        <v>46101</v>
      </c>
      <c r="L538" s="2" t="s">
        <v>865</v>
      </c>
      <c r="M538" s="5">
        <v>45754</v>
      </c>
      <c r="N538" s="3">
        <f>VLOOKUP(NavDataRegion[[#This Row],[Spool No]],[1]Sheet2!$B:$U,20,0)</f>
        <v>4.8129799999999996</v>
      </c>
      <c r="O538" s="2">
        <v>1</v>
      </c>
      <c r="P538" s="2">
        <v>0.5</v>
      </c>
      <c r="Q538" s="2"/>
    </row>
    <row r="539" spans="1:17" ht="20.100000000000001" customHeight="1">
      <c r="A539" s="2" t="s">
        <v>9</v>
      </c>
      <c r="B539" s="2" t="s">
        <v>1339</v>
      </c>
      <c r="C539" s="2" t="s">
        <v>1340</v>
      </c>
      <c r="D539" s="2" t="e">
        <f>VLOOKUP(C:C,Vlookup!A:A,1,0)</f>
        <v>#N/A</v>
      </c>
      <c r="E539" s="2">
        <v>14</v>
      </c>
      <c r="F539" s="17" t="s">
        <v>10</v>
      </c>
      <c r="G539" s="17" t="s">
        <v>25</v>
      </c>
      <c r="H539" s="2" t="s">
        <v>11</v>
      </c>
      <c r="I539" s="2">
        <v>1</v>
      </c>
      <c r="J539" s="5">
        <v>46100</v>
      </c>
      <c r="K539" s="5">
        <v>46101</v>
      </c>
      <c r="L539" s="2" t="s">
        <v>865</v>
      </c>
      <c r="M539" s="5">
        <v>45754</v>
      </c>
      <c r="N539" s="3">
        <f>VLOOKUP(NavDataRegion[[#This Row],[Spool No]],[1]Sheet2!$B:$U,20,0)</f>
        <v>1.2450399999999999</v>
      </c>
      <c r="O539" s="2">
        <v>2</v>
      </c>
      <c r="P539" s="2">
        <v>0.5</v>
      </c>
      <c r="Q539" s="2"/>
    </row>
    <row r="540" spans="1:17" ht="20.100000000000001" customHeight="1">
      <c r="A540" s="2" t="s">
        <v>9</v>
      </c>
      <c r="B540" s="2" t="s">
        <v>1339</v>
      </c>
      <c r="C540" s="2" t="s">
        <v>1624</v>
      </c>
      <c r="D540" s="2" t="e">
        <f>VLOOKUP(C:C,Vlookup!A:A,1,0)</f>
        <v>#N/A</v>
      </c>
      <c r="E540" s="2">
        <v>14</v>
      </c>
      <c r="F540" s="17" t="s">
        <v>10</v>
      </c>
      <c r="G540" s="17" t="s">
        <v>25</v>
      </c>
      <c r="H540" s="2" t="s">
        <v>11</v>
      </c>
      <c r="I540" s="2">
        <v>1</v>
      </c>
      <c r="J540" s="5">
        <v>46100</v>
      </c>
      <c r="K540" s="5">
        <v>46101</v>
      </c>
      <c r="L540" s="2" t="s">
        <v>865</v>
      </c>
      <c r="M540" s="5">
        <v>45754</v>
      </c>
      <c r="N540" s="3">
        <f>VLOOKUP(NavDataRegion[[#This Row],[Spool No]],[1]Sheet2!$B:$U,20,0)</f>
        <v>2.26132</v>
      </c>
      <c r="O540" s="2">
        <v>1.5</v>
      </c>
      <c r="P540" s="2">
        <v>0.5</v>
      </c>
      <c r="Q540" s="2"/>
    </row>
    <row r="541" spans="1:17" ht="20.100000000000001" customHeight="1">
      <c r="A541" s="2" t="s">
        <v>9</v>
      </c>
      <c r="B541" s="2" t="s">
        <v>295</v>
      </c>
      <c r="C541" s="2" t="s">
        <v>468</v>
      </c>
      <c r="D541" s="2" t="e">
        <f>VLOOKUP(C:C,Vlookup!A:A,1,0)</f>
        <v>#N/A</v>
      </c>
      <c r="E541" s="2">
        <v>17</v>
      </c>
      <c r="F541" s="2" t="s">
        <v>10</v>
      </c>
      <c r="G541" s="2" t="s">
        <v>25</v>
      </c>
      <c r="H541" s="2" t="s">
        <v>11</v>
      </c>
      <c r="I541" s="2">
        <v>1</v>
      </c>
      <c r="J541" s="5">
        <v>46106</v>
      </c>
      <c r="K541" s="5">
        <v>46111</v>
      </c>
      <c r="L541" s="2" t="s">
        <v>865</v>
      </c>
      <c r="M541" s="5">
        <v>45754</v>
      </c>
      <c r="N541" s="3">
        <f>VLOOKUP(NavDataRegion[[#This Row],[Spool No]],[1]Sheet2!$B:$U,20,0)</f>
        <v>266.02071999999998</v>
      </c>
      <c r="O541" s="2">
        <v>8</v>
      </c>
      <c r="P541" s="2">
        <v>4</v>
      </c>
      <c r="Q541" s="2"/>
    </row>
    <row r="542" spans="1:17" ht="20.100000000000001" customHeight="1">
      <c r="A542" s="13" t="s">
        <v>9</v>
      </c>
      <c r="B542" s="13" t="s">
        <v>1349</v>
      </c>
      <c r="C542" s="13" t="s">
        <v>1858</v>
      </c>
      <c r="D542" s="13" t="e">
        <f>VLOOKUP(C:C,Vlookup!A:A,1,0)</f>
        <v>#N/A</v>
      </c>
      <c r="E542" s="2">
        <v>14</v>
      </c>
      <c r="F542" s="17" t="s">
        <v>10</v>
      </c>
      <c r="G542" s="17" t="s">
        <v>281</v>
      </c>
      <c r="H542" s="2" t="s">
        <v>11</v>
      </c>
      <c r="I542" s="2">
        <v>1</v>
      </c>
      <c r="J542" s="5">
        <v>46105</v>
      </c>
      <c r="K542" s="5">
        <v>46106</v>
      </c>
      <c r="L542" s="2" t="s">
        <v>865</v>
      </c>
      <c r="M542" s="5">
        <v>45754</v>
      </c>
      <c r="N542" s="3">
        <f>VLOOKUP(NavDataRegion[[#This Row],[Spool No]],[1]Sheet2!$B:$U,20,0)</f>
        <v>3.6190000000000002</v>
      </c>
      <c r="O542" s="2">
        <v>1.5</v>
      </c>
      <c r="P542" s="2">
        <v>0.5</v>
      </c>
      <c r="Q542" s="2"/>
    </row>
    <row r="543" spans="1:17" ht="20.100000000000001" customHeight="1">
      <c r="A543" s="2" t="s">
        <v>9</v>
      </c>
      <c r="B543" s="2" t="s">
        <v>895</v>
      </c>
      <c r="C543" s="2" t="s">
        <v>896</v>
      </c>
      <c r="D543" s="2" t="e">
        <f>VLOOKUP(C:C,Vlookup!A:A,1,0)</f>
        <v>#N/A</v>
      </c>
      <c r="E543" s="2">
        <v>14</v>
      </c>
      <c r="F543" s="17" t="s">
        <v>10</v>
      </c>
      <c r="G543" s="17" t="s">
        <v>25</v>
      </c>
      <c r="H543" s="2" t="s">
        <v>11</v>
      </c>
      <c r="I543" s="2">
        <v>1</v>
      </c>
      <c r="J543" s="5">
        <v>46093</v>
      </c>
      <c r="K543" s="5">
        <v>46094</v>
      </c>
      <c r="L543" s="2" t="s">
        <v>865</v>
      </c>
      <c r="M543" s="5">
        <v>45754</v>
      </c>
      <c r="N543" s="3">
        <f>VLOOKUP(NavDataRegion[[#This Row],[Spool No]],[1]Sheet2!$B:$U,20,0)</f>
        <v>4.0504800000000003</v>
      </c>
      <c r="O543" s="2">
        <v>2</v>
      </c>
      <c r="P543" s="2">
        <v>1</v>
      </c>
      <c r="Q543" s="2"/>
    </row>
    <row r="544" spans="1:17" ht="20.100000000000001" customHeight="1">
      <c r="A544" s="2" t="s">
        <v>9</v>
      </c>
      <c r="B544" s="2" t="s">
        <v>897</v>
      </c>
      <c r="C544" s="2" t="s">
        <v>898</v>
      </c>
      <c r="D544" s="2" t="e">
        <f>VLOOKUP(C:C,Vlookup!A:A,1,0)</f>
        <v>#N/A</v>
      </c>
      <c r="E544" s="2">
        <v>14</v>
      </c>
      <c r="F544" s="17" t="s">
        <v>10</v>
      </c>
      <c r="G544" s="17" t="s">
        <v>25</v>
      </c>
      <c r="H544" s="2" t="s">
        <v>11</v>
      </c>
      <c r="I544" s="2">
        <v>1</v>
      </c>
      <c r="J544" s="5">
        <v>46093</v>
      </c>
      <c r="K544" s="5">
        <v>46094</v>
      </c>
      <c r="L544" s="2" t="s">
        <v>865</v>
      </c>
      <c r="M544" s="5">
        <v>45754</v>
      </c>
      <c r="N544" s="3">
        <f>VLOOKUP(NavDataRegion[[#This Row],[Spool No]],[1]Sheet2!$B:$U,20,0)</f>
        <v>4.6692</v>
      </c>
      <c r="O544" s="2">
        <v>1</v>
      </c>
      <c r="P544" s="2">
        <v>1</v>
      </c>
      <c r="Q544" s="2"/>
    </row>
    <row r="545" spans="1:17" ht="20.100000000000001" customHeight="1">
      <c r="A545" s="2" t="s">
        <v>9</v>
      </c>
      <c r="B545" s="2" t="s">
        <v>1351</v>
      </c>
      <c r="C545" s="2" t="s">
        <v>1859</v>
      </c>
      <c r="D545" s="2" t="e">
        <f>VLOOKUP(C:C,Vlookup!A:A,1,0)</f>
        <v>#N/A</v>
      </c>
      <c r="E545" s="2">
        <v>16</v>
      </c>
      <c r="F545" s="17" t="s">
        <v>10</v>
      </c>
      <c r="G545" s="17" t="s">
        <v>281</v>
      </c>
      <c r="H545" s="2" t="s">
        <v>11</v>
      </c>
      <c r="I545" s="2">
        <v>1</v>
      </c>
      <c r="J545" s="5">
        <v>46118</v>
      </c>
      <c r="K545" s="5">
        <v>46120</v>
      </c>
      <c r="L545" s="2" t="s">
        <v>865</v>
      </c>
      <c r="M545" s="5">
        <v>46167</v>
      </c>
      <c r="N545" s="3">
        <f>VLOOKUP(NavDataRegion[[#This Row],[Spool No]],[1]Sheet2!$B:$U,20,0)</f>
        <v>19.535219999999999</v>
      </c>
      <c r="O545" s="2">
        <v>2</v>
      </c>
      <c r="P545" s="2">
        <v>0.5</v>
      </c>
      <c r="Q545" s="2"/>
    </row>
    <row r="546" spans="1:17" ht="20.100000000000001" customHeight="1">
      <c r="A546" s="2" t="s">
        <v>9</v>
      </c>
      <c r="B546" s="2" t="s">
        <v>1341</v>
      </c>
      <c r="C546" s="2" t="s">
        <v>1342</v>
      </c>
      <c r="D546" s="2" t="e">
        <f>VLOOKUP(C:C,Vlookup!A:A,1,0)</f>
        <v>#N/A</v>
      </c>
      <c r="E546" s="2">
        <v>14</v>
      </c>
      <c r="F546" s="17" t="s">
        <v>10</v>
      </c>
      <c r="G546" s="17" t="s">
        <v>25</v>
      </c>
      <c r="H546" s="2" t="s">
        <v>11</v>
      </c>
      <c r="I546" s="2">
        <v>1</v>
      </c>
      <c r="J546" s="5">
        <v>46100</v>
      </c>
      <c r="K546" s="5">
        <v>46101</v>
      </c>
      <c r="L546" s="2" t="s">
        <v>865</v>
      </c>
      <c r="M546" s="5">
        <v>45754</v>
      </c>
      <c r="N546" s="3">
        <f>VLOOKUP(NavDataRegion[[#This Row],[Spool No]],[1]Sheet2!$B:$U,20,0)</f>
        <v>2.46976</v>
      </c>
      <c r="O546" s="2">
        <v>2</v>
      </c>
      <c r="P546" s="2">
        <v>0.5</v>
      </c>
      <c r="Q546" s="2"/>
    </row>
    <row r="547" spans="1:17" ht="20.100000000000001" customHeight="1">
      <c r="A547" s="2" t="s">
        <v>9</v>
      </c>
      <c r="B547" s="2" t="s">
        <v>1343</v>
      </c>
      <c r="C547" s="2" t="s">
        <v>1344</v>
      </c>
      <c r="D547" s="2" t="e">
        <f>VLOOKUP(C:C,Vlookup!A:A,1,0)</f>
        <v>#N/A</v>
      </c>
      <c r="E547" s="2">
        <v>14</v>
      </c>
      <c r="F547" s="17" t="s">
        <v>10</v>
      </c>
      <c r="G547" s="17" t="s">
        <v>25</v>
      </c>
      <c r="H547" s="2" t="s">
        <v>11</v>
      </c>
      <c r="I547" s="2">
        <v>1</v>
      </c>
      <c r="J547" s="5">
        <v>46100</v>
      </c>
      <c r="K547" s="5">
        <v>46101</v>
      </c>
      <c r="L547" s="2" t="s">
        <v>865</v>
      </c>
      <c r="M547" s="5">
        <v>45754</v>
      </c>
      <c r="N547" s="3">
        <f>VLOOKUP(NavDataRegion[[#This Row],[Spool No]],[1]Sheet2!$B:$U,20,0)</f>
        <v>2.4956800000000001</v>
      </c>
      <c r="O547" s="2">
        <v>2</v>
      </c>
      <c r="P547" s="2">
        <v>0.5</v>
      </c>
      <c r="Q547" s="2"/>
    </row>
    <row r="548" spans="1:17" ht="20.100000000000001" customHeight="1">
      <c r="A548" s="2" t="s">
        <v>9</v>
      </c>
      <c r="B548" s="2" t="s">
        <v>1345</v>
      </c>
      <c r="C548" s="2" t="s">
        <v>1346</v>
      </c>
      <c r="D548" s="2" t="e">
        <f>VLOOKUP(C:C,Vlookup!A:A,1,0)</f>
        <v>#N/A</v>
      </c>
      <c r="E548" s="2">
        <v>14</v>
      </c>
      <c r="F548" s="17" t="s">
        <v>10</v>
      </c>
      <c r="G548" s="17" t="s">
        <v>25</v>
      </c>
      <c r="H548" s="2" t="s">
        <v>11</v>
      </c>
      <c r="I548" s="2">
        <v>1</v>
      </c>
      <c r="J548" s="5">
        <v>46100</v>
      </c>
      <c r="K548" s="5">
        <v>46101</v>
      </c>
      <c r="L548" s="2" t="s">
        <v>865</v>
      </c>
      <c r="M548" s="5">
        <v>45754</v>
      </c>
      <c r="N548" s="3">
        <f>VLOOKUP(NavDataRegion[[#This Row],[Spool No]],[1]Sheet2!$B:$U,20,0)</f>
        <v>3.5826600000000002</v>
      </c>
      <c r="O548" s="2">
        <v>3</v>
      </c>
      <c r="P548" s="2">
        <v>0.5</v>
      </c>
      <c r="Q548" s="2"/>
    </row>
    <row r="549" spans="1:17" ht="20.100000000000001" customHeight="1">
      <c r="A549" s="2" t="s">
        <v>9</v>
      </c>
      <c r="B549" s="2" t="s">
        <v>1371</v>
      </c>
      <c r="C549" s="2" t="s">
        <v>1372</v>
      </c>
      <c r="D549" s="2" t="e">
        <f>VLOOKUP(C:C,Vlookup!A:A,1,0)</f>
        <v>#N/A</v>
      </c>
      <c r="E549" s="2">
        <v>14</v>
      </c>
      <c r="F549" s="17" t="s">
        <v>10</v>
      </c>
      <c r="G549" s="17" t="s">
        <v>25</v>
      </c>
      <c r="H549" s="2" t="s">
        <v>11</v>
      </c>
      <c r="I549" s="2">
        <v>1</v>
      </c>
      <c r="J549" s="5">
        <v>46100</v>
      </c>
      <c r="K549" s="5">
        <v>46101</v>
      </c>
      <c r="L549" s="2" t="s">
        <v>865</v>
      </c>
      <c r="M549" s="5">
        <v>45754</v>
      </c>
      <c r="N549" s="3">
        <f>VLOOKUP(NavDataRegion[[#This Row],[Spool No]],[1]Sheet2!$B:$U,20,0)</f>
        <v>0.25272</v>
      </c>
      <c r="O549" s="2">
        <v>0</v>
      </c>
      <c r="P549" s="2">
        <v>0.5</v>
      </c>
      <c r="Q549" s="2"/>
    </row>
    <row r="550" spans="1:17" ht="20.100000000000001" customHeight="1">
      <c r="A550" s="2" t="s">
        <v>9</v>
      </c>
      <c r="B550" s="2" t="s">
        <v>1337</v>
      </c>
      <c r="C550" s="2" t="s">
        <v>1906</v>
      </c>
      <c r="D550" s="2" t="e">
        <f>VLOOKUP(C:C,Vlookup!A:A,1,0)</f>
        <v>#N/A</v>
      </c>
      <c r="E550" s="2">
        <v>14</v>
      </c>
      <c r="F550" s="17" t="s">
        <v>10</v>
      </c>
      <c r="G550" s="17" t="s">
        <v>25</v>
      </c>
      <c r="H550" s="2" t="s">
        <v>11</v>
      </c>
      <c r="I550" s="2">
        <v>1</v>
      </c>
      <c r="J550" s="5">
        <v>46105</v>
      </c>
      <c r="K550" s="5">
        <v>46106</v>
      </c>
      <c r="L550" s="2" t="s">
        <v>865</v>
      </c>
      <c r="M550" s="5">
        <v>45754</v>
      </c>
      <c r="N550" s="3">
        <f>VLOOKUP(NavDataRegion[[#This Row],[Spool No]],[1]Sheet2!$B:$U,20,0)</f>
        <v>9.5465</v>
      </c>
      <c r="O550" s="2">
        <v>3.5</v>
      </c>
      <c r="P550" s="2">
        <v>0.5</v>
      </c>
      <c r="Q550" s="2"/>
    </row>
    <row r="551" spans="1:17" ht="20.100000000000001" customHeight="1">
      <c r="A551" s="2" t="s">
        <v>9</v>
      </c>
      <c r="B551" s="2" t="s">
        <v>1349</v>
      </c>
      <c r="C551" s="2" t="s">
        <v>1908</v>
      </c>
      <c r="D551" s="2" t="e">
        <f>VLOOKUP(C:C,Vlookup!A:A,1,0)</f>
        <v>#N/A</v>
      </c>
      <c r="E551" s="2">
        <v>16</v>
      </c>
      <c r="F551" s="17" t="s">
        <v>10</v>
      </c>
      <c r="G551" s="17" t="s">
        <v>281</v>
      </c>
      <c r="H551" s="2" t="s">
        <v>11</v>
      </c>
      <c r="I551" s="2">
        <v>1</v>
      </c>
      <c r="J551" s="5">
        <v>46107</v>
      </c>
      <c r="K551" s="5">
        <v>46111</v>
      </c>
      <c r="L551" s="2" t="s">
        <v>865</v>
      </c>
      <c r="M551" s="5">
        <v>46167</v>
      </c>
      <c r="N551" s="3">
        <f>VLOOKUP(NavDataRegion[[#This Row],[Spool No]],[1]Sheet2!$B:$U,20,0)</f>
        <v>19.535219999999999</v>
      </c>
      <c r="O551" s="2">
        <v>2</v>
      </c>
      <c r="P551" s="2">
        <v>0.5</v>
      </c>
      <c r="Q551" s="2"/>
    </row>
    <row r="552" spans="1:17" ht="20.100000000000001" customHeight="1">
      <c r="A552" s="2" t="s">
        <v>9</v>
      </c>
      <c r="B552" s="2" t="s">
        <v>1351</v>
      </c>
      <c r="C552" s="2" t="s">
        <v>1909</v>
      </c>
      <c r="D552" s="2" t="e">
        <f>VLOOKUP(C:C,Vlookup!A:A,1,0)</f>
        <v>#N/A</v>
      </c>
      <c r="E552" s="2">
        <v>14</v>
      </c>
      <c r="F552" s="17" t="s">
        <v>10</v>
      </c>
      <c r="G552" s="17" t="s">
        <v>281</v>
      </c>
      <c r="H552" s="2" t="s">
        <v>11</v>
      </c>
      <c r="I552" s="2">
        <v>1</v>
      </c>
      <c r="J552" s="5">
        <v>46105</v>
      </c>
      <c r="K552" s="5">
        <v>46106</v>
      </c>
      <c r="L552" s="2" t="s">
        <v>865</v>
      </c>
      <c r="M552" s="5">
        <v>45754</v>
      </c>
      <c r="N552" s="3">
        <f>VLOOKUP(NavDataRegion[[#This Row],[Spool No]],[1]Sheet2!$B:$U,20,0)</f>
        <v>12.501340000000001</v>
      </c>
      <c r="O552" s="2">
        <v>2</v>
      </c>
      <c r="P552" s="2">
        <v>0.5</v>
      </c>
      <c r="Q552" s="2"/>
    </row>
    <row r="553" spans="1:17" ht="20.100000000000001" customHeight="1">
      <c r="A553" s="2" t="s">
        <v>9</v>
      </c>
      <c r="B553" s="2" t="s">
        <v>1273</v>
      </c>
      <c r="C553" s="2" t="s">
        <v>1926</v>
      </c>
      <c r="D553" s="2" t="e">
        <f>VLOOKUP(C:C,Vlookup!A:A,1,0)</f>
        <v>#N/A</v>
      </c>
      <c r="E553" s="2">
        <v>16</v>
      </c>
      <c r="F553" s="17" t="s">
        <v>10</v>
      </c>
      <c r="G553" s="17" t="s">
        <v>25</v>
      </c>
      <c r="H553" s="2" t="s">
        <v>11</v>
      </c>
      <c r="I553" s="2">
        <v>1</v>
      </c>
      <c r="J553" s="5">
        <v>46108</v>
      </c>
      <c r="K553" s="5">
        <v>46111</v>
      </c>
      <c r="L553" s="2" t="s">
        <v>865</v>
      </c>
      <c r="M553" s="5">
        <v>46167</v>
      </c>
      <c r="N553" s="3">
        <f>VLOOKUP(NavDataRegion[[#This Row],[Spool No]],[1]Sheet2!$B:$U,20,0)</f>
        <v>3.8782000000000001</v>
      </c>
      <c r="O553" s="2">
        <v>1.5</v>
      </c>
      <c r="P553" s="2">
        <v>0.5</v>
      </c>
      <c r="Q553" s="2"/>
    </row>
    <row r="554" spans="1:17" ht="20.100000000000001" customHeight="1">
      <c r="A554" s="2" t="s">
        <v>9</v>
      </c>
      <c r="B554" s="2" t="s">
        <v>1349</v>
      </c>
      <c r="C554" s="2" t="s">
        <v>1931</v>
      </c>
      <c r="D554" s="2" t="e">
        <f>VLOOKUP(C:C,Vlookup!A:A,1,0)</f>
        <v>#N/A</v>
      </c>
      <c r="E554" s="2">
        <v>14</v>
      </c>
      <c r="F554" s="17" t="s">
        <v>10</v>
      </c>
      <c r="G554" s="17" t="s">
        <v>281</v>
      </c>
      <c r="H554" s="2" t="s">
        <v>11</v>
      </c>
      <c r="I554" s="2">
        <v>1</v>
      </c>
      <c r="J554" s="5">
        <v>46105</v>
      </c>
      <c r="K554" s="5">
        <v>46106</v>
      </c>
      <c r="L554" s="2" t="s">
        <v>865</v>
      </c>
      <c r="M554" s="5">
        <v>45754</v>
      </c>
      <c r="N554" s="3">
        <f>VLOOKUP(NavDataRegion[[#This Row],[Spool No]],[1]Sheet2!$B:$U,20,0)</f>
        <v>12.664960000000001</v>
      </c>
      <c r="O554" s="2">
        <v>2</v>
      </c>
      <c r="P554" s="2">
        <v>0.5</v>
      </c>
      <c r="Q554" s="2"/>
    </row>
    <row r="555" spans="1:17" ht="20.100000000000001" customHeight="1">
      <c r="A555" s="2" t="s">
        <v>9</v>
      </c>
      <c r="B555" s="2" t="s">
        <v>885</v>
      </c>
      <c r="C555" s="2" t="s">
        <v>886</v>
      </c>
      <c r="D555" s="2" t="e">
        <f>VLOOKUP(C:C,Vlookup!A:A,1,0)</f>
        <v>#N/A</v>
      </c>
      <c r="E555" s="2">
        <v>23</v>
      </c>
      <c r="F555" s="17" t="s">
        <v>10</v>
      </c>
      <c r="G555" s="17" t="s">
        <v>1946</v>
      </c>
      <c r="H555" s="2" t="s">
        <v>11</v>
      </c>
      <c r="I555" s="2">
        <v>1</v>
      </c>
      <c r="J555" s="5">
        <v>46135</v>
      </c>
      <c r="K555" s="5">
        <v>46136</v>
      </c>
      <c r="L555" s="2" t="s">
        <v>865</v>
      </c>
      <c r="M555" s="5">
        <v>46185</v>
      </c>
      <c r="N555" s="3">
        <f>VLOOKUP(NavDataRegion[[#This Row],[Spool No]],[1]Sheet2!$B:$U,20,0)</f>
        <v>15.118320000000001</v>
      </c>
      <c r="O555" s="2">
        <v>11.25</v>
      </c>
      <c r="P555" s="2">
        <v>0.75</v>
      </c>
      <c r="Q555" s="2"/>
    </row>
    <row r="556" spans="1:17" ht="20.100000000000001" customHeight="1">
      <c r="A556" s="2" t="s">
        <v>9</v>
      </c>
      <c r="B556" s="2" t="s">
        <v>887</v>
      </c>
      <c r="C556" s="2" t="s">
        <v>888</v>
      </c>
      <c r="D556" s="2" t="e">
        <f>VLOOKUP(C:C,Vlookup!A:A,1,0)</f>
        <v>#N/A</v>
      </c>
      <c r="E556" s="2">
        <v>23</v>
      </c>
      <c r="F556" s="17" t="s">
        <v>10</v>
      </c>
      <c r="G556" s="17" t="s">
        <v>1946</v>
      </c>
      <c r="H556" s="2" t="s">
        <v>11</v>
      </c>
      <c r="I556" s="2">
        <v>1</v>
      </c>
      <c r="J556" s="5">
        <v>46135</v>
      </c>
      <c r="K556" s="5">
        <v>46136</v>
      </c>
      <c r="L556" s="2" t="s">
        <v>865</v>
      </c>
      <c r="M556" s="5">
        <v>46185</v>
      </c>
      <c r="N556" s="3">
        <f>VLOOKUP(NavDataRegion[[#This Row],[Spool No]],[1]Sheet2!$B:$U,20,0)</f>
        <v>0.74021999999999999</v>
      </c>
      <c r="O556" s="2">
        <v>0</v>
      </c>
      <c r="P556" s="2">
        <v>0.75</v>
      </c>
      <c r="Q556" s="2"/>
    </row>
    <row r="557" spans="1:17" ht="20.100000000000001" customHeight="1">
      <c r="A557" s="2" t="s">
        <v>9</v>
      </c>
      <c r="B557" s="2" t="s">
        <v>923</v>
      </c>
      <c r="C557" s="2" t="s">
        <v>924</v>
      </c>
      <c r="D557" s="2" t="e">
        <f>VLOOKUP(C:C,Vlookup!A:A,1,0)</f>
        <v>#N/A</v>
      </c>
      <c r="E557" s="2">
        <v>14</v>
      </c>
      <c r="F557" s="17" t="s">
        <v>10</v>
      </c>
      <c r="G557" s="17" t="s">
        <v>25</v>
      </c>
      <c r="H557" s="2" t="s">
        <v>11</v>
      </c>
      <c r="I557" s="2">
        <v>1</v>
      </c>
      <c r="J557" s="5">
        <v>46093</v>
      </c>
      <c r="K557" s="5">
        <v>46094</v>
      </c>
      <c r="L557" s="2" t="s">
        <v>865</v>
      </c>
      <c r="M557" s="5">
        <v>45754</v>
      </c>
      <c r="N557" s="3">
        <f>VLOOKUP(NavDataRegion[[#This Row],[Spool No]],[1]Sheet2!$B:$U,20,0)</f>
        <v>25.898209999999999</v>
      </c>
      <c r="O557" s="2">
        <v>6</v>
      </c>
      <c r="P557" s="2">
        <v>2</v>
      </c>
      <c r="Q557" s="2"/>
    </row>
    <row r="558" spans="1:17" ht="20.100000000000001" customHeight="1">
      <c r="A558" s="2" t="s">
        <v>9</v>
      </c>
      <c r="B558" s="2" t="s">
        <v>889</v>
      </c>
      <c r="C558" s="2" t="s">
        <v>890</v>
      </c>
      <c r="D558" s="2" t="e">
        <f>VLOOKUP(C:C,Vlookup!A:A,1,0)</f>
        <v>#N/A</v>
      </c>
      <c r="E558" s="2">
        <v>23</v>
      </c>
      <c r="F558" s="17" t="s">
        <v>10</v>
      </c>
      <c r="G558" s="17" t="s">
        <v>1946</v>
      </c>
      <c r="H558" s="2" t="s">
        <v>11</v>
      </c>
      <c r="I558" s="2">
        <v>1</v>
      </c>
      <c r="J558" s="5">
        <v>46135</v>
      </c>
      <c r="K558" s="5">
        <v>46136</v>
      </c>
      <c r="L558" s="2" t="s">
        <v>865</v>
      </c>
      <c r="M558" s="5">
        <v>46185</v>
      </c>
      <c r="N558" s="3">
        <f>VLOOKUP(NavDataRegion[[#This Row],[Spool No]],[1]Sheet2!$B:$U,20,0)</f>
        <v>2.6956000000000002</v>
      </c>
      <c r="O558" s="2">
        <v>2.25</v>
      </c>
      <c r="P558" s="2">
        <v>0.75</v>
      </c>
      <c r="Q558" s="2"/>
    </row>
    <row r="559" spans="1:17" ht="20.100000000000001" customHeight="1">
      <c r="A559" s="2" t="s">
        <v>9</v>
      </c>
      <c r="B559" s="2" t="s">
        <v>891</v>
      </c>
      <c r="C559" s="2" t="s">
        <v>892</v>
      </c>
      <c r="D559" s="2" t="e">
        <f>VLOOKUP(C:C,Vlookup!A:A,1,0)</f>
        <v>#N/A</v>
      </c>
      <c r="E559" s="2">
        <v>23</v>
      </c>
      <c r="F559" s="17" t="s">
        <v>10</v>
      </c>
      <c r="G559" s="17" t="s">
        <v>1946</v>
      </c>
      <c r="H559" s="2" t="s">
        <v>11</v>
      </c>
      <c r="I559" s="2">
        <v>1</v>
      </c>
      <c r="J559" s="5">
        <v>46135</v>
      </c>
      <c r="K559" s="5">
        <v>46136</v>
      </c>
      <c r="L559" s="2" t="s">
        <v>865</v>
      </c>
      <c r="M559" s="5">
        <v>46185</v>
      </c>
      <c r="N559" s="3">
        <f>VLOOKUP(NavDataRegion[[#This Row],[Spool No]],[1]Sheet2!$B:$U,20,0)</f>
        <v>0.74021999999999999</v>
      </c>
      <c r="O559" s="2">
        <v>0</v>
      </c>
      <c r="P559" s="2">
        <v>0.75</v>
      </c>
      <c r="Q559" s="2"/>
    </row>
    <row r="560" spans="1:17" ht="20.100000000000001" customHeight="1">
      <c r="A560" s="2" t="s">
        <v>9</v>
      </c>
      <c r="B560" s="2" t="s">
        <v>893</v>
      </c>
      <c r="C560" s="2" t="s">
        <v>894</v>
      </c>
      <c r="D560" s="2" t="e">
        <f>VLOOKUP(C:C,Vlookup!A:A,1,0)</f>
        <v>#N/A</v>
      </c>
      <c r="E560" s="2">
        <v>23</v>
      </c>
      <c r="F560" s="17" t="s">
        <v>10</v>
      </c>
      <c r="G560" s="17" t="s">
        <v>1946</v>
      </c>
      <c r="H560" s="2" t="s">
        <v>11</v>
      </c>
      <c r="I560" s="2">
        <v>1</v>
      </c>
      <c r="J560" s="5">
        <v>46135</v>
      </c>
      <c r="K560" s="5">
        <v>46136</v>
      </c>
      <c r="L560" s="2" t="s">
        <v>865</v>
      </c>
      <c r="M560" s="5">
        <v>46185</v>
      </c>
      <c r="N560" s="3">
        <f>VLOOKUP(NavDataRegion[[#This Row],[Spool No]],[1]Sheet2!$B:$U,20,0)</f>
        <v>7.9785399999999997</v>
      </c>
      <c r="O560" s="2">
        <v>3</v>
      </c>
      <c r="P560" s="2">
        <v>0.75</v>
      </c>
      <c r="Q560" s="2"/>
    </row>
    <row r="561" spans="1:17" ht="20.100000000000001" customHeight="1">
      <c r="A561" s="2" t="s">
        <v>9</v>
      </c>
      <c r="B561" s="2" t="s">
        <v>925</v>
      </c>
      <c r="C561" s="2" t="s">
        <v>1470</v>
      </c>
      <c r="D561" s="2" t="e">
        <f>VLOOKUP(C:C,Vlookup!A:A,1,0)</f>
        <v>#N/A</v>
      </c>
      <c r="E561" s="2">
        <v>14</v>
      </c>
      <c r="F561" s="17" t="s">
        <v>10</v>
      </c>
      <c r="G561" s="17" t="s">
        <v>25</v>
      </c>
      <c r="H561" s="2" t="s">
        <v>11</v>
      </c>
      <c r="I561" s="2">
        <v>1</v>
      </c>
      <c r="J561" s="5">
        <v>46093</v>
      </c>
      <c r="K561" s="5">
        <v>46094</v>
      </c>
      <c r="L561" s="2" t="s">
        <v>865</v>
      </c>
      <c r="M561" s="5">
        <v>45754</v>
      </c>
      <c r="N561" s="3">
        <f>VLOOKUP(NavDataRegion[[#This Row],[Spool No]],[1]Sheet2!$B:$U,20,0)</f>
        <v>30.66968</v>
      </c>
      <c r="O561" s="2">
        <v>6</v>
      </c>
      <c r="P561" s="2">
        <v>2</v>
      </c>
      <c r="Q561" s="2"/>
    </row>
    <row r="562" spans="1:17" ht="20.100000000000001" customHeight="1">
      <c r="A562" s="2" t="s">
        <v>9</v>
      </c>
      <c r="B562" s="2" t="s">
        <v>925</v>
      </c>
      <c r="C562" s="2" t="s">
        <v>1787</v>
      </c>
      <c r="D562" s="2" t="e">
        <f>VLOOKUP(C:C,Vlookup!A:A,1,0)</f>
        <v>#N/A</v>
      </c>
      <c r="E562" s="2">
        <v>14</v>
      </c>
      <c r="F562" s="17" t="s">
        <v>10</v>
      </c>
      <c r="G562" s="17" t="s">
        <v>25</v>
      </c>
      <c r="H562" s="2" t="s">
        <v>11</v>
      </c>
      <c r="I562" s="2">
        <v>1</v>
      </c>
      <c r="J562" s="5">
        <v>46093</v>
      </c>
      <c r="K562" s="5">
        <v>46094</v>
      </c>
      <c r="L562" s="2" t="s">
        <v>865</v>
      </c>
      <c r="M562" s="5">
        <v>45754</v>
      </c>
      <c r="N562" s="3">
        <f>VLOOKUP(NavDataRegion[[#This Row],[Spool No]],[1]Sheet2!$B:$U,20,0)</f>
        <v>40.519799999999996</v>
      </c>
      <c r="O562" s="2">
        <v>6</v>
      </c>
      <c r="P562" s="2">
        <v>2</v>
      </c>
      <c r="Q562" s="2"/>
    </row>
    <row r="563" spans="1:17" ht="20.100000000000001" customHeight="1">
      <c r="A563" s="2" t="s">
        <v>9</v>
      </c>
      <c r="B563" s="2" t="s">
        <v>929</v>
      </c>
      <c r="C563" s="2" t="s">
        <v>1471</v>
      </c>
      <c r="D563" s="2" t="e">
        <f>VLOOKUP(C:C,Vlookup!A:A,1,0)</f>
        <v>#N/A</v>
      </c>
      <c r="E563" s="2">
        <v>14</v>
      </c>
      <c r="F563" s="17" t="s">
        <v>10</v>
      </c>
      <c r="G563" s="17" t="s">
        <v>25</v>
      </c>
      <c r="H563" s="2" t="s">
        <v>11</v>
      </c>
      <c r="I563" s="2">
        <v>1</v>
      </c>
      <c r="J563" s="5">
        <v>46093</v>
      </c>
      <c r="K563" s="5">
        <v>46094</v>
      </c>
      <c r="L563" s="2" t="s">
        <v>865</v>
      </c>
      <c r="M563" s="5">
        <v>45754</v>
      </c>
      <c r="N563" s="3">
        <f>VLOOKUP(NavDataRegion[[#This Row],[Spool No]],[1]Sheet2!$B:$U,20,0)</f>
        <v>8.5565999999999995</v>
      </c>
      <c r="O563" s="2">
        <v>0.75</v>
      </c>
      <c r="P563" s="2">
        <v>0.75</v>
      </c>
      <c r="Q563" s="2"/>
    </row>
    <row r="564" spans="1:17" ht="20.100000000000001" customHeight="1">
      <c r="A564" s="2" t="s">
        <v>9</v>
      </c>
      <c r="B564" s="2" t="s">
        <v>931</v>
      </c>
      <c r="C564" s="2" t="s">
        <v>932</v>
      </c>
      <c r="D564" s="2" t="e">
        <f>VLOOKUP(C:C,Vlookup!A:A,1,0)</f>
        <v>#N/A</v>
      </c>
      <c r="E564" s="2">
        <v>14</v>
      </c>
      <c r="F564" s="17" t="s">
        <v>10</v>
      </c>
      <c r="G564" s="17" t="s">
        <v>25</v>
      </c>
      <c r="H564" s="2" t="s">
        <v>11</v>
      </c>
      <c r="I564" s="2">
        <v>1</v>
      </c>
      <c r="J564" s="5">
        <v>46093</v>
      </c>
      <c r="K564" s="5">
        <v>46094</v>
      </c>
      <c r="L564" s="2" t="s">
        <v>865</v>
      </c>
      <c r="M564" s="5">
        <v>45754</v>
      </c>
      <c r="N564" s="3">
        <f>VLOOKUP(NavDataRegion[[#This Row],[Spool No]],[1]Sheet2!$B:$U,20,0)</f>
        <v>10.327920000000001</v>
      </c>
      <c r="O564" s="2">
        <v>4</v>
      </c>
      <c r="P564" s="2">
        <v>1</v>
      </c>
      <c r="Q564" s="2"/>
    </row>
    <row r="565" spans="1:17" ht="20.100000000000001" customHeight="1">
      <c r="A565" s="2" t="s">
        <v>9</v>
      </c>
      <c r="B565" s="2" t="s">
        <v>931</v>
      </c>
      <c r="C565" s="2" t="s">
        <v>1663</v>
      </c>
      <c r="D565" s="2" t="e">
        <f>VLOOKUP(C:C,Vlookup!A:A,1,0)</f>
        <v>#N/A</v>
      </c>
      <c r="E565" s="2">
        <v>14</v>
      </c>
      <c r="F565" s="17" t="s">
        <v>10</v>
      </c>
      <c r="G565" s="17" t="s">
        <v>25</v>
      </c>
      <c r="H565" s="2" t="s">
        <v>11</v>
      </c>
      <c r="I565" s="2">
        <v>1</v>
      </c>
      <c r="J565" s="5">
        <v>46093</v>
      </c>
      <c r="K565" s="5">
        <v>46094</v>
      </c>
      <c r="L565" s="2" t="s">
        <v>865</v>
      </c>
      <c r="M565" s="5">
        <v>45754</v>
      </c>
      <c r="N565" s="3">
        <f>VLOOKUP(NavDataRegion[[#This Row],[Spool No]],[1]Sheet2!$B:$U,20,0)</f>
        <v>14.07504</v>
      </c>
      <c r="O565" s="2">
        <v>1</v>
      </c>
      <c r="P565" s="2">
        <v>1</v>
      </c>
      <c r="Q565" s="2"/>
    </row>
    <row r="566" spans="1:17" ht="20.100000000000001" customHeight="1">
      <c r="A566" s="2" t="s">
        <v>9</v>
      </c>
      <c r="B566" s="2" t="s">
        <v>933</v>
      </c>
      <c r="C566" s="2" t="s">
        <v>934</v>
      </c>
      <c r="D566" s="2" t="e">
        <f>VLOOKUP(C:C,Vlookup!A:A,1,0)</f>
        <v>#N/A</v>
      </c>
      <c r="E566" s="2">
        <v>14</v>
      </c>
      <c r="F566" s="17" t="s">
        <v>10</v>
      </c>
      <c r="G566" s="17" t="s">
        <v>25</v>
      </c>
      <c r="H566" s="2" t="s">
        <v>11</v>
      </c>
      <c r="I566" s="2">
        <v>1</v>
      </c>
      <c r="J566" s="5">
        <v>46093</v>
      </c>
      <c r="K566" s="5">
        <v>46094</v>
      </c>
      <c r="L566" s="2" t="s">
        <v>865</v>
      </c>
      <c r="M566" s="5">
        <v>45754</v>
      </c>
      <c r="N566" s="3">
        <f>VLOOKUP(NavDataRegion[[#This Row],[Spool No]],[1]Sheet2!$B:$U,20,0)</f>
        <v>10.75188</v>
      </c>
      <c r="O566" s="2">
        <v>3</v>
      </c>
      <c r="P566" s="2">
        <v>1</v>
      </c>
      <c r="Q566" s="2"/>
    </row>
    <row r="567" spans="1:17" ht="20.100000000000001" customHeight="1">
      <c r="A567" s="2" t="s">
        <v>9</v>
      </c>
      <c r="B567" s="2" t="s">
        <v>933</v>
      </c>
      <c r="C567" s="2" t="s">
        <v>1664</v>
      </c>
      <c r="D567" s="2" t="e">
        <f>VLOOKUP(C:C,Vlookup!A:A,1,0)</f>
        <v>#N/A</v>
      </c>
      <c r="E567" s="2">
        <v>14</v>
      </c>
      <c r="F567" s="17" t="s">
        <v>10</v>
      </c>
      <c r="G567" s="17" t="s">
        <v>25</v>
      </c>
      <c r="H567" s="2" t="s">
        <v>11</v>
      </c>
      <c r="I567" s="2">
        <v>1</v>
      </c>
      <c r="J567" s="5">
        <v>46093</v>
      </c>
      <c r="K567" s="5">
        <v>46094</v>
      </c>
      <c r="L567" s="2" t="s">
        <v>865</v>
      </c>
      <c r="M567" s="5">
        <v>45754</v>
      </c>
      <c r="N567" s="3">
        <f>VLOOKUP(NavDataRegion[[#This Row],[Spool No]],[1]Sheet2!$B:$U,20,0)</f>
        <v>16.171320000000001</v>
      </c>
      <c r="O567" s="2">
        <v>1</v>
      </c>
      <c r="P567" s="2">
        <v>1</v>
      </c>
      <c r="Q567" s="2"/>
    </row>
    <row r="568" spans="1:17" ht="20.100000000000001" customHeight="1">
      <c r="A568" s="2" t="s">
        <v>9</v>
      </c>
      <c r="B568" s="2" t="s">
        <v>901</v>
      </c>
      <c r="C568" s="2" t="s">
        <v>902</v>
      </c>
      <c r="D568" s="2" t="e">
        <f>VLOOKUP(C:C,Vlookup!A:A,1,0)</f>
        <v>#N/A</v>
      </c>
      <c r="E568" s="2">
        <v>14</v>
      </c>
      <c r="F568" s="17" t="s">
        <v>10</v>
      </c>
      <c r="G568" s="17" t="s">
        <v>281</v>
      </c>
      <c r="H568" s="2" t="s">
        <v>11</v>
      </c>
      <c r="I568" s="2">
        <v>1</v>
      </c>
      <c r="J568" s="5">
        <v>46105</v>
      </c>
      <c r="K568" s="5">
        <v>46106</v>
      </c>
      <c r="L568" s="2" t="s">
        <v>865</v>
      </c>
      <c r="M568" s="5">
        <v>45754</v>
      </c>
      <c r="N568" s="3">
        <f>VLOOKUP(NavDataRegion[[#This Row],[Spool No]],[1]Sheet2!$B:$U,20,0)</f>
        <v>9.8423999999999996</v>
      </c>
      <c r="O568" s="2">
        <v>3.75</v>
      </c>
      <c r="P568" s="2">
        <v>0.75</v>
      </c>
      <c r="Q568" s="2"/>
    </row>
    <row r="569" spans="1:17" ht="20.100000000000001" customHeight="1">
      <c r="A569" s="2" t="s">
        <v>9</v>
      </c>
      <c r="B569" s="2" t="s">
        <v>945</v>
      </c>
      <c r="C569" s="2" t="s">
        <v>946</v>
      </c>
      <c r="D569" s="2" t="e">
        <f>VLOOKUP(C:C,Vlookup!A:A,1,0)</f>
        <v>#N/A</v>
      </c>
      <c r="E569" s="2">
        <v>14</v>
      </c>
      <c r="F569" s="17" t="s">
        <v>10</v>
      </c>
      <c r="G569" s="17" t="s">
        <v>25</v>
      </c>
      <c r="H569" s="2" t="s">
        <v>11</v>
      </c>
      <c r="I569" s="2">
        <v>1</v>
      </c>
      <c r="J569" s="5">
        <v>46100</v>
      </c>
      <c r="K569" s="5">
        <v>46101</v>
      </c>
      <c r="L569" s="2" t="s">
        <v>865</v>
      </c>
      <c r="M569" s="5">
        <v>45754</v>
      </c>
      <c r="N569" s="3">
        <f>VLOOKUP(NavDataRegion[[#This Row],[Spool No]],[1]Sheet2!$B:$U,20,0)</f>
        <v>17.710599999999999</v>
      </c>
      <c r="O569" s="2">
        <v>5.25</v>
      </c>
      <c r="P569" s="2">
        <v>0.75</v>
      </c>
      <c r="Q569" s="2"/>
    </row>
    <row r="570" spans="1:17" ht="20.100000000000001" customHeight="1">
      <c r="A570" s="2" t="s">
        <v>9</v>
      </c>
      <c r="B570" s="2" t="s">
        <v>1101</v>
      </c>
      <c r="C570" s="2" t="s">
        <v>1707</v>
      </c>
      <c r="D570" s="2" t="e">
        <f>VLOOKUP(C:C,Vlookup!A:A,1,0)</f>
        <v>#N/A</v>
      </c>
      <c r="E570" s="2">
        <v>14</v>
      </c>
      <c r="F570" s="17" t="s">
        <v>10</v>
      </c>
      <c r="G570" s="17" t="s">
        <v>25</v>
      </c>
      <c r="H570" s="2" t="s">
        <v>11</v>
      </c>
      <c r="I570" s="2">
        <v>1</v>
      </c>
      <c r="J570" s="5">
        <v>46098</v>
      </c>
      <c r="K570" s="5">
        <v>46099</v>
      </c>
      <c r="L570" s="2" t="s">
        <v>865</v>
      </c>
      <c r="M570" s="5">
        <v>45754</v>
      </c>
      <c r="N570" s="3">
        <f>VLOOKUP(NavDataRegion[[#This Row],[Spool No]],[1]Sheet2!$B:$U,20,0)</f>
        <v>2.28566</v>
      </c>
      <c r="O570" s="2">
        <v>1.5</v>
      </c>
      <c r="P570" s="2">
        <v>0.5</v>
      </c>
      <c r="Q570" s="2"/>
    </row>
    <row r="571" spans="1:17" ht="20.100000000000001" customHeight="1">
      <c r="A571" s="2" t="s">
        <v>9</v>
      </c>
      <c r="B571" s="2" t="s">
        <v>933</v>
      </c>
      <c r="C571" s="2" t="s">
        <v>1789</v>
      </c>
      <c r="D571" s="2" t="e">
        <f>VLOOKUP(C:C,Vlookup!A:A,1,0)</f>
        <v>#N/A</v>
      </c>
      <c r="E571" s="2">
        <v>14</v>
      </c>
      <c r="F571" s="17" t="s">
        <v>10</v>
      </c>
      <c r="G571" s="17" t="s">
        <v>25</v>
      </c>
      <c r="H571" s="2" t="s">
        <v>11</v>
      </c>
      <c r="I571" s="2">
        <v>1</v>
      </c>
      <c r="J571" s="5">
        <v>46093</v>
      </c>
      <c r="K571" s="5">
        <v>46094</v>
      </c>
      <c r="L571" s="2" t="s">
        <v>865</v>
      </c>
      <c r="M571" s="5">
        <v>45754</v>
      </c>
      <c r="N571" s="3">
        <f>VLOOKUP(NavDataRegion[[#This Row],[Spool No]],[1]Sheet2!$B:$U,20,0)</f>
        <v>8.2689599999999999</v>
      </c>
      <c r="O571" s="2">
        <v>1</v>
      </c>
      <c r="P571" s="2">
        <v>1</v>
      </c>
      <c r="Q571" s="2"/>
    </row>
    <row r="572" spans="1:17" ht="20.100000000000001" customHeight="1">
      <c r="A572" s="2" t="s">
        <v>9</v>
      </c>
      <c r="B572" s="2" t="s">
        <v>935</v>
      </c>
      <c r="C572" s="2" t="s">
        <v>936</v>
      </c>
      <c r="D572" s="2" t="e">
        <f>VLOOKUP(C:C,Vlookup!A:A,1,0)</f>
        <v>#N/A</v>
      </c>
      <c r="E572" s="2">
        <v>14</v>
      </c>
      <c r="F572" s="17" t="s">
        <v>10</v>
      </c>
      <c r="G572" s="17" t="s">
        <v>25</v>
      </c>
      <c r="H572" s="2" t="s">
        <v>11</v>
      </c>
      <c r="I572" s="2">
        <v>1</v>
      </c>
      <c r="J572" s="5">
        <v>46093</v>
      </c>
      <c r="K572" s="5">
        <v>46094</v>
      </c>
      <c r="L572" s="2" t="s">
        <v>865</v>
      </c>
      <c r="M572" s="5">
        <v>45754</v>
      </c>
      <c r="N572" s="3">
        <f>VLOOKUP(NavDataRegion[[#This Row],[Spool No]],[1]Sheet2!$B:$U,20,0)</f>
        <v>9.4364399999999993</v>
      </c>
      <c r="O572" s="2">
        <v>3</v>
      </c>
      <c r="P572" s="2">
        <v>1</v>
      </c>
      <c r="Q572" s="2"/>
    </row>
    <row r="573" spans="1:17" ht="20.100000000000001" customHeight="1">
      <c r="A573" s="2" t="s">
        <v>9</v>
      </c>
      <c r="B573" s="2" t="s">
        <v>935</v>
      </c>
      <c r="C573" s="2" t="s">
        <v>1665</v>
      </c>
      <c r="D573" s="2" t="e">
        <f>VLOOKUP(C:C,Vlookup!A:A,1,0)</f>
        <v>#N/A</v>
      </c>
      <c r="E573" s="2">
        <v>14</v>
      </c>
      <c r="F573" s="17" t="s">
        <v>10</v>
      </c>
      <c r="G573" s="17" t="s">
        <v>25</v>
      </c>
      <c r="H573" s="2" t="s">
        <v>11</v>
      </c>
      <c r="I573" s="2">
        <v>1</v>
      </c>
      <c r="J573" s="5">
        <v>46093</v>
      </c>
      <c r="K573" s="5">
        <v>46094</v>
      </c>
      <c r="L573" s="2" t="s">
        <v>865</v>
      </c>
      <c r="M573" s="5">
        <v>45754</v>
      </c>
      <c r="N573" s="3">
        <f>VLOOKUP(NavDataRegion[[#This Row],[Spool No]],[1]Sheet2!$B:$U,20,0)</f>
        <v>15.76032</v>
      </c>
      <c r="O573" s="2">
        <v>3</v>
      </c>
      <c r="P573" s="2">
        <v>1</v>
      </c>
      <c r="Q573" s="2"/>
    </row>
    <row r="574" spans="1:17" ht="20.100000000000001" customHeight="1">
      <c r="A574" s="2" t="s">
        <v>9</v>
      </c>
      <c r="B574" s="2" t="s">
        <v>1021</v>
      </c>
      <c r="C574" s="2" t="s">
        <v>1022</v>
      </c>
      <c r="D574" s="2" t="e">
        <f>VLOOKUP(C:C,Vlookup!A:A,1,0)</f>
        <v>#N/A</v>
      </c>
      <c r="E574" s="2">
        <v>14</v>
      </c>
      <c r="F574" s="17" t="s">
        <v>10</v>
      </c>
      <c r="G574" s="17" t="s">
        <v>25</v>
      </c>
      <c r="H574" s="2" t="s">
        <v>11</v>
      </c>
      <c r="I574" s="2">
        <v>1</v>
      </c>
      <c r="J574" s="5">
        <v>46106</v>
      </c>
      <c r="K574" s="5">
        <v>46106</v>
      </c>
      <c r="L574" s="2" t="s">
        <v>865</v>
      </c>
      <c r="M574" s="5">
        <v>45754</v>
      </c>
      <c r="N574" s="3">
        <f>VLOOKUP(NavDataRegion[[#This Row],[Spool No]],[1]Sheet2!$B:$U,20,0)</f>
        <v>17.220800000000001</v>
      </c>
      <c r="O574" s="2">
        <v>3.75</v>
      </c>
      <c r="P574" s="2">
        <v>0.75</v>
      </c>
      <c r="Q574" s="2"/>
    </row>
    <row r="575" spans="1:17" ht="20.100000000000001" customHeight="1">
      <c r="A575" s="2" t="s">
        <v>9</v>
      </c>
      <c r="B575" s="2" t="s">
        <v>935</v>
      </c>
      <c r="C575" s="2" t="s">
        <v>1790</v>
      </c>
      <c r="D575" s="2" t="e">
        <f>VLOOKUP(C:C,Vlookup!A:A,1,0)</f>
        <v>#N/A</v>
      </c>
      <c r="E575" s="2">
        <v>14</v>
      </c>
      <c r="F575" s="17" t="s">
        <v>10</v>
      </c>
      <c r="G575" s="17" t="s">
        <v>25</v>
      </c>
      <c r="H575" s="2" t="s">
        <v>11</v>
      </c>
      <c r="I575" s="2">
        <v>1</v>
      </c>
      <c r="J575" s="5">
        <v>46093</v>
      </c>
      <c r="K575" s="5">
        <v>46094</v>
      </c>
      <c r="L575" s="2" t="s">
        <v>865</v>
      </c>
      <c r="M575" s="5">
        <v>45754</v>
      </c>
      <c r="N575" s="3">
        <f>VLOOKUP(NavDataRegion[[#This Row],[Spool No]],[1]Sheet2!$B:$U,20,0)</f>
        <v>9.8500800000000002</v>
      </c>
      <c r="O575" s="2">
        <v>2</v>
      </c>
      <c r="P575" s="2">
        <v>1</v>
      </c>
      <c r="Q575" s="2"/>
    </row>
    <row r="576" spans="1:17" ht="20.100000000000001" customHeight="1">
      <c r="A576" s="2" t="s">
        <v>9</v>
      </c>
      <c r="B576" s="2" t="s">
        <v>1023</v>
      </c>
      <c r="C576" s="2" t="s">
        <v>1024</v>
      </c>
      <c r="D576" s="2" t="e">
        <f>VLOOKUP(C:C,Vlookup!A:A,1,0)</f>
        <v>#N/A</v>
      </c>
      <c r="E576" s="2">
        <v>14</v>
      </c>
      <c r="F576" s="17" t="s">
        <v>10</v>
      </c>
      <c r="G576" s="17" t="s">
        <v>25</v>
      </c>
      <c r="H576" s="2" t="s">
        <v>11</v>
      </c>
      <c r="I576" s="2">
        <v>1</v>
      </c>
      <c r="J576" s="5">
        <v>46105</v>
      </c>
      <c r="K576" s="5">
        <v>46106</v>
      </c>
      <c r="L576" s="2" t="s">
        <v>865</v>
      </c>
      <c r="M576" s="5">
        <v>45754</v>
      </c>
      <c r="N576" s="3">
        <f>VLOOKUP(NavDataRegion[[#This Row],[Spool No]],[1]Sheet2!$B:$U,20,0)</f>
        <v>17.218599999999999</v>
      </c>
      <c r="O576" s="2">
        <v>3.75</v>
      </c>
      <c r="P576" s="2">
        <v>0.75</v>
      </c>
      <c r="Q576" s="2"/>
    </row>
    <row r="577" spans="1:17" ht="20.100000000000001" customHeight="1">
      <c r="A577" s="2" t="s">
        <v>9</v>
      </c>
      <c r="B577" s="2" t="s">
        <v>983</v>
      </c>
      <c r="C577" s="2" t="s">
        <v>1684</v>
      </c>
      <c r="D577" s="2" t="e">
        <f>VLOOKUP(C:C,Vlookup!A:A,1,0)</f>
        <v>#N/A</v>
      </c>
      <c r="E577" s="2">
        <v>14</v>
      </c>
      <c r="F577" s="17" t="s">
        <v>10</v>
      </c>
      <c r="G577" s="17" t="s">
        <v>25</v>
      </c>
      <c r="H577" s="2" t="s">
        <v>11</v>
      </c>
      <c r="I577" s="2">
        <v>1</v>
      </c>
      <c r="J577" s="5">
        <v>46100</v>
      </c>
      <c r="K577" s="5">
        <v>46101</v>
      </c>
      <c r="L577" s="2" t="s">
        <v>865</v>
      </c>
      <c r="M577" s="5">
        <v>45754</v>
      </c>
      <c r="N577" s="3">
        <f>VLOOKUP(NavDataRegion[[#This Row],[Spool No]],[1]Sheet2!$B:$U,20,0)</f>
        <v>8.5635999999999992</v>
      </c>
      <c r="O577" s="2">
        <v>1.5</v>
      </c>
      <c r="P577" s="2">
        <v>0.75</v>
      </c>
      <c r="Q577" s="2"/>
    </row>
    <row r="578" spans="1:17" ht="20.100000000000001" customHeight="1">
      <c r="A578" s="2" t="s">
        <v>9</v>
      </c>
      <c r="B578" s="2" t="s">
        <v>1031</v>
      </c>
      <c r="C578" s="2" t="s">
        <v>1032</v>
      </c>
      <c r="D578" s="2" t="e">
        <f>VLOOKUP(C:C,Vlookup!A:A,1,0)</f>
        <v>#N/A</v>
      </c>
      <c r="E578" s="2">
        <v>14</v>
      </c>
      <c r="F578" s="17" t="s">
        <v>10</v>
      </c>
      <c r="G578" s="17" t="s">
        <v>25</v>
      </c>
      <c r="H578" s="2" t="s">
        <v>11</v>
      </c>
      <c r="I578" s="2">
        <v>1</v>
      </c>
      <c r="J578" s="5">
        <v>46105</v>
      </c>
      <c r="K578" s="5">
        <v>46106</v>
      </c>
      <c r="L578" s="2" t="s">
        <v>865</v>
      </c>
      <c r="M578" s="5">
        <v>45754</v>
      </c>
      <c r="N578" s="3">
        <f>VLOOKUP(NavDataRegion[[#This Row],[Spool No]],[1]Sheet2!$B:$U,20,0)</f>
        <v>17.307600000000001</v>
      </c>
      <c r="O578" s="2">
        <v>3.75</v>
      </c>
      <c r="P578" s="2">
        <v>0.75</v>
      </c>
      <c r="Q578" s="2"/>
    </row>
    <row r="579" spans="1:17" ht="20.100000000000001" customHeight="1">
      <c r="A579" s="2" t="s">
        <v>9</v>
      </c>
      <c r="B579" s="2" t="s">
        <v>1033</v>
      </c>
      <c r="C579" s="2" t="s">
        <v>1034</v>
      </c>
      <c r="D579" s="2" t="e">
        <f>VLOOKUP(C:C,Vlookup!A:A,1,0)</f>
        <v>#N/A</v>
      </c>
      <c r="E579" s="2">
        <v>14</v>
      </c>
      <c r="F579" s="17" t="s">
        <v>10</v>
      </c>
      <c r="G579" s="17" t="s">
        <v>25</v>
      </c>
      <c r="H579" s="2" t="s">
        <v>11</v>
      </c>
      <c r="I579" s="2">
        <v>1</v>
      </c>
      <c r="J579" s="5">
        <v>46105</v>
      </c>
      <c r="K579" s="5">
        <v>46106</v>
      </c>
      <c r="L579" s="2" t="s">
        <v>865</v>
      </c>
      <c r="M579" s="5">
        <v>45754</v>
      </c>
      <c r="N579" s="3">
        <f>VLOOKUP(NavDataRegion[[#This Row],[Spool No]],[1]Sheet2!$B:$U,20,0)</f>
        <v>17.312000000000001</v>
      </c>
      <c r="O579" s="2">
        <v>3.75</v>
      </c>
      <c r="P579" s="2">
        <v>0.75</v>
      </c>
      <c r="Q579" s="2"/>
    </row>
    <row r="580" spans="1:17" ht="20.100000000000001" customHeight="1">
      <c r="A580" s="2" t="s">
        <v>9</v>
      </c>
      <c r="B580" s="2" t="s">
        <v>1049</v>
      </c>
      <c r="C580" s="2" t="s">
        <v>1050</v>
      </c>
      <c r="D580" s="2" t="e">
        <f>VLOOKUP(C:C,Vlookup!A:A,1,0)</f>
        <v>#N/A</v>
      </c>
      <c r="E580" s="2">
        <v>14</v>
      </c>
      <c r="F580" s="17" t="s">
        <v>10</v>
      </c>
      <c r="G580" s="17" t="s">
        <v>25</v>
      </c>
      <c r="H580" s="2" t="s">
        <v>11</v>
      </c>
      <c r="I580" s="2">
        <v>1</v>
      </c>
      <c r="J580" s="5">
        <v>46106</v>
      </c>
      <c r="K580" s="5">
        <v>46106</v>
      </c>
      <c r="L580" s="2" t="s">
        <v>865</v>
      </c>
      <c r="M580" s="5">
        <v>45754</v>
      </c>
      <c r="N580" s="3">
        <f>VLOOKUP(NavDataRegion[[#This Row],[Spool No]],[1]Sheet2!$B:$U,20,0)</f>
        <v>17.183599999999998</v>
      </c>
      <c r="O580" s="2">
        <v>2.25</v>
      </c>
      <c r="P580" s="2">
        <v>0.75</v>
      </c>
      <c r="Q580" s="2"/>
    </row>
    <row r="581" spans="1:17" ht="20.100000000000001" customHeight="1">
      <c r="A581" s="2" t="s">
        <v>9</v>
      </c>
      <c r="B581" s="2" t="s">
        <v>937</v>
      </c>
      <c r="C581" s="2" t="s">
        <v>938</v>
      </c>
      <c r="D581" s="2" t="e">
        <f>VLOOKUP(C:C,Vlookup!A:A,1,0)</f>
        <v>#N/A</v>
      </c>
      <c r="E581" s="2">
        <v>14</v>
      </c>
      <c r="F581" s="17" t="s">
        <v>10</v>
      </c>
      <c r="G581" s="17" t="s">
        <v>25</v>
      </c>
      <c r="H581" s="2" t="s">
        <v>11</v>
      </c>
      <c r="I581" s="2">
        <v>1</v>
      </c>
      <c r="J581" s="5">
        <v>46093</v>
      </c>
      <c r="K581" s="5">
        <v>46094</v>
      </c>
      <c r="L581" s="2" t="s">
        <v>865</v>
      </c>
      <c r="M581" s="5">
        <v>45754</v>
      </c>
      <c r="N581" s="3">
        <f>VLOOKUP(NavDataRegion[[#This Row],[Spool No]],[1]Sheet2!$B:$U,20,0)</f>
        <v>8.7754799999999999</v>
      </c>
      <c r="O581" s="2">
        <v>3</v>
      </c>
      <c r="P581" s="2">
        <v>1</v>
      </c>
      <c r="Q581" s="2"/>
    </row>
    <row r="582" spans="1:17" ht="20.100000000000001" customHeight="1">
      <c r="A582" s="2" t="s">
        <v>9</v>
      </c>
      <c r="B582" s="2" t="s">
        <v>937</v>
      </c>
      <c r="C582" s="2" t="s">
        <v>1666</v>
      </c>
      <c r="D582" s="2" t="e">
        <f>VLOOKUP(C:C,Vlookup!A:A,1,0)</f>
        <v>#N/A</v>
      </c>
      <c r="E582" s="2">
        <v>14</v>
      </c>
      <c r="F582" s="17" t="s">
        <v>10</v>
      </c>
      <c r="G582" s="17" t="s">
        <v>25</v>
      </c>
      <c r="H582" s="2" t="s">
        <v>11</v>
      </c>
      <c r="I582" s="2">
        <v>1</v>
      </c>
      <c r="J582" s="5">
        <v>46093</v>
      </c>
      <c r="K582" s="5">
        <v>46094</v>
      </c>
      <c r="L582" s="2" t="s">
        <v>865</v>
      </c>
      <c r="M582" s="5">
        <v>45754</v>
      </c>
      <c r="N582" s="3">
        <f>VLOOKUP(NavDataRegion[[#This Row],[Spool No]],[1]Sheet2!$B:$U,20,0)</f>
        <v>13.699680000000001</v>
      </c>
      <c r="O582" s="2">
        <v>3</v>
      </c>
      <c r="P582" s="2">
        <v>1</v>
      </c>
      <c r="Q582" s="2"/>
    </row>
    <row r="583" spans="1:17" ht="20.100000000000001" customHeight="1">
      <c r="A583" s="2" t="s">
        <v>9</v>
      </c>
      <c r="B583" s="2" t="s">
        <v>939</v>
      </c>
      <c r="C583" s="2" t="s">
        <v>940</v>
      </c>
      <c r="D583" s="2" t="e">
        <f>VLOOKUP(C:C,Vlookup!A:A,1,0)</f>
        <v>#N/A</v>
      </c>
      <c r="E583" s="2">
        <v>14</v>
      </c>
      <c r="F583" s="17" t="s">
        <v>10</v>
      </c>
      <c r="G583" s="17" t="s">
        <v>25</v>
      </c>
      <c r="H583" s="2" t="s">
        <v>11</v>
      </c>
      <c r="I583" s="2">
        <v>1</v>
      </c>
      <c r="J583" s="5">
        <v>46093</v>
      </c>
      <c r="K583" s="5">
        <v>46094</v>
      </c>
      <c r="L583" s="2" t="s">
        <v>865</v>
      </c>
      <c r="M583" s="5">
        <v>45754</v>
      </c>
      <c r="N583" s="3">
        <f>VLOOKUP(NavDataRegion[[#This Row],[Spool No]],[1]Sheet2!$B:$U,20,0)</f>
        <v>10.46724</v>
      </c>
      <c r="O583" s="2">
        <v>5</v>
      </c>
      <c r="P583" s="2">
        <v>1</v>
      </c>
      <c r="Q583" s="2"/>
    </row>
    <row r="584" spans="1:17" ht="20.100000000000001" customHeight="1">
      <c r="A584" s="2" t="s">
        <v>9</v>
      </c>
      <c r="B584" s="2" t="s">
        <v>1053</v>
      </c>
      <c r="C584" s="2" t="s">
        <v>1054</v>
      </c>
      <c r="D584" s="2" t="e">
        <f>VLOOKUP(C:C,Vlookup!A:A,1,0)</f>
        <v>#N/A</v>
      </c>
      <c r="E584" s="2">
        <v>14</v>
      </c>
      <c r="F584" s="17" t="s">
        <v>10</v>
      </c>
      <c r="G584" s="17" t="s">
        <v>25</v>
      </c>
      <c r="H584" s="2" t="s">
        <v>11</v>
      </c>
      <c r="I584" s="2">
        <v>1</v>
      </c>
      <c r="J584" s="5">
        <v>46105</v>
      </c>
      <c r="K584" s="5">
        <v>46106</v>
      </c>
      <c r="L584" s="2" t="s">
        <v>865</v>
      </c>
      <c r="M584" s="5">
        <v>45754</v>
      </c>
      <c r="N584" s="3">
        <f>VLOOKUP(NavDataRegion[[#This Row],[Spool No]],[1]Sheet2!$B:$U,20,0)</f>
        <v>17.819800000000001</v>
      </c>
      <c r="O584" s="2">
        <v>3.75</v>
      </c>
      <c r="P584" s="2">
        <v>0.75</v>
      </c>
      <c r="Q584" s="2"/>
    </row>
    <row r="585" spans="1:17" ht="20.100000000000001" customHeight="1">
      <c r="A585" s="2" t="s">
        <v>9</v>
      </c>
      <c r="B585" s="2" t="s">
        <v>1069</v>
      </c>
      <c r="C585" s="2" t="s">
        <v>1070</v>
      </c>
      <c r="D585" s="2" t="e">
        <f>VLOOKUP(C:C,Vlookup!A:A,1,0)</f>
        <v>#N/A</v>
      </c>
      <c r="E585" s="2">
        <v>14</v>
      </c>
      <c r="F585" s="17" t="s">
        <v>10</v>
      </c>
      <c r="G585" s="17" t="s">
        <v>25</v>
      </c>
      <c r="H585" s="2" t="s">
        <v>11</v>
      </c>
      <c r="I585" s="2">
        <v>1</v>
      </c>
      <c r="J585" s="5">
        <v>46106</v>
      </c>
      <c r="K585" s="5">
        <v>46106</v>
      </c>
      <c r="L585" s="2" t="s">
        <v>865</v>
      </c>
      <c r="M585" s="5">
        <v>45754</v>
      </c>
      <c r="N585" s="3">
        <f>VLOOKUP(NavDataRegion[[#This Row],[Spool No]],[1]Sheet2!$B:$U,20,0)</f>
        <v>17.809200000000001</v>
      </c>
      <c r="O585" s="2">
        <v>3.75</v>
      </c>
      <c r="P585" s="2">
        <v>0.75</v>
      </c>
      <c r="Q585" s="2"/>
    </row>
    <row r="586" spans="1:17" ht="20.100000000000001" customHeight="1">
      <c r="A586" s="2" t="s">
        <v>9</v>
      </c>
      <c r="B586" s="2" t="s">
        <v>1075</v>
      </c>
      <c r="C586" s="2" t="s">
        <v>1076</v>
      </c>
      <c r="D586" s="2" t="e">
        <f>VLOOKUP(C:C,Vlookup!A:A,1,0)</f>
        <v>#N/A</v>
      </c>
      <c r="E586" s="2">
        <v>16</v>
      </c>
      <c r="F586" s="17" t="s">
        <v>10</v>
      </c>
      <c r="G586" s="17" t="s">
        <v>25</v>
      </c>
      <c r="H586" s="2" t="s">
        <v>11</v>
      </c>
      <c r="I586" s="2">
        <v>1</v>
      </c>
      <c r="J586" s="5">
        <v>46108</v>
      </c>
      <c r="K586" s="5">
        <v>46111</v>
      </c>
      <c r="L586" s="2" t="s">
        <v>865</v>
      </c>
      <c r="M586" s="5">
        <v>46167</v>
      </c>
      <c r="N586" s="3">
        <f>VLOOKUP(NavDataRegion[[#This Row],[Spool No]],[1]Sheet2!$B:$U,20,0)</f>
        <v>0.69379999999999997</v>
      </c>
      <c r="O586" s="2">
        <v>0.75</v>
      </c>
      <c r="P586" s="2">
        <v>0.75</v>
      </c>
      <c r="Q586" s="2"/>
    </row>
    <row r="587" spans="1:17" ht="20.100000000000001" customHeight="1">
      <c r="A587" s="2" t="s">
        <v>9</v>
      </c>
      <c r="B587" s="2" t="s">
        <v>1077</v>
      </c>
      <c r="C587" s="2" t="s">
        <v>1078</v>
      </c>
      <c r="D587" s="2" t="e">
        <f>VLOOKUP(C:C,Vlookup!A:A,1,0)</f>
        <v>#N/A</v>
      </c>
      <c r="E587" s="2">
        <v>16</v>
      </c>
      <c r="F587" s="17" t="s">
        <v>10</v>
      </c>
      <c r="G587" s="17" t="s">
        <v>25</v>
      </c>
      <c r="H587" s="2" t="s">
        <v>11</v>
      </c>
      <c r="I587" s="2">
        <v>1</v>
      </c>
      <c r="J587" s="5">
        <v>46107</v>
      </c>
      <c r="K587" s="5">
        <v>46111</v>
      </c>
      <c r="L587" s="2" t="s">
        <v>865</v>
      </c>
      <c r="M587" s="5">
        <v>46167</v>
      </c>
      <c r="N587" s="3">
        <f>VLOOKUP(NavDataRegion[[#This Row],[Spool No]],[1]Sheet2!$B:$U,20,0)</f>
        <v>0.69379999999999997</v>
      </c>
      <c r="O587" s="2">
        <v>0.75</v>
      </c>
      <c r="P587" s="2">
        <v>0.75</v>
      </c>
      <c r="Q587" s="2"/>
    </row>
    <row r="588" spans="1:17" ht="20.100000000000001" customHeight="1">
      <c r="A588" s="2" t="s">
        <v>9</v>
      </c>
      <c r="B588" s="2" t="s">
        <v>941</v>
      </c>
      <c r="C588" s="2" t="s">
        <v>942</v>
      </c>
      <c r="D588" s="2" t="e">
        <f>VLOOKUP(C:C,Vlookup!A:A,1,0)</f>
        <v>#N/A</v>
      </c>
      <c r="E588" s="2">
        <v>14</v>
      </c>
      <c r="F588" s="17" t="s">
        <v>10</v>
      </c>
      <c r="G588" s="17" t="s">
        <v>25</v>
      </c>
      <c r="H588" s="2" t="s">
        <v>11</v>
      </c>
      <c r="I588" s="2">
        <v>1</v>
      </c>
      <c r="J588" s="5">
        <v>46093</v>
      </c>
      <c r="K588" s="5">
        <v>46094</v>
      </c>
      <c r="L588" s="2" t="s">
        <v>865</v>
      </c>
      <c r="M588" s="5">
        <v>45754</v>
      </c>
      <c r="N588" s="3">
        <f>VLOOKUP(NavDataRegion[[#This Row],[Spool No]],[1]Sheet2!$B:$U,20,0)</f>
        <v>10.36032</v>
      </c>
      <c r="O588" s="2">
        <v>5</v>
      </c>
      <c r="P588" s="2">
        <v>1</v>
      </c>
      <c r="Q588" s="2"/>
    </row>
    <row r="589" spans="1:17" ht="20.100000000000001" customHeight="1">
      <c r="A589" s="2" t="s">
        <v>9</v>
      </c>
      <c r="B589" s="2" t="s">
        <v>941</v>
      </c>
      <c r="C589" s="2" t="s">
        <v>1668</v>
      </c>
      <c r="D589" s="2" t="e">
        <f>VLOOKUP(C:C,Vlookup!A:A,1,0)</f>
        <v>#N/A</v>
      </c>
      <c r="E589" s="2">
        <v>14</v>
      </c>
      <c r="F589" s="17" t="s">
        <v>10</v>
      </c>
      <c r="G589" s="17" t="s">
        <v>25</v>
      </c>
      <c r="H589" s="2" t="s">
        <v>11</v>
      </c>
      <c r="I589" s="2">
        <v>1</v>
      </c>
      <c r="J589" s="5">
        <v>46093</v>
      </c>
      <c r="K589" s="5">
        <v>46094</v>
      </c>
      <c r="L589" s="2" t="s">
        <v>865</v>
      </c>
      <c r="M589" s="5">
        <v>45754</v>
      </c>
      <c r="N589" s="3">
        <f>VLOOKUP(NavDataRegion[[#This Row],[Spool No]],[1]Sheet2!$B:$U,20,0)</f>
        <v>10.8804</v>
      </c>
      <c r="O589" s="2">
        <v>2</v>
      </c>
      <c r="P589" s="2">
        <v>1</v>
      </c>
      <c r="Q589" s="2"/>
    </row>
    <row r="590" spans="1:17" ht="20.100000000000001" customHeight="1">
      <c r="A590" s="2" t="s">
        <v>9</v>
      </c>
      <c r="B590" s="2" t="s">
        <v>943</v>
      </c>
      <c r="C590" s="2" t="s">
        <v>944</v>
      </c>
      <c r="D590" s="2" t="e">
        <f>VLOOKUP(C:C,Vlookup!A:A,1,0)</f>
        <v>#N/A</v>
      </c>
      <c r="E590" s="2">
        <v>14</v>
      </c>
      <c r="F590" s="17" t="s">
        <v>10</v>
      </c>
      <c r="G590" s="17" t="s">
        <v>25</v>
      </c>
      <c r="H590" s="2" t="s">
        <v>11</v>
      </c>
      <c r="I590" s="2">
        <v>1</v>
      </c>
      <c r="J590" s="5">
        <v>46093</v>
      </c>
      <c r="K590" s="5">
        <v>46094</v>
      </c>
      <c r="L590" s="2" t="s">
        <v>865</v>
      </c>
      <c r="M590" s="5">
        <v>45754</v>
      </c>
      <c r="N590" s="3">
        <f>VLOOKUP(NavDataRegion[[#This Row],[Spool No]],[1]Sheet2!$B:$U,20,0)</f>
        <v>9.8030399999999993</v>
      </c>
      <c r="O590" s="2">
        <v>5</v>
      </c>
      <c r="P590" s="2">
        <v>1</v>
      </c>
      <c r="Q590" s="2"/>
    </row>
    <row r="591" spans="1:17" ht="20.100000000000001" customHeight="1">
      <c r="A591" s="2" t="s">
        <v>9</v>
      </c>
      <c r="B591" s="2" t="s">
        <v>1079</v>
      </c>
      <c r="C591" s="2" t="s">
        <v>1080</v>
      </c>
      <c r="D591" s="2" t="e">
        <f>VLOOKUP(C:C,Vlookup!A:A,1,0)</f>
        <v>#N/A</v>
      </c>
      <c r="E591" s="2">
        <v>14</v>
      </c>
      <c r="F591" s="17" t="s">
        <v>10</v>
      </c>
      <c r="G591" s="17" t="s">
        <v>25</v>
      </c>
      <c r="H591" s="2" t="s">
        <v>11</v>
      </c>
      <c r="I591" s="2">
        <v>1</v>
      </c>
      <c r="J591" s="5">
        <v>46105</v>
      </c>
      <c r="K591" s="5">
        <v>46106</v>
      </c>
      <c r="L591" s="2" t="s">
        <v>865</v>
      </c>
      <c r="M591" s="5">
        <v>45754</v>
      </c>
      <c r="N591" s="3">
        <f>VLOOKUP(NavDataRegion[[#This Row],[Spool No]],[1]Sheet2!$B:$U,20,0)</f>
        <v>17.1646</v>
      </c>
      <c r="O591" s="2">
        <v>3.75</v>
      </c>
      <c r="P591" s="2">
        <v>0.75</v>
      </c>
      <c r="Q591" s="2"/>
    </row>
    <row r="592" spans="1:17" ht="20.100000000000001" customHeight="1">
      <c r="A592" s="2" t="s">
        <v>9</v>
      </c>
      <c r="B592" s="2" t="s">
        <v>1025</v>
      </c>
      <c r="C592" s="2" t="s">
        <v>1026</v>
      </c>
      <c r="D592" s="2" t="e">
        <f>VLOOKUP(C:C,Vlookup!A:A,1,0)</f>
        <v>#N/A</v>
      </c>
      <c r="E592" s="2">
        <v>14</v>
      </c>
      <c r="F592" s="17" t="s">
        <v>10</v>
      </c>
      <c r="G592" s="17" t="s">
        <v>25</v>
      </c>
      <c r="H592" s="2" t="s">
        <v>11</v>
      </c>
      <c r="I592" s="2">
        <v>1</v>
      </c>
      <c r="J592" s="5">
        <v>46100</v>
      </c>
      <c r="K592" s="5">
        <v>46101</v>
      </c>
      <c r="L592" s="2" t="s">
        <v>865</v>
      </c>
      <c r="M592" s="5">
        <v>45754</v>
      </c>
      <c r="N592" s="3">
        <f>VLOOKUP(NavDataRegion[[#This Row],[Spool No]],[1]Sheet2!$B:$U,20,0)</f>
        <v>18.4756</v>
      </c>
      <c r="O592" s="2">
        <v>6.75</v>
      </c>
      <c r="P592" s="2">
        <v>0.75</v>
      </c>
      <c r="Q592" s="2"/>
    </row>
    <row r="593" spans="1:17" ht="20.100000000000001" customHeight="1">
      <c r="A593" s="2" t="s">
        <v>9</v>
      </c>
      <c r="B593" s="2" t="s">
        <v>204</v>
      </c>
      <c r="C593" s="2" t="s">
        <v>205</v>
      </c>
      <c r="D593" s="2" t="e">
        <f>VLOOKUP(C:C,Vlookup!A:A,1,0)</f>
        <v>#N/A</v>
      </c>
      <c r="E593" s="2">
        <v>18</v>
      </c>
      <c r="F593" s="2" t="s">
        <v>206</v>
      </c>
      <c r="G593" s="2" t="s">
        <v>16</v>
      </c>
      <c r="H593" s="2" t="s">
        <v>11</v>
      </c>
      <c r="I593" s="2">
        <v>1</v>
      </c>
      <c r="J593" s="5">
        <v>46111</v>
      </c>
      <c r="K593" s="5">
        <v>46113</v>
      </c>
      <c r="L593" s="2" t="s">
        <v>865</v>
      </c>
      <c r="M593" s="5">
        <v>45754</v>
      </c>
      <c r="N593" s="3">
        <f>VLOOKUP(NavDataRegion[[#This Row],[Spool No]],[1]Sheet2!$B:$U,20,0)</f>
        <v>112.232675152</v>
      </c>
      <c r="O593" s="2">
        <v>15.5</v>
      </c>
      <c r="P593" s="2">
        <v>4</v>
      </c>
      <c r="Q593" s="2"/>
    </row>
    <row r="594" spans="1:17" ht="20.100000000000001" customHeight="1">
      <c r="A594" s="2" t="s">
        <v>9</v>
      </c>
      <c r="B594" s="2" t="s">
        <v>1075</v>
      </c>
      <c r="C594" s="2" t="s">
        <v>1524</v>
      </c>
      <c r="D594" s="2" t="e">
        <f>VLOOKUP(C:C,Vlookup!A:A,1,0)</f>
        <v>#N/A</v>
      </c>
      <c r="E594" s="2">
        <v>14</v>
      </c>
      <c r="F594" s="17" t="s">
        <v>10</v>
      </c>
      <c r="G594" s="17" t="s">
        <v>25</v>
      </c>
      <c r="H594" s="2" t="s">
        <v>11</v>
      </c>
      <c r="I594" s="2">
        <v>1</v>
      </c>
      <c r="J594" s="5">
        <v>46100</v>
      </c>
      <c r="K594" s="5">
        <v>46101</v>
      </c>
      <c r="L594" s="2" t="s">
        <v>865</v>
      </c>
      <c r="M594" s="5">
        <v>45754</v>
      </c>
      <c r="N594" s="3">
        <f>VLOOKUP(NavDataRegion[[#This Row],[Spool No]],[1]Sheet2!$B:$U,20,0)</f>
        <v>26.270800000000001</v>
      </c>
      <c r="O594" s="2">
        <v>5.25</v>
      </c>
      <c r="P594" s="2">
        <v>0.75</v>
      </c>
      <c r="Q594" s="2"/>
    </row>
    <row r="595" spans="1:17" ht="20.100000000000001" customHeight="1">
      <c r="A595" s="2" t="s">
        <v>9</v>
      </c>
      <c r="B595" s="2" t="s">
        <v>1101</v>
      </c>
      <c r="C595" s="2" t="s">
        <v>1814</v>
      </c>
      <c r="D595" s="2" t="e">
        <f>VLOOKUP(C:C,Vlookup!A:A,1,0)</f>
        <v>#N/A</v>
      </c>
      <c r="E595" s="2">
        <v>14</v>
      </c>
      <c r="F595" s="17" t="s">
        <v>10</v>
      </c>
      <c r="G595" s="17" t="s">
        <v>25</v>
      </c>
      <c r="H595" s="2" t="s">
        <v>11</v>
      </c>
      <c r="I595" s="2">
        <v>1</v>
      </c>
      <c r="J595" s="5">
        <v>46098</v>
      </c>
      <c r="K595" s="5">
        <v>46099</v>
      </c>
      <c r="L595" s="2" t="s">
        <v>865</v>
      </c>
      <c r="M595" s="5">
        <v>45754</v>
      </c>
      <c r="N595" s="3">
        <f>VLOOKUP(NavDataRegion[[#This Row],[Spool No]],[1]Sheet2!$B:$U,20,0)</f>
        <v>2.7805</v>
      </c>
      <c r="O595" s="2">
        <v>1.5</v>
      </c>
      <c r="P595" s="2">
        <v>0.5</v>
      </c>
      <c r="Q595" s="2"/>
    </row>
    <row r="596" spans="1:17" ht="20.100000000000001" customHeight="1">
      <c r="A596" s="2" t="s">
        <v>9</v>
      </c>
      <c r="B596" s="2" t="s">
        <v>921</v>
      </c>
      <c r="C596" s="2" t="s">
        <v>922</v>
      </c>
      <c r="D596" s="2" t="e">
        <f>VLOOKUP(C:C,Vlookup!A:A,1,0)</f>
        <v>#N/A</v>
      </c>
      <c r="E596" s="2">
        <v>14</v>
      </c>
      <c r="F596" s="17" t="s">
        <v>10</v>
      </c>
      <c r="G596" s="17" t="s">
        <v>281</v>
      </c>
      <c r="H596" s="2" t="s">
        <v>11</v>
      </c>
      <c r="I596" s="2">
        <v>1</v>
      </c>
      <c r="J596" s="5">
        <v>46101</v>
      </c>
      <c r="K596" s="5">
        <v>46104</v>
      </c>
      <c r="L596" s="2" t="s">
        <v>865</v>
      </c>
      <c r="M596" s="5">
        <v>45754</v>
      </c>
      <c r="N596" s="3">
        <f>VLOOKUP(NavDataRegion[[#This Row],[Spool No]],[1]Sheet2!$B:$U,20,0)</f>
        <v>23.593589999999999</v>
      </c>
      <c r="O596" s="2">
        <v>4.5</v>
      </c>
      <c r="P596" s="2">
        <v>1.5</v>
      </c>
      <c r="Q596" s="2"/>
    </row>
    <row r="597" spans="1:17" ht="20.100000000000001" customHeight="1">
      <c r="A597" s="2" t="s">
        <v>9</v>
      </c>
      <c r="B597" s="2" t="s">
        <v>921</v>
      </c>
      <c r="C597" s="2" t="s">
        <v>1660</v>
      </c>
      <c r="D597" s="2" t="e">
        <f>VLOOKUP(C:C,Vlookup!A:A,1,0)</f>
        <v>#N/A</v>
      </c>
      <c r="E597" s="2">
        <v>14</v>
      </c>
      <c r="F597" s="17" t="s">
        <v>10</v>
      </c>
      <c r="G597" s="17" t="s">
        <v>281</v>
      </c>
      <c r="H597" s="2" t="s">
        <v>11</v>
      </c>
      <c r="I597" s="2">
        <v>1</v>
      </c>
      <c r="J597" s="5">
        <v>46101</v>
      </c>
      <c r="K597" s="5">
        <v>46104</v>
      </c>
      <c r="L597" s="2" t="s">
        <v>865</v>
      </c>
      <c r="M597" s="5">
        <v>45754</v>
      </c>
      <c r="N597" s="3">
        <f>VLOOKUP(NavDataRegion[[#This Row],[Spool No]],[1]Sheet2!$B:$U,20,0)</f>
        <v>19.364159999999998</v>
      </c>
      <c r="O597" s="2">
        <v>1.5</v>
      </c>
      <c r="P597" s="2">
        <v>1.5</v>
      </c>
      <c r="Q597" s="2"/>
    </row>
    <row r="598" spans="1:17" ht="20.100000000000001" customHeight="1">
      <c r="A598" s="2" t="s">
        <v>9</v>
      </c>
      <c r="B598" s="2" t="s">
        <v>923</v>
      </c>
      <c r="C598" s="2" t="s">
        <v>1786</v>
      </c>
      <c r="D598" s="2" t="e">
        <f>VLOOKUP(C:C,Vlookup!A:A,1,0)</f>
        <v>#N/A</v>
      </c>
      <c r="E598" s="2">
        <v>14</v>
      </c>
      <c r="F598" s="17" t="s">
        <v>10</v>
      </c>
      <c r="G598" s="17" t="s">
        <v>25</v>
      </c>
      <c r="H598" s="2" t="s">
        <v>11</v>
      </c>
      <c r="I598" s="2">
        <v>1</v>
      </c>
      <c r="J598" s="5">
        <v>46101</v>
      </c>
      <c r="K598" s="5">
        <v>46104</v>
      </c>
      <c r="L598" s="2" t="s">
        <v>865</v>
      </c>
      <c r="M598" s="5">
        <v>45754</v>
      </c>
      <c r="N598" s="3">
        <f>VLOOKUP(NavDataRegion[[#This Row],[Spool No]],[1]Sheet2!$B:$U,20,0)</f>
        <v>59.727760000000004</v>
      </c>
      <c r="O598" s="2">
        <v>2</v>
      </c>
      <c r="P598" s="2">
        <v>2</v>
      </c>
      <c r="Q598" s="2"/>
    </row>
    <row r="599" spans="1:17" ht="20.100000000000001" customHeight="1">
      <c r="A599" s="2" t="s">
        <v>9</v>
      </c>
      <c r="B599" s="2" t="s">
        <v>1077</v>
      </c>
      <c r="C599" s="2" t="s">
        <v>1525</v>
      </c>
      <c r="D599" s="2" t="e">
        <f>VLOOKUP(C:C,Vlookup!A:A,1,0)</f>
        <v>#N/A</v>
      </c>
      <c r="E599" s="2">
        <v>14</v>
      </c>
      <c r="F599" s="17" t="s">
        <v>10</v>
      </c>
      <c r="G599" s="17" t="s">
        <v>25</v>
      </c>
      <c r="H599" s="2" t="s">
        <v>11</v>
      </c>
      <c r="I599" s="2">
        <v>1</v>
      </c>
      <c r="J599" s="5">
        <v>46100</v>
      </c>
      <c r="K599" s="5">
        <v>46101</v>
      </c>
      <c r="L599" s="2" t="s">
        <v>865</v>
      </c>
      <c r="M599" s="5">
        <v>45754</v>
      </c>
      <c r="N599" s="3">
        <f>VLOOKUP(NavDataRegion[[#This Row],[Spool No]],[1]Sheet2!$B:$U,20,0)</f>
        <v>26.270800000000001</v>
      </c>
      <c r="O599" s="2">
        <v>5.25</v>
      </c>
      <c r="P599" s="2">
        <v>0.75</v>
      </c>
      <c r="Q599" s="2"/>
    </row>
    <row r="600" spans="1:17" ht="20.100000000000001" customHeight="1">
      <c r="A600" s="2" t="s">
        <v>9</v>
      </c>
      <c r="B600" s="2" t="s">
        <v>1081</v>
      </c>
      <c r="C600" s="2" t="s">
        <v>1082</v>
      </c>
      <c r="D600" s="2" t="e">
        <f>VLOOKUP(C:C,Vlookup!A:A,1,0)</f>
        <v>#N/A</v>
      </c>
      <c r="E600" s="2">
        <v>14</v>
      </c>
      <c r="F600" s="17" t="s">
        <v>10</v>
      </c>
      <c r="G600" s="17" t="s">
        <v>25</v>
      </c>
      <c r="H600" s="2" t="s">
        <v>11</v>
      </c>
      <c r="I600" s="2">
        <v>1</v>
      </c>
      <c r="J600" s="5">
        <v>46100</v>
      </c>
      <c r="K600" s="5">
        <v>46101</v>
      </c>
      <c r="L600" s="2" t="s">
        <v>865</v>
      </c>
      <c r="M600" s="5">
        <v>45754</v>
      </c>
      <c r="N600" s="3">
        <f>VLOOKUP(NavDataRegion[[#This Row],[Spool No]],[1]Sheet2!$B:$U,20,0)</f>
        <v>17.268000000000001</v>
      </c>
      <c r="O600" s="2">
        <v>3.75</v>
      </c>
      <c r="P600" s="2">
        <v>0.75</v>
      </c>
      <c r="Q600" s="2"/>
    </row>
    <row r="601" spans="1:17" ht="20.100000000000001" customHeight="1">
      <c r="A601" s="2" t="s">
        <v>9</v>
      </c>
      <c r="B601" s="2" t="s">
        <v>945</v>
      </c>
      <c r="C601" s="2" t="s">
        <v>1479</v>
      </c>
      <c r="D601" s="2" t="e">
        <f>VLOOKUP(C:C,Vlookup!A:A,1,0)</f>
        <v>#N/A</v>
      </c>
      <c r="E601" s="2">
        <v>14</v>
      </c>
      <c r="F601" s="17" t="s">
        <v>10</v>
      </c>
      <c r="G601" s="17" t="s">
        <v>25</v>
      </c>
      <c r="H601" s="2" t="s">
        <v>11</v>
      </c>
      <c r="I601" s="2">
        <v>1</v>
      </c>
      <c r="J601" s="5">
        <v>46093</v>
      </c>
      <c r="K601" s="5">
        <v>46094</v>
      </c>
      <c r="L601" s="2" t="s">
        <v>865</v>
      </c>
      <c r="M601" s="5">
        <v>45754</v>
      </c>
      <c r="N601" s="3">
        <f>VLOOKUP(NavDataRegion[[#This Row],[Spool No]],[1]Sheet2!$B:$U,20,0)</f>
        <v>9.1359999999999992</v>
      </c>
      <c r="O601" s="2">
        <v>2.25</v>
      </c>
      <c r="P601" s="2">
        <v>0.75</v>
      </c>
      <c r="Q601" s="2"/>
    </row>
    <row r="602" spans="1:17" ht="20.100000000000001" customHeight="1">
      <c r="A602" s="2" t="s">
        <v>9</v>
      </c>
      <c r="B602" s="2" t="s">
        <v>1103</v>
      </c>
      <c r="C602" s="2" t="s">
        <v>1536</v>
      </c>
      <c r="D602" s="2" t="e">
        <f>VLOOKUP(C:C,Vlookup!A:A,1,0)</f>
        <v>#N/A</v>
      </c>
      <c r="E602" s="2">
        <v>14</v>
      </c>
      <c r="F602" s="17" t="s">
        <v>10</v>
      </c>
      <c r="G602" s="17" t="s">
        <v>25</v>
      </c>
      <c r="H602" s="2" t="s">
        <v>11</v>
      </c>
      <c r="I602" s="2">
        <v>1</v>
      </c>
      <c r="J602" s="5">
        <v>46098</v>
      </c>
      <c r="K602" s="5">
        <v>46099</v>
      </c>
      <c r="L602" s="2" t="s">
        <v>865</v>
      </c>
      <c r="M602" s="5">
        <v>45754</v>
      </c>
      <c r="N602" s="3">
        <f>VLOOKUP(NavDataRegion[[#This Row],[Spool No]],[1]Sheet2!$B:$U,20,0)</f>
        <v>1.77864</v>
      </c>
      <c r="O602" s="2">
        <v>0.5</v>
      </c>
      <c r="P602" s="2">
        <v>0.5</v>
      </c>
      <c r="Q602" s="2"/>
    </row>
    <row r="603" spans="1:17" ht="20.100000000000001" customHeight="1">
      <c r="A603" s="2" t="s">
        <v>9</v>
      </c>
      <c r="B603" s="2" t="s">
        <v>1103</v>
      </c>
      <c r="C603" s="2" t="s">
        <v>1708</v>
      </c>
      <c r="D603" s="2" t="e">
        <f>VLOOKUP(C:C,Vlookup!A:A,1,0)</f>
        <v>#N/A</v>
      </c>
      <c r="E603" s="2">
        <v>14</v>
      </c>
      <c r="F603" s="17" t="s">
        <v>10</v>
      </c>
      <c r="G603" s="17" t="s">
        <v>25</v>
      </c>
      <c r="H603" s="2" t="s">
        <v>11</v>
      </c>
      <c r="I603" s="2">
        <v>1</v>
      </c>
      <c r="J603" s="5">
        <v>46098</v>
      </c>
      <c r="K603" s="5">
        <v>46099</v>
      </c>
      <c r="L603" s="2" t="s">
        <v>865</v>
      </c>
      <c r="M603" s="5">
        <v>45754</v>
      </c>
      <c r="N603" s="3">
        <f>VLOOKUP(NavDataRegion[[#This Row],[Spool No]],[1]Sheet2!$B:$U,20,0)</f>
        <v>2.335</v>
      </c>
      <c r="O603" s="2">
        <v>1.5</v>
      </c>
      <c r="P603" s="2">
        <v>0.5</v>
      </c>
      <c r="Q603" s="2"/>
    </row>
    <row r="604" spans="1:17" ht="20.100000000000001" customHeight="1">
      <c r="A604" s="2" t="s">
        <v>9</v>
      </c>
      <c r="B604" s="2" t="s">
        <v>949</v>
      </c>
      <c r="C604" s="2" t="s">
        <v>1481</v>
      </c>
      <c r="D604" s="2" t="e">
        <f>VLOOKUP(C:C,Vlookup!A:A,1,0)</f>
        <v>#N/A</v>
      </c>
      <c r="E604" s="2">
        <v>14</v>
      </c>
      <c r="F604" s="17" t="s">
        <v>10</v>
      </c>
      <c r="G604" s="17" t="s">
        <v>25</v>
      </c>
      <c r="H604" s="2" t="s">
        <v>11</v>
      </c>
      <c r="I604" s="2">
        <v>1</v>
      </c>
      <c r="J604" s="5">
        <v>46093</v>
      </c>
      <c r="K604" s="5">
        <v>46094</v>
      </c>
      <c r="L604" s="2" t="s">
        <v>865</v>
      </c>
      <c r="M604" s="5">
        <v>45754</v>
      </c>
      <c r="N604" s="3">
        <f>VLOOKUP(NavDataRegion[[#This Row],[Spool No]],[1]Sheet2!$B:$U,20,0)</f>
        <v>8.9558400000000002</v>
      </c>
      <c r="O604" s="2">
        <v>2</v>
      </c>
      <c r="P604" s="2">
        <v>1</v>
      </c>
      <c r="Q604" s="2"/>
    </row>
    <row r="605" spans="1:17" ht="20.100000000000001" customHeight="1">
      <c r="A605" s="2" t="s">
        <v>9</v>
      </c>
      <c r="B605" s="2" t="s">
        <v>1167</v>
      </c>
      <c r="C605" s="2" t="s">
        <v>1168</v>
      </c>
      <c r="D605" s="2" t="e">
        <f>VLOOKUP(C:C,Vlookup!A:A,1,0)</f>
        <v>#N/A</v>
      </c>
      <c r="E605" s="2">
        <v>14</v>
      </c>
      <c r="F605" s="17" t="s">
        <v>10</v>
      </c>
      <c r="G605" s="17" t="s">
        <v>25</v>
      </c>
      <c r="H605" s="2" t="s">
        <v>11</v>
      </c>
      <c r="I605" s="2">
        <v>1</v>
      </c>
      <c r="J605" s="5">
        <v>46105</v>
      </c>
      <c r="K605" s="5">
        <v>46106</v>
      </c>
      <c r="L605" s="2" t="s">
        <v>865</v>
      </c>
      <c r="M605" s="5">
        <v>45754</v>
      </c>
      <c r="N605" s="3">
        <f>VLOOKUP(NavDataRegion[[#This Row],[Spool No]],[1]Sheet2!$B:$U,20,0)</f>
        <v>6.1609999999999996</v>
      </c>
      <c r="O605" s="2">
        <v>4.5</v>
      </c>
      <c r="P605" s="2">
        <v>0.75</v>
      </c>
      <c r="Q605" s="2"/>
    </row>
    <row r="606" spans="1:17" ht="20.100000000000001" customHeight="1">
      <c r="A606" s="2" t="s">
        <v>9</v>
      </c>
      <c r="B606" s="2" t="s">
        <v>1105</v>
      </c>
      <c r="C606" s="2" t="s">
        <v>1816</v>
      </c>
      <c r="D606" s="2" t="e">
        <f>VLOOKUP(C:C,Vlookup!A:A,1,0)</f>
        <v>#N/A</v>
      </c>
      <c r="E606" s="2">
        <v>14</v>
      </c>
      <c r="F606" s="17" t="s">
        <v>10</v>
      </c>
      <c r="G606" s="17" t="s">
        <v>25</v>
      </c>
      <c r="H606" s="2" t="s">
        <v>11</v>
      </c>
      <c r="I606" s="2">
        <v>1</v>
      </c>
      <c r="J606" s="5">
        <v>46098</v>
      </c>
      <c r="K606" s="5">
        <v>46099</v>
      </c>
      <c r="L606" s="2" t="s">
        <v>865</v>
      </c>
      <c r="M606" s="5">
        <v>45754</v>
      </c>
      <c r="N606" s="3">
        <f>VLOOKUP(NavDataRegion[[#This Row],[Spool No]],[1]Sheet2!$B:$U,20,0)</f>
        <v>3.55464</v>
      </c>
      <c r="O606" s="2">
        <v>2</v>
      </c>
      <c r="P606" s="2">
        <v>1</v>
      </c>
      <c r="Q606" s="2"/>
    </row>
    <row r="607" spans="1:17" ht="20.100000000000001" customHeight="1">
      <c r="A607" s="2" t="s">
        <v>9</v>
      </c>
      <c r="B607" s="2" t="s">
        <v>1103</v>
      </c>
      <c r="C607" s="2" t="s">
        <v>1104</v>
      </c>
      <c r="D607" s="2" t="e">
        <f>VLOOKUP(C:C,Vlookup!A:A,1,0)</f>
        <v>#N/A</v>
      </c>
      <c r="E607" s="2">
        <v>14</v>
      </c>
      <c r="F607" s="17" t="s">
        <v>10</v>
      </c>
      <c r="G607" s="17" t="s">
        <v>25</v>
      </c>
      <c r="H607" s="2" t="s">
        <v>11</v>
      </c>
      <c r="I607" s="2">
        <v>1</v>
      </c>
      <c r="J607" s="5">
        <v>46100</v>
      </c>
      <c r="K607" s="5">
        <v>46101</v>
      </c>
      <c r="L607" s="2" t="s">
        <v>865</v>
      </c>
      <c r="M607" s="5">
        <v>45754</v>
      </c>
      <c r="N607" s="3">
        <f>VLOOKUP(NavDataRegion[[#This Row],[Spool No]],[1]Sheet2!$B:$U,20,0)</f>
        <v>3.6798000000000002</v>
      </c>
      <c r="O607" s="2">
        <v>3</v>
      </c>
      <c r="P607" s="2">
        <v>0.75</v>
      </c>
      <c r="Q607" s="2"/>
    </row>
    <row r="608" spans="1:17" ht="20.100000000000001" customHeight="1">
      <c r="A608" s="2" t="s">
        <v>9</v>
      </c>
      <c r="B608" s="2" t="s">
        <v>1139</v>
      </c>
      <c r="C608" s="2" t="s">
        <v>1140</v>
      </c>
      <c r="D608" s="2" t="e">
        <f>VLOOKUP(C:C,Vlookup!A:A,1,0)</f>
        <v>#N/A</v>
      </c>
      <c r="E608" s="2">
        <v>14</v>
      </c>
      <c r="F608" s="17" t="s">
        <v>10</v>
      </c>
      <c r="G608" s="17" t="s">
        <v>25</v>
      </c>
      <c r="H608" s="2" t="s">
        <v>11</v>
      </c>
      <c r="I608" s="2">
        <v>1</v>
      </c>
      <c r="J608" s="5">
        <v>46100</v>
      </c>
      <c r="K608" s="5">
        <v>46101</v>
      </c>
      <c r="L608" s="2" t="s">
        <v>865</v>
      </c>
      <c r="M608" s="5">
        <v>45754</v>
      </c>
      <c r="N608" s="3">
        <f>VLOOKUP(NavDataRegion[[#This Row],[Spool No]],[1]Sheet2!$B:$U,20,0)</f>
        <v>6.5590000000000002</v>
      </c>
      <c r="O608" s="2">
        <v>5.25</v>
      </c>
      <c r="P608" s="2">
        <v>0.75</v>
      </c>
      <c r="Q608" s="2"/>
    </row>
    <row r="609" spans="1:17" ht="20.100000000000001" customHeight="1">
      <c r="A609" s="2" t="s">
        <v>9</v>
      </c>
      <c r="B609" s="2" t="s">
        <v>1143</v>
      </c>
      <c r="C609" s="2" t="s">
        <v>1144</v>
      </c>
      <c r="D609" s="2" t="e">
        <f>VLOOKUP(C:C,Vlookup!A:A,1,0)</f>
        <v>#N/A</v>
      </c>
      <c r="E609" s="2">
        <v>14</v>
      </c>
      <c r="F609" s="17" t="s">
        <v>10</v>
      </c>
      <c r="G609" s="17" t="s">
        <v>25</v>
      </c>
      <c r="H609" s="2" t="s">
        <v>11</v>
      </c>
      <c r="I609" s="2">
        <v>1</v>
      </c>
      <c r="J609" s="5">
        <v>46100</v>
      </c>
      <c r="K609" s="5">
        <v>46101</v>
      </c>
      <c r="L609" s="2" t="s">
        <v>865</v>
      </c>
      <c r="M609" s="5">
        <v>45754</v>
      </c>
      <c r="N609" s="3">
        <f>VLOOKUP(NavDataRegion[[#This Row],[Spool No]],[1]Sheet2!$B:$U,20,0)</f>
        <v>5.7388000000000003</v>
      </c>
      <c r="O609" s="2">
        <v>4.5</v>
      </c>
      <c r="P609" s="2">
        <v>0.75</v>
      </c>
      <c r="Q609" s="2"/>
    </row>
    <row r="610" spans="1:17" ht="20.100000000000001" customHeight="1">
      <c r="A610" s="2" t="s">
        <v>9</v>
      </c>
      <c r="B610" s="2" t="s">
        <v>1203</v>
      </c>
      <c r="C610" s="2" t="s">
        <v>1204</v>
      </c>
      <c r="D610" s="2" t="e">
        <f>VLOOKUP(C:C,Vlookup!A:A,1,0)</f>
        <v>#N/A</v>
      </c>
      <c r="E610" s="2">
        <v>16</v>
      </c>
      <c r="F610" s="17" t="s">
        <v>10</v>
      </c>
      <c r="G610" s="17" t="s">
        <v>25</v>
      </c>
      <c r="H610" s="2" t="s">
        <v>11</v>
      </c>
      <c r="I610" s="2">
        <v>1</v>
      </c>
      <c r="J610" s="5">
        <v>46107</v>
      </c>
      <c r="K610" s="5">
        <v>46111</v>
      </c>
      <c r="L610" s="2" t="s">
        <v>865</v>
      </c>
      <c r="M610" s="5">
        <v>46167</v>
      </c>
      <c r="N610" s="3">
        <f>VLOOKUP(NavDataRegion[[#This Row],[Spool No]],[1]Sheet2!$B:$U,20,0)</f>
        <v>5.9118000000000004</v>
      </c>
      <c r="O610" s="2">
        <v>3.75</v>
      </c>
      <c r="P610" s="2">
        <v>0.75</v>
      </c>
      <c r="Q610" s="2"/>
    </row>
    <row r="611" spans="1:17" ht="20.100000000000001" customHeight="1">
      <c r="A611" s="2" t="s">
        <v>9</v>
      </c>
      <c r="B611" s="2" t="s">
        <v>925</v>
      </c>
      <c r="C611" s="2" t="s">
        <v>926</v>
      </c>
      <c r="D611" s="2" t="e">
        <f>VLOOKUP(C:C,Vlookup!A:A,1,0)</f>
        <v>#N/A</v>
      </c>
      <c r="E611" s="2">
        <v>14</v>
      </c>
      <c r="F611" s="17" t="s">
        <v>10</v>
      </c>
      <c r="G611" s="17" t="s">
        <v>25</v>
      </c>
      <c r="H611" s="2" t="s">
        <v>11</v>
      </c>
      <c r="I611" s="2">
        <v>1</v>
      </c>
      <c r="J611" s="5">
        <v>46101</v>
      </c>
      <c r="K611" s="5">
        <v>46104</v>
      </c>
      <c r="L611" s="2" t="s">
        <v>865</v>
      </c>
      <c r="M611" s="5">
        <v>45754</v>
      </c>
      <c r="N611" s="3">
        <f>VLOOKUP(NavDataRegion[[#This Row],[Spool No]],[1]Sheet2!$B:$U,20,0)</f>
        <v>410.66789999999997</v>
      </c>
      <c r="O611" s="2">
        <v>30</v>
      </c>
      <c r="P611" s="2">
        <v>4</v>
      </c>
      <c r="Q611" s="2"/>
    </row>
    <row r="612" spans="1:17" ht="20.100000000000001" customHeight="1">
      <c r="A612" s="2" t="s">
        <v>9</v>
      </c>
      <c r="B612" s="2" t="s">
        <v>1109</v>
      </c>
      <c r="C612" s="2" t="s">
        <v>1110</v>
      </c>
      <c r="D612" s="2" t="e">
        <f>VLOOKUP(C:C,Vlookup!A:A,1,0)</f>
        <v>#N/A</v>
      </c>
      <c r="E612" s="2">
        <v>14</v>
      </c>
      <c r="F612" s="17" t="s">
        <v>10</v>
      </c>
      <c r="G612" s="17" t="s">
        <v>25</v>
      </c>
      <c r="H612" s="2" t="s">
        <v>11</v>
      </c>
      <c r="I612" s="2">
        <v>1</v>
      </c>
      <c r="J612" s="5">
        <v>46098</v>
      </c>
      <c r="K612" s="5">
        <v>46099</v>
      </c>
      <c r="L612" s="2" t="s">
        <v>865</v>
      </c>
      <c r="M612" s="5">
        <v>45754</v>
      </c>
      <c r="N612" s="3">
        <f>VLOOKUP(NavDataRegion[[#This Row],[Spool No]],[1]Sheet2!$B:$U,20,0)</f>
        <v>7.5640400000000003</v>
      </c>
      <c r="O612" s="2">
        <v>3</v>
      </c>
      <c r="P612" s="2">
        <v>1</v>
      </c>
      <c r="Q612" s="2"/>
    </row>
    <row r="613" spans="1:17" ht="20.100000000000001" customHeight="1">
      <c r="A613" s="2" t="s">
        <v>9</v>
      </c>
      <c r="B613" s="2" t="s">
        <v>951</v>
      </c>
      <c r="C613" s="2" t="s">
        <v>952</v>
      </c>
      <c r="D613" s="2" t="e">
        <f>VLOOKUP(C:C,Vlookup!A:A,1,0)</f>
        <v>#N/A</v>
      </c>
      <c r="E613" s="2">
        <v>14</v>
      </c>
      <c r="F613" s="17" t="s">
        <v>10</v>
      </c>
      <c r="G613" s="17" t="s">
        <v>25</v>
      </c>
      <c r="H613" s="2" t="s">
        <v>11</v>
      </c>
      <c r="I613" s="2">
        <v>1</v>
      </c>
      <c r="J613" s="5">
        <v>46093</v>
      </c>
      <c r="K613" s="5">
        <v>46094</v>
      </c>
      <c r="L613" s="2" t="s">
        <v>865</v>
      </c>
      <c r="M613" s="5">
        <v>45754</v>
      </c>
      <c r="N613" s="3">
        <f>VLOOKUP(NavDataRegion[[#This Row],[Spool No]],[1]Sheet2!$B:$U,20,0)</f>
        <v>3.0465599999999999</v>
      </c>
      <c r="O613" s="2">
        <v>3</v>
      </c>
      <c r="P613" s="2">
        <v>1</v>
      </c>
      <c r="Q613" s="2"/>
    </row>
    <row r="614" spans="1:17" ht="20.100000000000001" customHeight="1">
      <c r="A614" s="2" t="s">
        <v>9</v>
      </c>
      <c r="B614" s="2" t="s">
        <v>953</v>
      </c>
      <c r="C614" s="2" t="s">
        <v>954</v>
      </c>
      <c r="D614" s="2" t="e">
        <f>VLOOKUP(C:C,Vlookup!A:A,1,0)</f>
        <v>#N/A</v>
      </c>
      <c r="E614" s="2">
        <v>14</v>
      </c>
      <c r="F614" s="17" t="s">
        <v>10</v>
      </c>
      <c r="G614" s="17" t="s">
        <v>25</v>
      </c>
      <c r="H614" s="2" t="s">
        <v>11</v>
      </c>
      <c r="I614" s="2">
        <v>1</v>
      </c>
      <c r="J614" s="5">
        <v>46093</v>
      </c>
      <c r="K614" s="5">
        <v>46094</v>
      </c>
      <c r="L614" s="2" t="s">
        <v>865</v>
      </c>
      <c r="M614" s="5">
        <v>45754</v>
      </c>
      <c r="N614" s="3">
        <f>VLOOKUP(NavDataRegion[[#This Row],[Spool No]],[1]Sheet2!$B:$U,20,0)</f>
        <v>3.7107600000000001</v>
      </c>
      <c r="O614" s="2">
        <v>3</v>
      </c>
      <c r="P614" s="2">
        <v>1</v>
      </c>
      <c r="Q614" s="2"/>
    </row>
    <row r="615" spans="1:17" ht="20.100000000000001" customHeight="1">
      <c r="A615" s="2" t="s">
        <v>9</v>
      </c>
      <c r="B615" s="2" t="s">
        <v>1347</v>
      </c>
      <c r="C615" s="2" t="s">
        <v>1348</v>
      </c>
      <c r="D615" s="2" t="e">
        <f>VLOOKUP(C:C,Vlookup!A:A,1,0)</f>
        <v>#N/A</v>
      </c>
      <c r="E615" s="2">
        <v>23</v>
      </c>
      <c r="F615" s="17" t="s">
        <v>10</v>
      </c>
      <c r="G615" s="17" t="s">
        <v>281</v>
      </c>
      <c r="H615" s="2" t="s">
        <v>11</v>
      </c>
      <c r="I615" s="2">
        <v>1</v>
      </c>
      <c r="J615" s="5">
        <v>46135</v>
      </c>
      <c r="K615" s="5">
        <v>46136</v>
      </c>
      <c r="L615" s="2" t="s">
        <v>865</v>
      </c>
      <c r="M615" s="5">
        <v>46185</v>
      </c>
      <c r="N615" s="3">
        <f>VLOOKUP(NavDataRegion[[#This Row],[Spool No]],[1]Sheet2!$B:$U,20,0)</f>
        <v>9.6091999999999995</v>
      </c>
      <c r="O615" s="2">
        <v>3.75</v>
      </c>
      <c r="P615" s="2">
        <v>0.75</v>
      </c>
      <c r="Q615" s="2"/>
    </row>
    <row r="616" spans="1:17" ht="20.100000000000001" customHeight="1">
      <c r="A616" s="2" t="s">
        <v>9</v>
      </c>
      <c r="B616" s="2" t="s">
        <v>1359</v>
      </c>
      <c r="C616" s="2" t="s">
        <v>1360</v>
      </c>
      <c r="D616" s="2" t="e">
        <f>VLOOKUP(C:C,Vlookup!A:A,1,0)</f>
        <v>#N/A</v>
      </c>
      <c r="E616" s="2">
        <v>14</v>
      </c>
      <c r="F616" s="17" t="s">
        <v>10</v>
      </c>
      <c r="G616" s="17" t="s">
        <v>25</v>
      </c>
      <c r="H616" s="2" t="s">
        <v>11</v>
      </c>
      <c r="I616" s="2">
        <v>1</v>
      </c>
      <c r="J616" s="5">
        <v>46105</v>
      </c>
      <c r="K616" s="5">
        <v>46106</v>
      </c>
      <c r="L616" s="2" t="s">
        <v>865</v>
      </c>
      <c r="M616" s="5">
        <v>45754</v>
      </c>
      <c r="N616" s="3">
        <f>VLOOKUP(NavDataRegion[[#This Row],[Spool No]],[1]Sheet2!$B:$U,20,0)</f>
        <v>9.6167999999999996</v>
      </c>
      <c r="O616" s="2">
        <v>6.75</v>
      </c>
      <c r="P616" s="2">
        <v>0.75</v>
      </c>
      <c r="Q616" s="2"/>
    </row>
    <row r="617" spans="1:17" ht="20.100000000000001" customHeight="1">
      <c r="A617" s="2" t="s">
        <v>9</v>
      </c>
      <c r="B617" s="2" t="s">
        <v>1145</v>
      </c>
      <c r="C617" s="2" t="s">
        <v>1548</v>
      </c>
      <c r="D617" s="2" t="e">
        <f>VLOOKUP(C:C,Vlookup!A:A,1,0)</f>
        <v>#N/A</v>
      </c>
      <c r="E617" s="2">
        <v>14</v>
      </c>
      <c r="F617" s="17" t="s">
        <v>10</v>
      </c>
      <c r="G617" s="17" t="s">
        <v>25</v>
      </c>
      <c r="H617" s="2" t="s">
        <v>11</v>
      </c>
      <c r="I617" s="2">
        <v>1</v>
      </c>
      <c r="J617" s="5">
        <v>46100</v>
      </c>
      <c r="K617" s="5">
        <v>46101</v>
      </c>
      <c r="L617" s="2" t="s">
        <v>865</v>
      </c>
      <c r="M617" s="5">
        <v>45754</v>
      </c>
      <c r="N617" s="3">
        <f>VLOOKUP(NavDataRegion[[#This Row],[Spool No]],[1]Sheet2!$B:$U,20,0)</f>
        <v>6.0107999999999997</v>
      </c>
      <c r="O617" s="2">
        <v>3</v>
      </c>
      <c r="P617" s="2">
        <v>0.75</v>
      </c>
      <c r="Q617" s="2"/>
    </row>
    <row r="618" spans="1:17" ht="20.100000000000001" customHeight="1">
      <c r="A618" s="2" t="s">
        <v>9</v>
      </c>
      <c r="B618" s="2" t="s">
        <v>1365</v>
      </c>
      <c r="C618" s="2" t="s">
        <v>1366</v>
      </c>
      <c r="D618" s="2" t="e">
        <f>VLOOKUP(C:C,Vlookup!A:A,1,0)</f>
        <v>#N/A</v>
      </c>
      <c r="E618" s="2">
        <v>14</v>
      </c>
      <c r="F618" s="17" t="s">
        <v>10</v>
      </c>
      <c r="G618" s="17" t="s">
        <v>25</v>
      </c>
      <c r="H618" s="2" t="s">
        <v>11</v>
      </c>
      <c r="I618" s="2">
        <v>1</v>
      </c>
      <c r="J618" s="5">
        <v>46105</v>
      </c>
      <c r="K618" s="5">
        <v>46106</v>
      </c>
      <c r="L618" s="2" t="s">
        <v>865</v>
      </c>
      <c r="M618" s="5">
        <v>45754</v>
      </c>
      <c r="N618" s="3">
        <f>VLOOKUP(NavDataRegion[[#This Row],[Spool No]],[1]Sheet2!$B:$U,20,0)</f>
        <v>6.0561999999999996</v>
      </c>
      <c r="O618" s="2">
        <v>2.25</v>
      </c>
      <c r="P618" s="2">
        <v>0.75</v>
      </c>
      <c r="Q618" s="2"/>
    </row>
    <row r="619" spans="1:17" ht="20.100000000000001" customHeight="1">
      <c r="A619" s="2" t="s">
        <v>9</v>
      </c>
      <c r="B619" s="2" t="s">
        <v>953</v>
      </c>
      <c r="C619" s="2" t="s">
        <v>1483</v>
      </c>
      <c r="D619" s="2" t="e">
        <f>VLOOKUP(C:C,Vlookup!A:A,1,0)</f>
        <v>#N/A</v>
      </c>
      <c r="E619" s="2">
        <v>14</v>
      </c>
      <c r="F619" s="17" t="s">
        <v>10</v>
      </c>
      <c r="G619" s="17" t="s">
        <v>25</v>
      </c>
      <c r="H619" s="2" t="s">
        <v>11</v>
      </c>
      <c r="I619" s="2">
        <v>1</v>
      </c>
      <c r="J619" s="5">
        <v>46093</v>
      </c>
      <c r="K619" s="5">
        <v>46094</v>
      </c>
      <c r="L619" s="2" t="s">
        <v>865</v>
      </c>
      <c r="M619" s="5">
        <v>45754</v>
      </c>
      <c r="N619" s="3">
        <f>VLOOKUP(NavDataRegion[[#This Row],[Spool No]],[1]Sheet2!$B:$U,20,0)</f>
        <v>24.823</v>
      </c>
      <c r="O619" s="2">
        <v>2</v>
      </c>
      <c r="P619" s="2">
        <v>1</v>
      </c>
      <c r="Q619" s="2"/>
    </row>
    <row r="620" spans="1:17" ht="20.100000000000001" customHeight="1">
      <c r="A620" s="2" t="s">
        <v>9</v>
      </c>
      <c r="B620" s="2" t="s">
        <v>1367</v>
      </c>
      <c r="C620" s="2" t="s">
        <v>1368</v>
      </c>
      <c r="D620" s="2" t="e">
        <f>VLOOKUP(C:C,Vlookup!A:A,1,0)</f>
        <v>#N/A</v>
      </c>
      <c r="E620" s="2">
        <v>14</v>
      </c>
      <c r="F620" s="17" t="s">
        <v>10</v>
      </c>
      <c r="G620" s="17" t="s">
        <v>25</v>
      </c>
      <c r="H620" s="2" t="s">
        <v>11</v>
      </c>
      <c r="I620" s="2">
        <v>1</v>
      </c>
      <c r="J620" s="5">
        <v>46105</v>
      </c>
      <c r="K620" s="5">
        <v>46106</v>
      </c>
      <c r="L620" s="2" t="s">
        <v>865</v>
      </c>
      <c r="M620" s="5">
        <v>45754</v>
      </c>
      <c r="N620" s="3">
        <f>VLOOKUP(NavDataRegion[[#This Row],[Spool No]],[1]Sheet2!$B:$U,20,0)</f>
        <v>6.5648</v>
      </c>
      <c r="O620" s="2">
        <v>3.75</v>
      </c>
      <c r="P620" s="2">
        <v>0.75</v>
      </c>
      <c r="Q620" s="2"/>
    </row>
    <row r="621" spans="1:17" ht="20.100000000000001" customHeight="1">
      <c r="A621" s="2" t="s">
        <v>9</v>
      </c>
      <c r="B621" s="2" t="s">
        <v>927</v>
      </c>
      <c r="C621" s="2" t="s">
        <v>928</v>
      </c>
      <c r="D621" s="2" t="e">
        <f>VLOOKUP(C:C,Vlookup!A:A,1,0)</f>
        <v>#N/A</v>
      </c>
      <c r="E621" s="2">
        <v>14</v>
      </c>
      <c r="F621" s="17" t="s">
        <v>10</v>
      </c>
      <c r="G621" s="17" t="s">
        <v>25</v>
      </c>
      <c r="H621" s="2" t="s">
        <v>11</v>
      </c>
      <c r="I621" s="2">
        <v>1</v>
      </c>
      <c r="J621" s="5">
        <v>46101</v>
      </c>
      <c r="K621" s="5">
        <v>46104</v>
      </c>
      <c r="L621" s="2" t="s">
        <v>865</v>
      </c>
      <c r="M621" s="5">
        <v>45754</v>
      </c>
      <c r="N621" s="3">
        <f>VLOOKUP(NavDataRegion[[#This Row],[Spool No]],[1]Sheet2!$B:$U,20,0)</f>
        <v>70.534400000000005</v>
      </c>
      <c r="O621" s="2">
        <v>18</v>
      </c>
      <c r="P621" s="2">
        <v>2</v>
      </c>
      <c r="Q621" s="2"/>
    </row>
    <row r="622" spans="1:17" ht="20.100000000000001" customHeight="1">
      <c r="A622" s="2" t="s">
        <v>9</v>
      </c>
      <c r="B622" s="2" t="s">
        <v>1165</v>
      </c>
      <c r="C622" s="2" t="s">
        <v>1718</v>
      </c>
      <c r="D622" s="2" t="e">
        <f>VLOOKUP(C:C,Vlookup!A:A,1,0)</f>
        <v>#N/A</v>
      </c>
      <c r="E622" s="2">
        <v>14</v>
      </c>
      <c r="F622" s="17" t="s">
        <v>10</v>
      </c>
      <c r="G622" s="17" t="s">
        <v>25</v>
      </c>
      <c r="H622" s="2" t="s">
        <v>11</v>
      </c>
      <c r="I622" s="2">
        <v>1</v>
      </c>
      <c r="J622" s="5">
        <v>46100</v>
      </c>
      <c r="K622" s="5">
        <v>46101</v>
      </c>
      <c r="L622" s="2" t="s">
        <v>865</v>
      </c>
      <c r="M622" s="5">
        <v>45754</v>
      </c>
      <c r="N622" s="3">
        <f>VLOOKUP(NavDataRegion[[#This Row],[Spool No]],[1]Sheet2!$B:$U,20,0)</f>
        <v>4.0616000000000003</v>
      </c>
      <c r="O622" s="2">
        <v>4.5</v>
      </c>
      <c r="P622" s="2">
        <v>0.75</v>
      </c>
      <c r="Q622" s="2"/>
    </row>
    <row r="623" spans="1:17" ht="20.100000000000001" customHeight="1">
      <c r="A623" s="2" t="s">
        <v>9</v>
      </c>
      <c r="B623" s="2" t="s">
        <v>1165</v>
      </c>
      <c r="C623" s="2" t="s">
        <v>1822</v>
      </c>
      <c r="D623" s="2" t="e">
        <f>VLOOKUP(C:C,Vlookup!A:A,1,0)</f>
        <v>#N/A</v>
      </c>
      <c r="E623" s="2">
        <v>14</v>
      </c>
      <c r="F623" s="17" t="s">
        <v>10</v>
      </c>
      <c r="G623" s="17" t="s">
        <v>25</v>
      </c>
      <c r="H623" s="2" t="s">
        <v>11</v>
      </c>
      <c r="I623" s="2">
        <v>1</v>
      </c>
      <c r="J623" s="5">
        <v>46100</v>
      </c>
      <c r="K623" s="5">
        <v>46101</v>
      </c>
      <c r="L623" s="2" t="s">
        <v>865</v>
      </c>
      <c r="M623" s="5">
        <v>45754</v>
      </c>
      <c r="N623" s="3">
        <f>VLOOKUP(NavDataRegion[[#This Row],[Spool No]],[1]Sheet2!$B:$U,20,0)</f>
        <v>5.2413999999999996</v>
      </c>
      <c r="O623" s="2">
        <v>3.75</v>
      </c>
      <c r="P623" s="2">
        <v>0.75</v>
      </c>
      <c r="Q623" s="2"/>
    </row>
    <row r="624" spans="1:17" ht="20.100000000000001" customHeight="1">
      <c r="A624" s="2" t="s">
        <v>9</v>
      </c>
      <c r="B624" s="2" t="s">
        <v>1405</v>
      </c>
      <c r="C624" s="2" t="s">
        <v>1406</v>
      </c>
      <c r="D624" s="2" t="e">
        <f>VLOOKUP(C:C,Vlookup!A:A,1,0)</f>
        <v>#N/A</v>
      </c>
      <c r="E624" s="2">
        <v>16</v>
      </c>
      <c r="F624" s="17" t="s">
        <v>10</v>
      </c>
      <c r="G624" s="17" t="s">
        <v>25</v>
      </c>
      <c r="H624" s="2" t="s">
        <v>11</v>
      </c>
      <c r="I624" s="2">
        <v>1</v>
      </c>
      <c r="J624" s="5">
        <v>46107</v>
      </c>
      <c r="K624" s="5">
        <v>46111</v>
      </c>
      <c r="L624" s="2" t="s">
        <v>865</v>
      </c>
      <c r="M624" s="5">
        <v>46167</v>
      </c>
      <c r="N624" s="3">
        <f>VLOOKUP(NavDataRegion[[#This Row],[Spool No]],[1]Sheet2!$B:$U,20,0)</f>
        <v>7.0166000000000004</v>
      </c>
      <c r="O624" s="2">
        <v>5.25</v>
      </c>
      <c r="P624" s="2">
        <v>0.75</v>
      </c>
      <c r="Q624" s="2"/>
    </row>
    <row r="625" spans="1:17" ht="20.100000000000001" customHeight="1">
      <c r="A625" s="2" t="s">
        <v>9</v>
      </c>
      <c r="B625" s="2" t="s">
        <v>1409</v>
      </c>
      <c r="C625" s="2" t="s">
        <v>1410</v>
      </c>
      <c r="D625" s="2" t="e">
        <f>VLOOKUP(C:C,Vlookup!A:A,1,0)</f>
        <v>#N/A</v>
      </c>
      <c r="E625" s="2">
        <v>14</v>
      </c>
      <c r="F625" s="17" t="s">
        <v>10</v>
      </c>
      <c r="G625" s="17" t="s">
        <v>25</v>
      </c>
      <c r="H625" s="2" t="s">
        <v>11</v>
      </c>
      <c r="I625" s="2">
        <v>1</v>
      </c>
      <c r="J625" s="5">
        <v>46105</v>
      </c>
      <c r="K625" s="5">
        <v>46106</v>
      </c>
      <c r="L625" s="2" t="s">
        <v>865</v>
      </c>
      <c r="M625" s="5">
        <v>45754</v>
      </c>
      <c r="N625" s="3">
        <f>VLOOKUP(NavDataRegion[[#This Row],[Spool No]],[1]Sheet2!$B:$U,20,0)</f>
        <v>8.0142000000000007</v>
      </c>
      <c r="O625" s="2">
        <v>2.25</v>
      </c>
      <c r="P625" s="2">
        <v>0.75</v>
      </c>
      <c r="Q625" s="2"/>
    </row>
    <row r="626" spans="1:17" ht="20.100000000000001" customHeight="1">
      <c r="A626" s="2" t="s">
        <v>9</v>
      </c>
      <c r="B626" s="2" t="s">
        <v>1435</v>
      </c>
      <c r="C626" s="2" t="s">
        <v>1436</v>
      </c>
      <c r="D626" s="2" t="e">
        <f>VLOOKUP(C:C,Vlookup!A:A,1,0)</f>
        <v>#N/A</v>
      </c>
      <c r="E626" s="2">
        <v>16</v>
      </c>
      <c r="F626" s="17" t="s">
        <v>10</v>
      </c>
      <c r="G626" s="17" t="s">
        <v>25</v>
      </c>
      <c r="H626" s="2" t="s">
        <v>11</v>
      </c>
      <c r="I626" s="2">
        <v>1</v>
      </c>
      <c r="J626" s="5">
        <v>46108</v>
      </c>
      <c r="K626" s="5">
        <v>46111</v>
      </c>
      <c r="L626" s="2" t="s">
        <v>865</v>
      </c>
      <c r="M626" s="5">
        <v>46167</v>
      </c>
      <c r="N626" s="3">
        <f>VLOOKUP(NavDataRegion[[#This Row],[Spool No]],[1]Sheet2!$B:$U,20,0)</f>
        <v>0.64980000000000004</v>
      </c>
      <c r="O626" s="2">
        <v>0.75</v>
      </c>
      <c r="P626" s="2">
        <v>0.75</v>
      </c>
      <c r="Q626" s="2"/>
    </row>
    <row r="627" spans="1:17" ht="20.100000000000001" customHeight="1">
      <c r="A627" s="2" t="s">
        <v>9</v>
      </c>
      <c r="B627" s="2" t="s">
        <v>1441</v>
      </c>
      <c r="C627" s="2" t="s">
        <v>1442</v>
      </c>
      <c r="D627" s="2" t="e">
        <f>VLOOKUP(C:C,Vlookup!A:A,1,0)</f>
        <v>#N/A</v>
      </c>
      <c r="E627" s="2">
        <v>16</v>
      </c>
      <c r="F627" s="17" t="s">
        <v>10</v>
      </c>
      <c r="G627" s="17" t="s">
        <v>25</v>
      </c>
      <c r="H627" s="2" t="s">
        <v>11</v>
      </c>
      <c r="I627" s="2">
        <v>1</v>
      </c>
      <c r="J627" s="5">
        <v>46108</v>
      </c>
      <c r="K627" s="5">
        <v>46111</v>
      </c>
      <c r="L627" s="2" t="s">
        <v>865</v>
      </c>
      <c r="M627" s="5">
        <v>46167</v>
      </c>
      <c r="N627" s="3">
        <f>VLOOKUP(NavDataRegion[[#This Row],[Spool No]],[1]Sheet2!$B:$U,20,0)</f>
        <v>0.64980000000000004</v>
      </c>
      <c r="O627" s="2">
        <v>0.75</v>
      </c>
      <c r="P627" s="2">
        <v>0.75</v>
      </c>
      <c r="Q627" s="2"/>
    </row>
    <row r="628" spans="1:17" ht="20.100000000000001" customHeight="1">
      <c r="A628" s="2" t="s">
        <v>9</v>
      </c>
      <c r="B628" s="2" t="s">
        <v>955</v>
      </c>
      <c r="C628" s="2" t="s">
        <v>956</v>
      </c>
      <c r="D628" s="2" t="e">
        <f>VLOOKUP(C:C,Vlookup!A:A,1,0)</f>
        <v>#N/A</v>
      </c>
      <c r="E628" s="2">
        <v>14</v>
      </c>
      <c r="F628" s="17" t="s">
        <v>10</v>
      </c>
      <c r="G628" s="17" t="s">
        <v>25</v>
      </c>
      <c r="H628" s="2" t="s">
        <v>11</v>
      </c>
      <c r="I628" s="2">
        <v>1</v>
      </c>
      <c r="J628" s="5">
        <v>46093</v>
      </c>
      <c r="K628" s="5">
        <v>46094</v>
      </c>
      <c r="L628" s="2" t="s">
        <v>865</v>
      </c>
      <c r="M628" s="5">
        <v>45754</v>
      </c>
      <c r="N628" s="3">
        <f>VLOOKUP(NavDataRegion[[#This Row],[Spool No]],[1]Sheet2!$B:$U,20,0)</f>
        <v>19.632760000000001</v>
      </c>
      <c r="O628" s="2">
        <v>4</v>
      </c>
      <c r="P628" s="2">
        <v>1</v>
      </c>
      <c r="Q628" s="2"/>
    </row>
    <row r="629" spans="1:17" ht="20.100000000000001" customHeight="1">
      <c r="A629" s="2" t="s">
        <v>9</v>
      </c>
      <c r="B629" s="2" t="s">
        <v>1445</v>
      </c>
      <c r="C629" s="2" t="s">
        <v>1446</v>
      </c>
      <c r="D629" s="2" t="e">
        <f>VLOOKUP(C:C,Vlookup!A:A,1,0)</f>
        <v>#N/A</v>
      </c>
      <c r="E629" s="2">
        <v>16</v>
      </c>
      <c r="F629" s="17" t="s">
        <v>10</v>
      </c>
      <c r="G629" s="17" t="s">
        <v>25</v>
      </c>
      <c r="H629" s="2" t="s">
        <v>11</v>
      </c>
      <c r="I629" s="2">
        <v>1</v>
      </c>
      <c r="J629" s="5">
        <v>46108</v>
      </c>
      <c r="K629" s="5">
        <v>46111</v>
      </c>
      <c r="L629" s="2" t="s">
        <v>865</v>
      </c>
      <c r="M629" s="5">
        <v>46167</v>
      </c>
      <c r="N629" s="3">
        <f>VLOOKUP(NavDataRegion[[#This Row],[Spool No]],[1]Sheet2!$B:$U,20,0)</f>
        <v>0.64980000000000004</v>
      </c>
      <c r="O629" s="2">
        <v>0.75</v>
      </c>
      <c r="P629" s="2">
        <v>0.75</v>
      </c>
      <c r="Q629" s="2"/>
    </row>
    <row r="630" spans="1:17" ht="20.100000000000001" customHeight="1">
      <c r="A630" s="2" t="s">
        <v>9</v>
      </c>
      <c r="B630" s="2" t="s">
        <v>1111</v>
      </c>
      <c r="C630" s="2" t="s">
        <v>1538</v>
      </c>
      <c r="D630" s="2" t="e">
        <f>VLOOKUP(C:C,Vlookup!A:A,1,0)</f>
        <v>#N/A</v>
      </c>
      <c r="E630" s="2">
        <v>14</v>
      </c>
      <c r="F630" s="17" t="s">
        <v>10</v>
      </c>
      <c r="G630" s="17" t="s">
        <v>25</v>
      </c>
      <c r="H630" s="2" t="s">
        <v>11</v>
      </c>
      <c r="I630" s="2">
        <v>1</v>
      </c>
      <c r="J630" s="5">
        <v>46098</v>
      </c>
      <c r="K630" s="5">
        <v>46099</v>
      </c>
      <c r="L630" s="2" t="s">
        <v>865</v>
      </c>
      <c r="M630" s="5">
        <v>45754</v>
      </c>
      <c r="N630" s="3">
        <f>VLOOKUP(NavDataRegion[[#This Row],[Spool No]],[1]Sheet2!$B:$U,20,0)</f>
        <v>4.6168800000000001</v>
      </c>
      <c r="O630" s="2">
        <v>5</v>
      </c>
      <c r="P630" s="2">
        <v>1</v>
      </c>
      <c r="Q630" s="2"/>
    </row>
    <row r="631" spans="1:17" ht="20.100000000000001" customHeight="1">
      <c r="A631" s="2" t="s">
        <v>9</v>
      </c>
      <c r="B631" s="2" t="s">
        <v>887</v>
      </c>
      <c r="C631" s="2" t="s">
        <v>1453</v>
      </c>
      <c r="D631" s="2" t="e">
        <f>VLOOKUP(C:C,Vlookup!A:A,1,0)</f>
        <v>#N/A</v>
      </c>
      <c r="E631" s="2">
        <v>23</v>
      </c>
      <c r="F631" s="17" t="s">
        <v>10</v>
      </c>
      <c r="G631" s="17" t="s">
        <v>10</v>
      </c>
      <c r="H631" s="2" t="s">
        <v>11</v>
      </c>
      <c r="I631" s="2">
        <v>1</v>
      </c>
      <c r="J631" s="5">
        <v>46135</v>
      </c>
      <c r="K631" s="5">
        <v>46136</v>
      </c>
      <c r="L631" s="2" t="s">
        <v>865</v>
      </c>
      <c r="M631" s="5">
        <v>46185</v>
      </c>
      <c r="N631" s="3">
        <f>VLOOKUP(NavDataRegion[[#This Row],[Spool No]],[1]Sheet2!$B:$U,20,0)</f>
        <v>10.263780000000001</v>
      </c>
      <c r="O631" s="2">
        <v>1.5</v>
      </c>
      <c r="P631" s="2">
        <v>0.75</v>
      </c>
      <c r="Q631" s="2"/>
    </row>
    <row r="632" spans="1:17" ht="20.100000000000001" customHeight="1">
      <c r="A632" s="2" t="s">
        <v>9</v>
      </c>
      <c r="B632" s="2" t="s">
        <v>889</v>
      </c>
      <c r="C632" s="2" t="s">
        <v>1454</v>
      </c>
      <c r="D632" s="2" t="e">
        <f>VLOOKUP(C:C,Vlookup!A:A,1,0)</f>
        <v>#N/A</v>
      </c>
      <c r="E632" s="2">
        <v>23</v>
      </c>
      <c r="F632" s="17" t="s">
        <v>10</v>
      </c>
      <c r="G632" s="17" t="s">
        <v>1946</v>
      </c>
      <c r="H632" s="2" t="s">
        <v>11</v>
      </c>
      <c r="I632" s="2">
        <v>1</v>
      </c>
      <c r="J632" s="5">
        <v>46135</v>
      </c>
      <c r="K632" s="5">
        <v>46136</v>
      </c>
      <c r="L632" s="2" t="s">
        <v>865</v>
      </c>
      <c r="M632" s="5">
        <v>46185</v>
      </c>
      <c r="N632" s="3">
        <f>VLOOKUP(NavDataRegion[[#This Row],[Spool No]],[1]Sheet2!$B:$U,20,0)</f>
        <v>4.2089699999999999</v>
      </c>
      <c r="O632" s="2">
        <v>1.5</v>
      </c>
      <c r="P632" s="2">
        <v>0.75</v>
      </c>
      <c r="Q632" s="2"/>
    </row>
    <row r="633" spans="1:17" ht="20.100000000000001" customHeight="1">
      <c r="A633" s="2" t="s">
        <v>9</v>
      </c>
      <c r="B633" s="2" t="s">
        <v>891</v>
      </c>
      <c r="C633" s="2" t="s">
        <v>1455</v>
      </c>
      <c r="D633" s="2" t="e">
        <f>VLOOKUP(C:C,Vlookup!A:A,1,0)</f>
        <v>#N/A</v>
      </c>
      <c r="E633" s="2">
        <v>23</v>
      </c>
      <c r="F633" s="17" t="s">
        <v>10</v>
      </c>
      <c r="G633" s="17" t="s">
        <v>10</v>
      </c>
      <c r="H633" s="2" t="s">
        <v>11</v>
      </c>
      <c r="I633" s="2">
        <v>1</v>
      </c>
      <c r="J633" s="5">
        <v>46135</v>
      </c>
      <c r="K633" s="5">
        <v>46136</v>
      </c>
      <c r="L633" s="2" t="s">
        <v>865</v>
      </c>
      <c r="M633" s="5">
        <v>46185</v>
      </c>
      <c r="N633" s="3">
        <f>VLOOKUP(NavDataRegion[[#This Row],[Spool No]],[1]Sheet2!$B:$U,20,0)</f>
        <v>10.263780000000001</v>
      </c>
      <c r="O633" s="2">
        <v>1.5</v>
      </c>
      <c r="P633" s="2">
        <v>0.75</v>
      </c>
      <c r="Q633" s="2"/>
    </row>
    <row r="634" spans="1:17" ht="20.100000000000001" customHeight="1">
      <c r="A634" s="2" t="s">
        <v>9</v>
      </c>
      <c r="B634" s="2" t="s">
        <v>893</v>
      </c>
      <c r="C634" s="2" t="s">
        <v>1456</v>
      </c>
      <c r="D634" s="2" t="e">
        <f>VLOOKUP(C:C,Vlookup!A:A,1,0)</f>
        <v>#N/A</v>
      </c>
      <c r="E634" s="2">
        <v>23</v>
      </c>
      <c r="F634" s="17" t="s">
        <v>10</v>
      </c>
      <c r="G634" s="17" t="s">
        <v>10</v>
      </c>
      <c r="H634" s="2" t="s">
        <v>11</v>
      </c>
      <c r="I634" s="2">
        <v>1</v>
      </c>
      <c r="J634" s="5">
        <v>46135</v>
      </c>
      <c r="K634" s="5">
        <v>46136</v>
      </c>
      <c r="L634" s="2" t="s">
        <v>865</v>
      </c>
      <c r="M634" s="5">
        <v>46185</v>
      </c>
      <c r="N634" s="3">
        <f>VLOOKUP(NavDataRegion[[#This Row],[Spool No]],[1]Sheet2!$B:$U,20,0)</f>
        <v>10.263780000000001</v>
      </c>
      <c r="O634" s="2">
        <v>1.5</v>
      </c>
      <c r="P634" s="2">
        <v>0.75</v>
      </c>
      <c r="Q634" s="2"/>
    </row>
    <row r="635" spans="1:17" ht="20.100000000000001" customHeight="1">
      <c r="A635" s="2" t="s">
        <v>9</v>
      </c>
      <c r="B635" s="2" t="s">
        <v>935</v>
      </c>
      <c r="C635" s="2" t="s">
        <v>1474</v>
      </c>
      <c r="D635" s="2" t="e">
        <f>VLOOKUP(C:C,Vlookup!A:A,1,0)</f>
        <v>#N/A</v>
      </c>
      <c r="E635" s="2">
        <v>14</v>
      </c>
      <c r="F635" s="17" t="s">
        <v>10</v>
      </c>
      <c r="G635" s="17" t="s">
        <v>25</v>
      </c>
      <c r="H635" s="2" t="s">
        <v>11</v>
      </c>
      <c r="I635" s="2">
        <v>1</v>
      </c>
      <c r="J635" s="5">
        <v>46101</v>
      </c>
      <c r="K635" s="5">
        <v>46104</v>
      </c>
      <c r="L635" s="2" t="s">
        <v>865</v>
      </c>
      <c r="M635" s="5">
        <v>45754</v>
      </c>
      <c r="N635" s="3">
        <f>VLOOKUP(NavDataRegion[[#This Row],[Spool No]],[1]Sheet2!$B:$U,20,0)</f>
        <v>39.167760000000001</v>
      </c>
      <c r="O635" s="2">
        <v>4</v>
      </c>
      <c r="P635" s="2">
        <v>1</v>
      </c>
      <c r="Q635" s="2"/>
    </row>
    <row r="636" spans="1:17" ht="20.100000000000001" customHeight="1">
      <c r="A636" s="2" t="s">
        <v>9</v>
      </c>
      <c r="B636" s="2" t="s">
        <v>290</v>
      </c>
      <c r="C636" s="2" t="s">
        <v>291</v>
      </c>
      <c r="D636" s="2" t="e">
        <f>VLOOKUP(C:C,Vlookup!A:A,1,0)</f>
        <v>#N/A</v>
      </c>
      <c r="E636" s="2">
        <v>18</v>
      </c>
      <c r="F636" s="2" t="s">
        <v>292</v>
      </c>
      <c r="G636" s="2" t="s">
        <v>16</v>
      </c>
      <c r="H636" s="2" t="s">
        <v>11</v>
      </c>
      <c r="I636" s="2">
        <v>1</v>
      </c>
      <c r="J636" s="5">
        <v>46111</v>
      </c>
      <c r="K636" s="5">
        <v>46113</v>
      </c>
      <c r="L636" s="2" t="s">
        <v>865</v>
      </c>
      <c r="M636" s="5">
        <v>45754</v>
      </c>
      <c r="N636" s="3">
        <f>VLOOKUP(NavDataRegion[[#This Row],[Spool No]],[1]Sheet2!$B:$U,20,0)</f>
        <v>241.10497659200001</v>
      </c>
      <c r="O636" s="2">
        <v>56</v>
      </c>
      <c r="P636" s="2">
        <v>4</v>
      </c>
      <c r="Q636" s="2"/>
    </row>
    <row r="637" spans="1:17" ht="20.100000000000001" customHeight="1">
      <c r="A637" s="2" t="s">
        <v>9</v>
      </c>
      <c r="B637" s="2" t="s">
        <v>911</v>
      </c>
      <c r="C637" s="2" t="s">
        <v>1463</v>
      </c>
      <c r="D637" s="2" t="e">
        <f>VLOOKUP(C:C,Vlookup!A:A,1,0)</f>
        <v>#N/A</v>
      </c>
      <c r="E637" s="2">
        <v>14</v>
      </c>
      <c r="F637" s="17" t="s">
        <v>10</v>
      </c>
      <c r="G637" s="17" t="s">
        <v>281</v>
      </c>
      <c r="H637" s="2" t="s">
        <v>11</v>
      </c>
      <c r="I637" s="2">
        <v>1</v>
      </c>
      <c r="J637" s="5">
        <v>46105</v>
      </c>
      <c r="K637" s="5">
        <v>46106</v>
      </c>
      <c r="L637" s="2" t="s">
        <v>865</v>
      </c>
      <c r="M637" s="5">
        <v>45754</v>
      </c>
      <c r="N637" s="3">
        <f>VLOOKUP(NavDataRegion[[#This Row],[Spool No]],[1]Sheet2!$B:$U,20,0)</f>
        <v>3.7151999999999998</v>
      </c>
      <c r="O637" s="2">
        <v>4.5</v>
      </c>
      <c r="P637" s="2">
        <v>0.75</v>
      </c>
      <c r="Q637" s="2"/>
    </row>
    <row r="638" spans="1:17" ht="20.100000000000001" customHeight="1">
      <c r="A638" s="2" t="s">
        <v>9</v>
      </c>
      <c r="B638" s="2" t="s">
        <v>913</v>
      </c>
      <c r="C638" s="2" t="s">
        <v>1464</v>
      </c>
      <c r="D638" s="2" t="e">
        <f>VLOOKUP(C:C,Vlookup!A:A,1,0)</f>
        <v>#N/A</v>
      </c>
      <c r="E638" s="2">
        <v>14</v>
      </c>
      <c r="F638" s="17" t="s">
        <v>10</v>
      </c>
      <c r="G638" s="17" t="s">
        <v>281</v>
      </c>
      <c r="H638" s="2" t="s">
        <v>11</v>
      </c>
      <c r="I638" s="2">
        <v>1</v>
      </c>
      <c r="J638" s="5">
        <v>46105</v>
      </c>
      <c r="K638" s="5">
        <v>46106</v>
      </c>
      <c r="L638" s="2" t="s">
        <v>865</v>
      </c>
      <c r="M638" s="5">
        <v>45754</v>
      </c>
      <c r="N638" s="3">
        <f>VLOOKUP(NavDataRegion[[#This Row],[Spool No]],[1]Sheet2!$B:$U,20,0)</f>
        <v>3.7130000000000001</v>
      </c>
      <c r="O638" s="2">
        <v>4.5</v>
      </c>
      <c r="P638" s="2">
        <v>0.75</v>
      </c>
      <c r="Q638" s="2"/>
    </row>
    <row r="639" spans="1:17" ht="20.100000000000001" customHeight="1">
      <c r="A639" s="2" t="s">
        <v>9</v>
      </c>
      <c r="B639" s="2" t="s">
        <v>915</v>
      </c>
      <c r="C639" s="2" t="s">
        <v>1465</v>
      </c>
      <c r="D639" s="2" t="e">
        <f>VLOOKUP(C:C,Vlookup!A:A,1,0)</f>
        <v>#N/A</v>
      </c>
      <c r="E639" s="2">
        <v>14</v>
      </c>
      <c r="F639" s="17" t="s">
        <v>10</v>
      </c>
      <c r="G639" s="17" t="s">
        <v>281</v>
      </c>
      <c r="H639" s="2" t="s">
        <v>11</v>
      </c>
      <c r="I639" s="2">
        <v>1</v>
      </c>
      <c r="J639" s="5">
        <v>46105</v>
      </c>
      <c r="K639" s="5">
        <v>46106</v>
      </c>
      <c r="L639" s="2" t="s">
        <v>865</v>
      </c>
      <c r="M639" s="5">
        <v>45754</v>
      </c>
      <c r="N639" s="3">
        <f>VLOOKUP(NavDataRegion[[#This Row],[Spool No]],[1]Sheet2!$B:$U,20,0)</f>
        <v>3.7130000000000001</v>
      </c>
      <c r="O639" s="2">
        <v>4.5</v>
      </c>
      <c r="P639" s="2">
        <v>0.75</v>
      </c>
      <c r="Q639" s="2"/>
    </row>
    <row r="640" spans="1:17" ht="20.100000000000001" customHeight="1">
      <c r="A640" s="2" t="s">
        <v>9</v>
      </c>
      <c r="B640" s="2" t="s">
        <v>917</v>
      </c>
      <c r="C640" s="2" t="s">
        <v>1466</v>
      </c>
      <c r="D640" s="2" t="e">
        <f>VLOOKUP(C:C,Vlookup!A:A,1,0)</f>
        <v>#N/A</v>
      </c>
      <c r="E640" s="2">
        <v>14</v>
      </c>
      <c r="F640" s="17" t="s">
        <v>10</v>
      </c>
      <c r="G640" s="17" t="s">
        <v>281</v>
      </c>
      <c r="H640" s="2" t="s">
        <v>11</v>
      </c>
      <c r="I640" s="2">
        <v>1</v>
      </c>
      <c r="J640" s="5">
        <v>46105</v>
      </c>
      <c r="K640" s="5">
        <v>46106</v>
      </c>
      <c r="L640" s="2" t="s">
        <v>865</v>
      </c>
      <c r="M640" s="5">
        <v>45754</v>
      </c>
      <c r="N640" s="3">
        <f>VLOOKUP(NavDataRegion[[#This Row],[Spool No]],[1]Sheet2!$B:$U,20,0)</f>
        <v>3.7130000000000001</v>
      </c>
      <c r="O640" s="2">
        <v>4.5</v>
      </c>
      <c r="P640" s="2">
        <v>0.75</v>
      </c>
      <c r="Q640" s="2"/>
    </row>
    <row r="641" spans="1:17" ht="20.100000000000001" customHeight="1">
      <c r="A641" s="2" t="s">
        <v>9</v>
      </c>
      <c r="B641" s="2" t="s">
        <v>919</v>
      </c>
      <c r="C641" s="2" t="s">
        <v>1467</v>
      </c>
      <c r="D641" s="2" t="e">
        <f>VLOOKUP(C:C,Vlookup!A:A,1,0)</f>
        <v>#N/A</v>
      </c>
      <c r="E641" s="2">
        <v>14</v>
      </c>
      <c r="F641" s="17" t="s">
        <v>10</v>
      </c>
      <c r="G641" s="17" t="s">
        <v>281</v>
      </c>
      <c r="H641" s="2" t="s">
        <v>11</v>
      </c>
      <c r="I641" s="2">
        <v>1</v>
      </c>
      <c r="J641" s="5">
        <v>46105</v>
      </c>
      <c r="K641" s="5">
        <v>46106</v>
      </c>
      <c r="L641" s="2" t="s">
        <v>865</v>
      </c>
      <c r="M641" s="5">
        <v>45754</v>
      </c>
      <c r="N641" s="3">
        <f>VLOOKUP(NavDataRegion[[#This Row],[Spool No]],[1]Sheet2!$B:$U,20,0)</f>
        <v>3.7086000000000001</v>
      </c>
      <c r="O641" s="2">
        <v>4.5</v>
      </c>
      <c r="P641" s="2">
        <v>0.75</v>
      </c>
      <c r="Q641" s="2"/>
    </row>
    <row r="642" spans="1:17" ht="20.100000000000001" customHeight="1">
      <c r="A642" s="2" t="s">
        <v>9</v>
      </c>
      <c r="B642" s="2" t="s">
        <v>907</v>
      </c>
      <c r="C642" s="2" t="s">
        <v>1461</v>
      </c>
      <c r="D642" s="2" t="e">
        <f>VLOOKUP(C:C,Vlookup!A:A,1,0)</f>
        <v>#N/A</v>
      </c>
      <c r="E642" s="2">
        <v>16</v>
      </c>
      <c r="F642" s="17" t="s">
        <v>10</v>
      </c>
      <c r="G642" s="17" t="s">
        <v>281</v>
      </c>
      <c r="H642" s="2" t="s">
        <v>11</v>
      </c>
      <c r="I642" s="2">
        <v>1</v>
      </c>
      <c r="J642" s="5">
        <v>46113</v>
      </c>
      <c r="K642" s="5">
        <v>46118</v>
      </c>
      <c r="L642" s="2" t="s">
        <v>865</v>
      </c>
      <c r="M642" s="5">
        <v>46167</v>
      </c>
      <c r="N642" s="3">
        <f>VLOOKUP(NavDataRegion[[#This Row],[Spool No]],[1]Sheet2!$B:$U,20,0)</f>
        <v>39.912649999999999</v>
      </c>
      <c r="O642" s="2">
        <v>4</v>
      </c>
      <c r="P642" s="2">
        <v>1</v>
      </c>
      <c r="Q642" s="2"/>
    </row>
    <row r="643" spans="1:17" ht="20.100000000000001" customHeight="1">
      <c r="A643" s="2" t="s">
        <v>9</v>
      </c>
      <c r="B643" s="2" t="s">
        <v>1181</v>
      </c>
      <c r="C643" s="2" t="s">
        <v>1182</v>
      </c>
      <c r="D643" s="2" t="e">
        <f>VLOOKUP(C:C,Vlookup!A:A,1,0)</f>
        <v>#N/A</v>
      </c>
      <c r="E643" s="2">
        <v>14</v>
      </c>
      <c r="F643" s="17" t="s">
        <v>10</v>
      </c>
      <c r="G643" s="17" t="s">
        <v>25</v>
      </c>
      <c r="H643" s="2" t="s">
        <v>11</v>
      </c>
      <c r="I643" s="2">
        <v>1</v>
      </c>
      <c r="J643" s="5">
        <v>46100</v>
      </c>
      <c r="K643" s="5">
        <v>46101</v>
      </c>
      <c r="L643" s="2" t="s">
        <v>865</v>
      </c>
      <c r="M643" s="5">
        <v>45754</v>
      </c>
      <c r="N643" s="3">
        <f>VLOOKUP(NavDataRegion[[#This Row],[Spool No]],[1]Sheet2!$B:$U,20,0)</f>
        <v>5.9118000000000004</v>
      </c>
      <c r="O643" s="2">
        <v>3.75</v>
      </c>
      <c r="P643" s="2">
        <v>0.75</v>
      </c>
      <c r="Q643" s="2"/>
    </row>
    <row r="644" spans="1:17" ht="20.100000000000001" customHeight="1">
      <c r="A644" s="2" t="s">
        <v>9</v>
      </c>
      <c r="B644" s="2" t="s">
        <v>1187</v>
      </c>
      <c r="C644" s="2" t="s">
        <v>1188</v>
      </c>
      <c r="D644" s="2" t="e">
        <f>VLOOKUP(C:C,Vlookup!A:A,1,0)</f>
        <v>#N/A</v>
      </c>
      <c r="E644" s="2">
        <v>14</v>
      </c>
      <c r="F644" s="17" t="s">
        <v>10</v>
      </c>
      <c r="G644" s="17" t="s">
        <v>25</v>
      </c>
      <c r="H644" s="2" t="s">
        <v>11</v>
      </c>
      <c r="I644" s="2">
        <v>1</v>
      </c>
      <c r="J644" s="5">
        <v>46100</v>
      </c>
      <c r="K644" s="5">
        <v>46101</v>
      </c>
      <c r="L644" s="2" t="s">
        <v>865</v>
      </c>
      <c r="M644" s="5">
        <v>45754</v>
      </c>
      <c r="N644" s="3">
        <f>VLOOKUP(NavDataRegion[[#This Row],[Spool No]],[1]Sheet2!$B:$U,20,0)</f>
        <v>6.5568</v>
      </c>
      <c r="O644" s="2">
        <v>5.25</v>
      </c>
      <c r="P644" s="2">
        <v>0.75</v>
      </c>
      <c r="Q644" s="2"/>
    </row>
    <row r="645" spans="1:17" ht="20.100000000000001" customHeight="1">
      <c r="A645" s="2" t="s">
        <v>9</v>
      </c>
      <c r="B645" s="2" t="s">
        <v>1115</v>
      </c>
      <c r="C645" s="2" t="s">
        <v>1540</v>
      </c>
      <c r="D645" s="2" t="e">
        <f>VLOOKUP(C:C,Vlookup!A:A,1,0)</f>
        <v>#N/A</v>
      </c>
      <c r="E645" s="2">
        <v>14</v>
      </c>
      <c r="F645" s="17" t="s">
        <v>10</v>
      </c>
      <c r="G645" s="17" t="s">
        <v>25</v>
      </c>
      <c r="H645" s="2" t="s">
        <v>11</v>
      </c>
      <c r="I645" s="2">
        <v>1</v>
      </c>
      <c r="J645" s="5">
        <v>46098</v>
      </c>
      <c r="K645" s="5">
        <v>46099</v>
      </c>
      <c r="L645" s="2" t="s">
        <v>865</v>
      </c>
      <c r="M645" s="5">
        <v>45754</v>
      </c>
      <c r="N645" s="3">
        <f>VLOOKUP(NavDataRegion[[#This Row],[Spool No]],[1]Sheet2!$B:$U,20,0)</f>
        <v>4.5132000000000003</v>
      </c>
      <c r="O645" s="2">
        <v>5</v>
      </c>
      <c r="P645" s="2">
        <v>1</v>
      </c>
      <c r="Q645" s="2"/>
    </row>
    <row r="646" spans="1:17" ht="20.100000000000001" customHeight="1">
      <c r="A646" s="2" t="s">
        <v>9</v>
      </c>
      <c r="B646" s="2" t="s">
        <v>1117</v>
      </c>
      <c r="C646" s="2" t="s">
        <v>1541</v>
      </c>
      <c r="D646" s="2" t="e">
        <f>VLOOKUP(C:C,Vlookup!A:A,1,0)</f>
        <v>#N/A</v>
      </c>
      <c r="E646" s="2">
        <v>14</v>
      </c>
      <c r="F646" s="17" t="s">
        <v>10</v>
      </c>
      <c r="G646" s="17" t="s">
        <v>25</v>
      </c>
      <c r="H646" s="2" t="s">
        <v>11</v>
      </c>
      <c r="I646" s="2">
        <v>1</v>
      </c>
      <c r="J646" s="5">
        <v>46098</v>
      </c>
      <c r="K646" s="5">
        <v>46099</v>
      </c>
      <c r="L646" s="2" t="s">
        <v>865</v>
      </c>
      <c r="M646" s="5">
        <v>45754</v>
      </c>
      <c r="N646" s="3">
        <f>VLOOKUP(NavDataRegion[[#This Row],[Spool No]],[1]Sheet2!$B:$U,20,0)</f>
        <v>4.5099600000000004</v>
      </c>
      <c r="O646" s="2">
        <v>5</v>
      </c>
      <c r="P646" s="2">
        <v>1</v>
      </c>
      <c r="Q646" s="2"/>
    </row>
    <row r="647" spans="1:17" ht="20.100000000000001" customHeight="1">
      <c r="A647" s="2" t="s">
        <v>9</v>
      </c>
      <c r="B647" s="2" t="s">
        <v>1127</v>
      </c>
      <c r="C647" s="2" t="s">
        <v>1128</v>
      </c>
      <c r="D647" s="2" t="e">
        <f>VLOOKUP(C:C,Vlookup!A:A,1,0)</f>
        <v>#N/A</v>
      </c>
      <c r="E647" s="2">
        <v>14</v>
      </c>
      <c r="F647" s="17" t="s">
        <v>10</v>
      </c>
      <c r="G647" s="17" t="s">
        <v>25</v>
      </c>
      <c r="H647" s="2" t="s">
        <v>11</v>
      </c>
      <c r="I647" s="2">
        <v>1</v>
      </c>
      <c r="J647" s="5">
        <v>46098</v>
      </c>
      <c r="K647" s="5">
        <v>46099</v>
      </c>
      <c r="L647" s="2" t="s">
        <v>865</v>
      </c>
      <c r="M647" s="5">
        <v>45754</v>
      </c>
      <c r="N647" s="3">
        <f>VLOOKUP(NavDataRegion[[#This Row],[Spool No]],[1]Sheet2!$B:$U,20,0)</f>
        <v>6.6138000000000003</v>
      </c>
      <c r="O647" s="2">
        <v>4</v>
      </c>
      <c r="P647" s="2">
        <v>1</v>
      </c>
      <c r="Q647" s="2"/>
    </row>
    <row r="648" spans="1:17" ht="20.100000000000001" customHeight="1">
      <c r="A648" s="2" t="s">
        <v>9</v>
      </c>
      <c r="B648" s="2" t="s">
        <v>939</v>
      </c>
      <c r="C648" s="2" t="s">
        <v>1476</v>
      </c>
      <c r="D648" s="2" t="e">
        <f>VLOOKUP(C:C,Vlookup!A:A,1,0)</f>
        <v>#N/A</v>
      </c>
      <c r="E648" s="2">
        <v>14</v>
      </c>
      <c r="F648" s="17" t="s">
        <v>10</v>
      </c>
      <c r="G648" s="17" t="s">
        <v>25</v>
      </c>
      <c r="H648" s="2" t="s">
        <v>11</v>
      </c>
      <c r="I648" s="2">
        <v>1</v>
      </c>
      <c r="J648" s="5">
        <v>46101</v>
      </c>
      <c r="K648" s="5">
        <v>46104</v>
      </c>
      <c r="L648" s="2" t="s">
        <v>865</v>
      </c>
      <c r="M648" s="5">
        <v>45754</v>
      </c>
      <c r="N648" s="3">
        <f>VLOOKUP(NavDataRegion[[#This Row],[Spool No]],[1]Sheet2!$B:$U,20,0)</f>
        <v>34.576560000000001</v>
      </c>
      <c r="O648" s="2">
        <v>6</v>
      </c>
      <c r="P648" s="2">
        <v>1</v>
      </c>
      <c r="Q648" s="2"/>
    </row>
    <row r="649" spans="1:17" ht="20.100000000000001" customHeight="1">
      <c r="A649" s="2" t="s">
        <v>9</v>
      </c>
      <c r="B649" s="2" t="s">
        <v>1201</v>
      </c>
      <c r="C649" s="2" t="s">
        <v>1202</v>
      </c>
      <c r="D649" s="2" t="e">
        <f>VLOOKUP(C:C,Vlookup!A:A,1,0)</f>
        <v>#N/A</v>
      </c>
      <c r="E649" s="2">
        <v>14</v>
      </c>
      <c r="F649" s="17" t="s">
        <v>10</v>
      </c>
      <c r="G649" s="17" t="s">
        <v>25</v>
      </c>
      <c r="H649" s="2" t="s">
        <v>11</v>
      </c>
      <c r="I649" s="2">
        <v>1</v>
      </c>
      <c r="J649" s="5">
        <v>46100</v>
      </c>
      <c r="K649" s="5">
        <v>46101</v>
      </c>
      <c r="L649" s="2" t="s">
        <v>865</v>
      </c>
      <c r="M649" s="5">
        <v>45754</v>
      </c>
      <c r="N649" s="3">
        <f>VLOOKUP(NavDataRegion[[#This Row],[Spool No]],[1]Sheet2!$B:$U,20,0)</f>
        <v>5.9118000000000004</v>
      </c>
      <c r="O649" s="2">
        <v>3.75</v>
      </c>
      <c r="P649" s="2">
        <v>0.75</v>
      </c>
      <c r="Q649" s="2"/>
    </row>
    <row r="650" spans="1:17" ht="20.100000000000001" customHeight="1">
      <c r="A650" s="2" t="s">
        <v>9</v>
      </c>
      <c r="B650" s="2" t="s">
        <v>943</v>
      </c>
      <c r="C650" s="2" t="s">
        <v>1478</v>
      </c>
      <c r="D650" s="2" t="e">
        <f>VLOOKUP(C:C,Vlookup!A:A,1,0)</f>
        <v>#N/A</v>
      </c>
      <c r="E650" s="2">
        <v>14</v>
      </c>
      <c r="F650" s="17" t="s">
        <v>10</v>
      </c>
      <c r="G650" s="17" t="s">
        <v>25</v>
      </c>
      <c r="H650" s="2" t="s">
        <v>11</v>
      </c>
      <c r="I650" s="2">
        <v>1</v>
      </c>
      <c r="J650" s="5">
        <v>46101</v>
      </c>
      <c r="K650" s="5">
        <v>46104</v>
      </c>
      <c r="L650" s="2" t="s">
        <v>865</v>
      </c>
      <c r="M650" s="5">
        <v>45754</v>
      </c>
      <c r="N650" s="3">
        <f>VLOOKUP(NavDataRegion[[#This Row],[Spool No]],[1]Sheet2!$B:$U,20,0)</f>
        <v>32.596919999999997</v>
      </c>
      <c r="O650" s="2">
        <v>6</v>
      </c>
      <c r="P650" s="2">
        <v>1</v>
      </c>
      <c r="Q650" s="2"/>
    </row>
    <row r="651" spans="1:17" ht="20.100000000000001" customHeight="1">
      <c r="A651" s="2" t="s">
        <v>9</v>
      </c>
      <c r="B651" s="2" t="s">
        <v>1129</v>
      </c>
      <c r="C651" s="2" t="s">
        <v>1544</v>
      </c>
      <c r="D651" s="2" t="e">
        <f>VLOOKUP(C:C,Vlookup!A:A,1,0)</f>
        <v>#N/A</v>
      </c>
      <c r="E651" s="2">
        <v>14</v>
      </c>
      <c r="F651" s="17" t="s">
        <v>10</v>
      </c>
      <c r="G651" s="17" t="s">
        <v>25</v>
      </c>
      <c r="H651" s="2" t="s">
        <v>11</v>
      </c>
      <c r="I651" s="2">
        <v>1</v>
      </c>
      <c r="J651" s="5">
        <v>46098</v>
      </c>
      <c r="K651" s="5">
        <v>46099</v>
      </c>
      <c r="L651" s="2" t="s">
        <v>865</v>
      </c>
      <c r="M651" s="5">
        <v>45754</v>
      </c>
      <c r="N651" s="3">
        <f>VLOOKUP(NavDataRegion[[#This Row],[Spool No]],[1]Sheet2!$B:$U,20,0)</f>
        <v>15.24564</v>
      </c>
      <c r="O651" s="2">
        <v>5</v>
      </c>
      <c r="P651" s="2">
        <v>1</v>
      </c>
      <c r="Q651" s="2"/>
    </row>
    <row r="652" spans="1:17" ht="20.100000000000001" customHeight="1">
      <c r="A652" s="2" t="s">
        <v>9</v>
      </c>
      <c r="B652" s="2" t="s">
        <v>1129</v>
      </c>
      <c r="C652" s="2" t="s">
        <v>1710</v>
      </c>
      <c r="D652" s="2" t="e">
        <f>VLOOKUP(C:C,Vlookup!A:A,1,0)</f>
        <v>#N/A</v>
      </c>
      <c r="E652" s="2">
        <v>14</v>
      </c>
      <c r="F652" s="17" t="s">
        <v>10</v>
      </c>
      <c r="G652" s="17" t="s">
        <v>25</v>
      </c>
      <c r="H652" s="2" t="s">
        <v>11</v>
      </c>
      <c r="I652" s="2">
        <v>1</v>
      </c>
      <c r="J652" s="5">
        <v>46098</v>
      </c>
      <c r="K652" s="5">
        <v>46099</v>
      </c>
      <c r="L652" s="2" t="s">
        <v>865</v>
      </c>
      <c r="M652" s="5">
        <v>45754</v>
      </c>
      <c r="N652" s="3">
        <f>VLOOKUP(NavDataRegion[[#This Row],[Spool No]],[1]Sheet2!$B:$U,20,0)</f>
        <v>13.12668</v>
      </c>
      <c r="O652" s="2">
        <v>4</v>
      </c>
      <c r="P652" s="2">
        <v>1</v>
      </c>
      <c r="Q652" s="2"/>
    </row>
    <row r="653" spans="1:17" ht="20.100000000000001" customHeight="1">
      <c r="A653" s="2" t="s">
        <v>9</v>
      </c>
      <c r="B653" s="2" t="s">
        <v>1347</v>
      </c>
      <c r="C653" s="2" t="s">
        <v>1625</v>
      </c>
      <c r="D653" s="2" t="e">
        <f>VLOOKUP(C:C,Vlookup!A:A,1,0)</f>
        <v>#N/A</v>
      </c>
      <c r="E653" s="2">
        <v>14</v>
      </c>
      <c r="F653" s="17" t="s">
        <v>10</v>
      </c>
      <c r="G653" s="17" t="s">
        <v>281</v>
      </c>
      <c r="H653" s="2" t="s">
        <v>11</v>
      </c>
      <c r="I653" s="2">
        <v>1</v>
      </c>
      <c r="J653" s="5">
        <v>46105</v>
      </c>
      <c r="K653" s="5">
        <v>46106</v>
      </c>
      <c r="L653" s="2" t="s">
        <v>865</v>
      </c>
      <c r="M653" s="5">
        <v>45754</v>
      </c>
      <c r="N653" s="3">
        <f>VLOOKUP(NavDataRegion[[#This Row],[Spool No]],[1]Sheet2!$B:$U,20,0)</f>
        <v>5.3445999999999998</v>
      </c>
      <c r="O653" s="2">
        <v>0.75</v>
      </c>
      <c r="P653" s="2">
        <v>0.75</v>
      </c>
      <c r="Q653" s="2"/>
    </row>
    <row r="654" spans="1:17" ht="20.100000000000001" customHeight="1">
      <c r="A654" s="2" t="s">
        <v>9</v>
      </c>
      <c r="B654" s="2" t="s">
        <v>1367</v>
      </c>
      <c r="C654" s="2" t="s">
        <v>1631</v>
      </c>
      <c r="D654" s="2" t="e">
        <f>VLOOKUP(C:C,Vlookup!A:A,1,0)</f>
        <v>#N/A</v>
      </c>
      <c r="E654" s="2">
        <v>16</v>
      </c>
      <c r="F654" s="17" t="s">
        <v>10</v>
      </c>
      <c r="G654" s="17" t="s">
        <v>25</v>
      </c>
      <c r="H654" s="2" t="s">
        <v>11</v>
      </c>
      <c r="I654" s="2">
        <v>1</v>
      </c>
      <c r="J654" s="5">
        <v>46108</v>
      </c>
      <c r="K654" s="5">
        <v>46111</v>
      </c>
      <c r="L654" s="2" t="s">
        <v>865</v>
      </c>
      <c r="M654" s="5">
        <v>46167</v>
      </c>
      <c r="N654" s="3">
        <f>VLOOKUP(NavDataRegion[[#This Row],[Spool No]],[1]Sheet2!$B:$U,20,0)</f>
        <v>3.4809999999999999</v>
      </c>
      <c r="O654" s="2">
        <v>2.25</v>
      </c>
      <c r="P654" s="2">
        <v>0.75</v>
      </c>
      <c r="Q654" s="2"/>
    </row>
    <row r="655" spans="1:17" ht="20.100000000000001" customHeight="1">
      <c r="A655" s="2" t="s">
        <v>9</v>
      </c>
      <c r="B655" s="2" t="s">
        <v>1363</v>
      </c>
      <c r="C655" s="2" t="s">
        <v>1364</v>
      </c>
      <c r="D655" s="2" t="e">
        <f>VLOOKUP(C:C,Vlookup!A:A,1,0)</f>
        <v>#N/A</v>
      </c>
      <c r="E655" s="2">
        <v>14</v>
      </c>
      <c r="F655" s="17" t="s">
        <v>10</v>
      </c>
      <c r="G655" s="17" t="s">
        <v>25</v>
      </c>
      <c r="H655" s="2" t="s">
        <v>11</v>
      </c>
      <c r="I655" s="2">
        <v>1</v>
      </c>
      <c r="J655" s="5">
        <v>46100</v>
      </c>
      <c r="K655" s="5">
        <v>46101</v>
      </c>
      <c r="L655" s="2" t="s">
        <v>865</v>
      </c>
      <c r="M655" s="5">
        <v>45754</v>
      </c>
      <c r="N655" s="3">
        <f>VLOOKUP(NavDataRegion[[#This Row],[Spool No]],[1]Sheet2!$B:$U,20,0)</f>
        <v>5.944</v>
      </c>
      <c r="O655" s="2">
        <v>2.25</v>
      </c>
      <c r="P655" s="2">
        <v>0.75</v>
      </c>
      <c r="Q655" s="2"/>
    </row>
    <row r="656" spans="1:17" ht="20.100000000000001" customHeight="1">
      <c r="A656" s="2" t="s">
        <v>9</v>
      </c>
      <c r="B656" s="2" t="s">
        <v>1437</v>
      </c>
      <c r="C656" s="2" t="s">
        <v>1644</v>
      </c>
      <c r="D656" s="2" t="e">
        <f>VLOOKUP(C:C,Vlookup!A:A,1,0)</f>
        <v>#N/A</v>
      </c>
      <c r="E656" s="2">
        <v>23</v>
      </c>
      <c r="F656" s="17" t="s">
        <v>10</v>
      </c>
      <c r="G656" s="17" t="s">
        <v>25</v>
      </c>
      <c r="H656" s="2" t="s">
        <v>11</v>
      </c>
      <c r="I656" s="2">
        <v>1</v>
      </c>
      <c r="J656" s="5">
        <v>46141</v>
      </c>
      <c r="K656" s="5">
        <v>46147</v>
      </c>
      <c r="L656" s="2" t="s">
        <v>865</v>
      </c>
      <c r="M656" s="5">
        <v>46185</v>
      </c>
      <c r="N656" s="3">
        <f>VLOOKUP(NavDataRegion[[#This Row],[Spool No]],[1]Sheet2!$B:$U,20,0)</f>
        <v>11.135199999999999</v>
      </c>
      <c r="O656" s="2">
        <v>3</v>
      </c>
      <c r="P656" s="2">
        <v>0.75</v>
      </c>
      <c r="Q656" s="2"/>
    </row>
    <row r="657" spans="1:17" ht="20.100000000000001" customHeight="1">
      <c r="A657" s="2" t="s">
        <v>9</v>
      </c>
      <c r="B657" s="2" t="s">
        <v>1439</v>
      </c>
      <c r="C657" s="2" t="s">
        <v>1645</v>
      </c>
      <c r="D657" s="2" t="e">
        <f>VLOOKUP(C:C,Vlookup!A:A,1,0)</f>
        <v>#N/A</v>
      </c>
      <c r="E657" s="2">
        <v>23</v>
      </c>
      <c r="F657" s="17" t="s">
        <v>10</v>
      </c>
      <c r="G657" s="17" t="s">
        <v>25</v>
      </c>
      <c r="H657" s="2" t="s">
        <v>11</v>
      </c>
      <c r="I657" s="2">
        <v>1</v>
      </c>
      <c r="J657" s="5">
        <v>46135</v>
      </c>
      <c r="K657" s="5">
        <v>46136</v>
      </c>
      <c r="L657" s="2" t="s">
        <v>865</v>
      </c>
      <c r="M657" s="5">
        <v>46185</v>
      </c>
      <c r="N657" s="3">
        <f>VLOOKUP(NavDataRegion[[#This Row],[Spool No]],[1]Sheet2!$B:$U,20,0)</f>
        <v>11.135199999999999</v>
      </c>
      <c r="O657" s="2">
        <v>3</v>
      </c>
      <c r="P657" s="2">
        <v>0.75</v>
      </c>
      <c r="Q657" s="2"/>
    </row>
    <row r="658" spans="1:17" ht="20.100000000000001" customHeight="1">
      <c r="A658" s="2" t="s">
        <v>9</v>
      </c>
      <c r="B658" s="2" t="s">
        <v>1445</v>
      </c>
      <c r="C658" s="2" t="s">
        <v>1648</v>
      </c>
      <c r="D658" s="2" t="e">
        <f>VLOOKUP(C:C,Vlookup!A:A,1,0)</f>
        <v>#N/A</v>
      </c>
      <c r="E658" s="2">
        <v>16</v>
      </c>
      <c r="F658" s="17" t="s">
        <v>10</v>
      </c>
      <c r="G658" s="17" t="s">
        <v>25</v>
      </c>
      <c r="H658" s="2" t="s">
        <v>11</v>
      </c>
      <c r="I658" s="2">
        <v>1</v>
      </c>
      <c r="J658" s="5">
        <v>46107</v>
      </c>
      <c r="K658" s="5">
        <v>46111</v>
      </c>
      <c r="L658" s="2" t="s">
        <v>865</v>
      </c>
      <c r="M658" s="5">
        <v>46167</v>
      </c>
      <c r="N658" s="3">
        <f>VLOOKUP(NavDataRegion[[#This Row],[Spool No]],[1]Sheet2!$B:$U,20,0)</f>
        <v>16.721599999999999</v>
      </c>
      <c r="O658" s="2">
        <v>2.25</v>
      </c>
      <c r="P658" s="2">
        <v>0.75</v>
      </c>
      <c r="Q658" s="2"/>
    </row>
    <row r="659" spans="1:17" ht="20.100000000000001" customHeight="1">
      <c r="A659" s="2" t="s">
        <v>9</v>
      </c>
      <c r="B659" s="2" t="s">
        <v>1447</v>
      </c>
      <c r="C659" s="2" t="s">
        <v>1649</v>
      </c>
      <c r="D659" s="2" t="e">
        <f>VLOOKUP(C:C,Vlookup!A:A,1,0)</f>
        <v>#N/A</v>
      </c>
      <c r="E659" s="2">
        <v>16</v>
      </c>
      <c r="F659" s="17" t="s">
        <v>10</v>
      </c>
      <c r="G659" s="17" t="s">
        <v>25</v>
      </c>
      <c r="H659" s="2" t="s">
        <v>11</v>
      </c>
      <c r="I659" s="2">
        <v>1</v>
      </c>
      <c r="J659" s="5">
        <v>46107</v>
      </c>
      <c r="K659" s="5">
        <v>46111</v>
      </c>
      <c r="L659" s="2" t="s">
        <v>865</v>
      </c>
      <c r="M659" s="5">
        <v>46167</v>
      </c>
      <c r="N659" s="3">
        <f>VLOOKUP(NavDataRegion[[#This Row],[Spool No]],[1]Sheet2!$B:$U,20,0)</f>
        <v>16.721599999999999</v>
      </c>
      <c r="O659" s="2">
        <v>2.25</v>
      </c>
      <c r="P659" s="2">
        <v>0.75</v>
      </c>
      <c r="Q659" s="2"/>
    </row>
    <row r="660" spans="1:17" ht="20.100000000000001" customHeight="1">
      <c r="A660" s="2" t="s">
        <v>9</v>
      </c>
      <c r="B660" s="2" t="s">
        <v>1449</v>
      </c>
      <c r="C660" s="2" t="s">
        <v>1650</v>
      </c>
      <c r="D660" s="2" t="e">
        <f>VLOOKUP(C:C,Vlookup!A:A,1,0)</f>
        <v>#N/A</v>
      </c>
      <c r="E660" s="2">
        <v>16</v>
      </c>
      <c r="F660" s="17" t="s">
        <v>10</v>
      </c>
      <c r="G660" s="17" t="s">
        <v>25</v>
      </c>
      <c r="H660" s="2" t="s">
        <v>11</v>
      </c>
      <c r="I660" s="2">
        <v>1</v>
      </c>
      <c r="J660" s="5">
        <v>46113</v>
      </c>
      <c r="K660" s="5">
        <v>46118</v>
      </c>
      <c r="L660" s="2" t="s">
        <v>865</v>
      </c>
      <c r="M660" s="5">
        <v>46167</v>
      </c>
      <c r="N660" s="3">
        <f>VLOOKUP(NavDataRegion[[#This Row],[Spool No]],[1]Sheet2!$B:$U,20,0)</f>
        <v>5.0911999999999997</v>
      </c>
      <c r="O660" s="2">
        <v>3</v>
      </c>
      <c r="P660" s="2">
        <v>0.75</v>
      </c>
      <c r="Q660" s="2"/>
    </row>
    <row r="661" spans="1:17" ht="20.100000000000001" customHeight="1">
      <c r="A661" s="2" t="s">
        <v>9</v>
      </c>
      <c r="B661" s="2" t="s">
        <v>1399</v>
      </c>
      <c r="C661" s="2" t="s">
        <v>1400</v>
      </c>
      <c r="D661" s="2" t="e">
        <f>VLOOKUP(C:C,Vlookup!A:A,1,0)</f>
        <v>#N/A</v>
      </c>
      <c r="E661" s="2">
        <v>14</v>
      </c>
      <c r="F661" s="17" t="s">
        <v>10</v>
      </c>
      <c r="G661" s="17" t="s">
        <v>25</v>
      </c>
      <c r="H661" s="2" t="s">
        <v>11</v>
      </c>
      <c r="I661" s="2">
        <v>1</v>
      </c>
      <c r="J661" s="5">
        <v>46100</v>
      </c>
      <c r="K661" s="5">
        <v>46101</v>
      </c>
      <c r="L661" s="2" t="s">
        <v>865</v>
      </c>
      <c r="M661" s="5">
        <v>45754</v>
      </c>
      <c r="N661" s="3">
        <f>VLOOKUP(NavDataRegion[[#This Row],[Spool No]],[1]Sheet2!$B:$U,20,0)</f>
        <v>5.8601999999999999</v>
      </c>
      <c r="O661" s="2">
        <v>3.75</v>
      </c>
      <c r="P661" s="2">
        <v>0.75</v>
      </c>
      <c r="Q661" s="2"/>
    </row>
    <row r="662" spans="1:17" ht="20.100000000000001" customHeight="1">
      <c r="A662" s="2" t="s">
        <v>9</v>
      </c>
      <c r="B662" s="2" t="s">
        <v>889</v>
      </c>
      <c r="C662" s="2" t="s">
        <v>1652</v>
      </c>
      <c r="D662" s="2" t="e">
        <f>VLOOKUP(C:C,Vlookup!A:A,1,0)</f>
        <v>#N/A</v>
      </c>
      <c r="E662" s="2">
        <v>23</v>
      </c>
      <c r="F662" s="17" t="s">
        <v>10</v>
      </c>
      <c r="G662" s="17" t="s">
        <v>1946</v>
      </c>
      <c r="H662" s="2" t="s">
        <v>11</v>
      </c>
      <c r="I662" s="2">
        <v>1</v>
      </c>
      <c r="J662" s="5">
        <v>46135</v>
      </c>
      <c r="K662" s="5">
        <v>46136</v>
      </c>
      <c r="L662" s="2" t="s">
        <v>865</v>
      </c>
      <c r="M662" s="5">
        <v>46185</v>
      </c>
      <c r="N662" s="3">
        <f>VLOOKUP(NavDataRegion[[#This Row],[Spool No]],[1]Sheet2!$B:$U,20,0)</f>
        <v>9.7483299999999993</v>
      </c>
      <c r="O662" s="2">
        <v>1.5</v>
      </c>
      <c r="P662" s="2">
        <v>0.75</v>
      </c>
      <c r="Q662" s="2"/>
    </row>
    <row r="663" spans="1:17" ht="20.100000000000001" customHeight="1">
      <c r="A663" s="2" t="s">
        <v>9</v>
      </c>
      <c r="B663" s="2" t="s">
        <v>295</v>
      </c>
      <c r="C663" s="2" t="s">
        <v>597</v>
      </c>
      <c r="D663" s="2" t="e">
        <f>VLOOKUP(C:C,Vlookup!A:A,1,0)</f>
        <v>#N/A</v>
      </c>
      <c r="E663" s="2">
        <v>18</v>
      </c>
      <c r="F663" s="2" t="s">
        <v>10</v>
      </c>
      <c r="G663" s="2" t="s">
        <v>16</v>
      </c>
      <c r="H663" s="2" t="s">
        <v>11</v>
      </c>
      <c r="I663" s="2">
        <v>1</v>
      </c>
      <c r="J663" s="5">
        <v>46111</v>
      </c>
      <c r="K663" s="5">
        <v>46113</v>
      </c>
      <c r="L663" s="2" t="s">
        <v>865</v>
      </c>
      <c r="M663" s="5">
        <v>45754</v>
      </c>
      <c r="N663" s="3">
        <f>VLOOKUP(NavDataRegion[[#This Row],[Spool No]],[1]Sheet2!$B:$U,20,0)</f>
        <v>625.41135515200006</v>
      </c>
      <c r="O663" s="2">
        <v>33</v>
      </c>
      <c r="P663" s="2">
        <v>4</v>
      </c>
      <c r="Q663" s="2"/>
    </row>
    <row r="664" spans="1:17" ht="20.100000000000001" customHeight="1">
      <c r="A664" s="2" t="s">
        <v>9</v>
      </c>
      <c r="B664" s="2" t="s">
        <v>1401</v>
      </c>
      <c r="C664" s="2" t="s">
        <v>1402</v>
      </c>
      <c r="D664" s="2" t="e">
        <f>VLOOKUP(C:C,Vlookup!A:A,1,0)</f>
        <v>#N/A</v>
      </c>
      <c r="E664" s="2">
        <v>14</v>
      </c>
      <c r="F664" s="17" t="s">
        <v>10</v>
      </c>
      <c r="G664" s="17" t="s">
        <v>25</v>
      </c>
      <c r="H664" s="2" t="s">
        <v>11</v>
      </c>
      <c r="I664" s="2">
        <v>1</v>
      </c>
      <c r="J664" s="5">
        <v>46100</v>
      </c>
      <c r="K664" s="5">
        <v>46101</v>
      </c>
      <c r="L664" s="2" t="s">
        <v>865</v>
      </c>
      <c r="M664" s="5">
        <v>45754</v>
      </c>
      <c r="N664" s="3">
        <f>VLOOKUP(NavDataRegion[[#This Row],[Spool No]],[1]Sheet2!$B:$U,20,0)</f>
        <v>3.6295999999999999</v>
      </c>
      <c r="O664" s="2">
        <v>3</v>
      </c>
      <c r="P664" s="2">
        <v>0.75</v>
      </c>
      <c r="Q664" s="2"/>
    </row>
    <row r="665" spans="1:17" ht="20.100000000000001" customHeight="1">
      <c r="A665" s="2" t="s">
        <v>9</v>
      </c>
      <c r="B665" s="2" t="s">
        <v>961</v>
      </c>
      <c r="C665" s="2" t="s">
        <v>962</v>
      </c>
      <c r="D665" s="2" t="e">
        <f>VLOOKUP(C:C,Vlookup!A:A,1,0)</f>
        <v>#N/A</v>
      </c>
      <c r="E665" s="2">
        <v>16</v>
      </c>
      <c r="F665" s="17" t="s">
        <v>10</v>
      </c>
      <c r="G665" s="17" t="s">
        <v>25</v>
      </c>
      <c r="H665" s="2" t="s">
        <v>11</v>
      </c>
      <c r="I665" s="2">
        <v>1</v>
      </c>
      <c r="J665" s="5">
        <v>46115</v>
      </c>
      <c r="K665" s="5">
        <v>46118</v>
      </c>
      <c r="L665" s="2" t="s">
        <v>865</v>
      </c>
      <c r="M665" s="5">
        <v>46167</v>
      </c>
      <c r="N665" s="3">
        <f>VLOOKUP(NavDataRegion[[#This Row],[Spool No]],[1]Sheet2!$B:$U,20,0)</f>
        <v>20.941079999999999</v>
      </c>
      <c r="O665" s="2">
        <v>3</v>
      </c>
      <c r="P665" s="2">
        <v>1</v>
      </c>
      <c r="Q665" s="2"/>
    </row>
    <row r="666" spans="1:17" ht="20.100000000000001" customHeight="1">
      <c r="A666" s="2" t="s">
        <v>9</v>
      </c>
      <c r="B666" s="2" t="s">
        <v>1129</v>
      </c>
      <c r="C666" s="2" t="s">
        <v>1817</v>
      </c>
      <c r="D666" s="2" t="e">
        <f>VLOOKUP(C:C,Vlookup!A:A,1,0)</f>
        <v>#N/A</v>
      </c>
      <c r="E666" s="2">
        <v>14</v>
      </c>
      <c r="F666" s="17" t="s">
        <v>10</v>
      </c>
      <c r="G666" s="17" t="s">
        <v>25</v>
      </c>
      <c r="H666" s="2" t="s">
        <v>11</v>
      </c>
      <c r="I666" s="2">
        <v>1</v>
      </c>
      <c r="J666" s="5">
        <v>46098</v>
      </c>
      <c r="K666" s="5">
        <v>46099</v>
      </c>
      <c r="L666" s="2" t="s">
        <v>865</v>
      </c>
      <c r="M666" s="5">
        <v>45754</v>
      </c>
      <c r="N666" s="3">
        <f>VLOOKUP(NavDataRegion[[#This Row],[Spool No]],[1]Sheet2!$B:$U,20,0)</f>
        <v>7.3719599999999996</v>
      </c>
      <c r="O666" s="2">
        <v>3</v>
      </c>
      <c r="P666" s="2">
        <v>1</v>
      </c>
      <c r="Q666" s="2"/>
    </row>
    <row r="667" spans="1:17" ht="20.100000000000001" customHeight="1">
      <c r="A667" s="2" t="s">
        <v>9</v>
      </c>
      <c r="B667" s="2" t="s">
        <v>1401</v>
      </c>
      <c r="C667" s="2" t="s">
        <v>1636</v>
      </c>
      <c r="D667" s="2" t="e">
        <f>VLOOKUP(C:C,Vlookup!A:A,1,0)</f>
        <v>#N/A</v>
      </c>
      <c r="E667" s="2">
        <v>14</v>
      </c>
      <c r="F667" s="17" t="s">
        <v>10</v>
      </c>
      <c r="G667" s="17" t="s">
        <v>25</v>
      </c>
      <c r="H667" s="2" t="s">
        <v>11</v>
      </c>
      <c r="I667" s="2">
        <v>1</v>
      </c>
      <c r="J667" s="5">
        <v>46100</v>
      </c>
      <c r="K667" s="5">
        <v>46101</v>
      </c>
      <c r="L667" s="2" t="s">
        <v>865</v>
      </c>
      <c r="M667" s="5">
        <v>45754</v>
      </c>
      <c r="N667" s="3">
        <f>VLOOKUP(NavDataRegion[[#This Row],[Spool No]],[1]Sheet2!$B:$U,20,0)</f>
        <v>9.1257999999999999</v>
      </c>
      <c r="O667" s="2">
        <v>6</v>
      </c>
      <c r="P667" s="2">
        <v>0.75</v>
      </c>
      <c r="Q667" s="2"/>
    </row>
    <row r="668" spans="1:17" ht="20.100000000000001" customHeight="1">
      <c r="A668" s="2" t="s">
        <v>9</v>
      </c>
      <c r="B668" s="2" t="s">
        <v>985</v>
      </c>
      <c r="C668" s="2" t="s">
        <v>1498</v>
      </c>
      <c r="D668" s="2" t="e">
        <f>VLOOKUP(C:C,Vlookup!A:A,1,0)</f>
        <v>#N/A</v>
      </c>
      <c r="E668" s="2">
        <v>16</v>
      </c>
      <c r="F668" s="17" t="s">
        <v>10</v>
      </c>
      <c r="G668" s="17" t="s">
        <v>25</v>
      </c>
      <c r="H668" s="2" t="s">
        <v>11</v>
      </c>
      <c r="I668" s="2">
        <v>1</v>
      </c>
      <c r="J668" s="5">
        <v>46115</v>
      </c>
      <c r="K668" s="5">
        <v>46118</v>
      </c>
      <c r="L668" s="2" t="s">
        <v>865</v>
      </c>
      <c r="M668" s="5">
        <v>46167</v>
      </c>
      <c r="N668" s="3">
        <f>VLOOKUP(NavDataRegion[[#This Row],[Spool No]],[1]Sheet2!$B:$U,20,0)</f>
        <v>25.375800000000002</v>
      </c>
      <c r="O668" s="2">
        <v>3.75</v>
      </c>
      <c r="P668" s="2">
        <v>0.75</v>
      </c>
      <c r="Q668" s="2"/>
    </row>
    <row r="669" spans="1:17" ht="20.100000000000001" customHeight="1">
      <c r="A669" s="2" t="s">
        <v>9</v>
      </c>
      <c r="B669" s="2" t="s">
        <v>943</v>
      </c>
      <c r="C669" s="2" t="s">
        <v>1669</v>
      </c>
      <c r="D669" s="2" t="e">
        <f>VLOOKUP(C:C,Vlookup!A:A,1,0)</f>
        <v>#N/A</v>
      </c>
      <c r="E669" s="2">
        <v>14</v>
      </c>
      <c r="F669" s="17" t="s">
        <v>10</v>
      </c>
      <c r="G669" s="17" t="s">
        <v>25</v>
      </c>
      <c r="H669" s="2" t="s">
        <v>11</v>
      </c>
      <c r="I669" s="2">
        <v>1</v>
      </c>
      <c r="J669" s="5">
        <v>46101</v>
      </c>
      <c r="K669" s="5">
        <v>46104</v>
      </c>
      <c r="L669" s="2" t="s">
        <v>865</v>
      </c>
      <c r="M669" s="5">
        <v>45754</v>
      </c>
      <c r="N669" s="3">
        <f>VLOOKUP(NavDataRegion[[#This Row],[Spool No]],[1]Sheet2!$B:$U,20,0)</f>
        <v>10.8804</v>
      </c>
      <c r="O669" s="2">
        <v>2</v>
      </c>
      <c r="P669" s="2">
        <v>1</v>
      </c>
      <c r="Q669" s="2"/>
    </row>
    <row r="670" spans="1:17" ht="20.100000000000001" customHeight="1">
      <c r="A670" s="2" t="s">
        <v>9</v>
      </c>
      <c r="B670" s="2" t="s">
        <v>947</v>
      </c>
      <c r="C670" s="2" t="s">
        <v>948</v>
      </c>
      <c r="D670" s="2" t="e">
        <f>VLOOKUP(C:C,Vlookup!A:A,1,0)</f>
        <v>#N/A</v>
      </c>
      <c r="E670" s="2">
        <v>14</v>
      </c>
      <c r="F670" s="17" t="s">
        <v>10</v>
      </c>
      <c r="G670" s="17" t="s">
        <v>25</v>
      </c>
      <c r="H670" s="2" t="s">
        <v>11</v>
      </c>
      <c r="I670" s="2">
        <v>1</v>
      </c>
      <c r="J670" s="5">
        <v>46101</v>
      </c>
      <c r="K670" s="5">
        <v>46104</v>
      </c>
      <c r="L670" s="2" t="s">
        <v>865</v>
      </c>
      <c r="M670" s="5">
        <v>45754</v>
      </c>
      <c r="N670" s="3">
        <f>VLOOKUP(NavDataRegion[[#This Row],[Spool No]],[1]Sheet2!$B:$U,20,0)</f>
        <v>11.25225</v>
      </c>
      <c r="O670" s="2">
        <v>3</v>
      </c>
      <c r="P670" s="2">
        <v>1.5</v>
      </c>
      <c r="Q670" s="2"/>
    </row>
    <row r="671" spans="1:17" ht="20.100000000000001" customHeight="1">
      <c r="A671" s="2" t="s">
        <v>9</v>
      </c>
      <c r="B671" s="2" t="s">
        <v>1451</v>
      </c>
      <c r="C671" s="2" t="s">
        <v>1651</v>
      </c>
      <c r="D671" s="2" t="e">
        <f>VLOOKUP(C:C,Vlookup!A:A,1,0)</f>
        <v>#N/A</v>
      </c>
      <c r="E671" s="2">
        <v>14</v>
      </c>
      <c r="F671" s="17" t="s">
        <v>10</v>
      </c>
      <c r="G671" s="17" t="s">
        <v>25</v>
      </c>
      <c r="H671" s="2" t="s">
        <v>11</v>
      </c>
      <c r="I671" s="2">
        <v>1</v>
      </c>
      <c r="J671" s="5">
        <v>46100</v>
      </c>
      <c r="K671" s="5">
        <v>46101</v>
      </c>
      <c r="L671" s="2" t="s">
        <v>865</v>
      </c>
      <c r="M671" s="5">
        <v>45754</v>
      </c>
      <c r="N671" s="3">
        <f>VLOOKUP(NavDataRegion[[#This Row],[Spool No]],[1]Sheet2!$B:$U,20,0)</f>
        <v>5.0911999999999997</v>
      </c>
      <c r="O671" s="2">
        <v>3</v>
      </c>
      <c r="P671" s="2">
        <v>0.75</v>
      </c>
      <c r="Q671" s="2"/>
    </row>
    <row r="672" spans="1:17" ht="20.100000000000001" customHeight="1">
      <c r="A672" s="2" t="s">
        <v>9</v>
      </c>
      <c r="B672" s="2" t="s">
        <v>1137</v>
      </c>
      <c r="C672" s="2" t="s">
        <v>1545</v>
      </c>
      <c r="D672" s="2" t="e">
        <f>VLOOKUP(C:C,Vlookup!A:A,1,0)</f>
        <v>#N/A</v>
      </c>
      <c r="E672" s="2">
        <v>14</v>
      </c>
      <c r="F672" s="17" t="s">
        <v>10</v>
      </c>
      <c r="G672" s="17" t="s">
        <v>25</v>
      </c>
      <c r="H672" s="2" t="s">
        <v>11</v>
      </c>
      <c r="I672" s="2">
        <v>1</v>
      </c>
      <c r="J672" s="5">
        <v>46098</v>
      </c>
      <c r="K672" s="5">
        <v>46099</v>
      </c>
      <c r="L672" s="2" t="s">
        <v>865</v>
      </c>
      <c r="M672" s="5">
        <v>45754</v>
      </c>
      <c r="N672" s="3">
        <f>VLOOKUP(NavDataRegion[[#This Row],[Spool No]],[1]Sheet2!$B:$U,20,0)</f>
        <v>12.254160000000001</v>
      </c>
      <c r="O672" s="2">
        <v>2</v>
      </c>
      <c r="P672" s="2">
        <v>1</v>
      </c>
      <c r="Q672" s="2"/>
    </row>
    <row r="673" spans="1:17" ht="20.100000000000001" customHeight="1">
      <c r="A673" s="2" t="s">
        <v>9</v>
      </c>
      <c r="B673" s="2" t="s">
        <v>1347</v>
      </c>
      <c r="C673" s="2" t="s">
        <v>1857</v>
      </c>
      <c r="D673" s="2" t="e">
        <f>VLOOKUP(C:C,Vlookup!A:A,1,0)</f>
        <v>#N/A</v>
      </c>
      <c r="E673" s="2">
        <v>14</v>
      </c>
      <c r="F673" s="17" t="s">
        <v>10</v>
      </c>
      <c r="G673" s="17" t="s">
        <v>281</v>
      </c>
      <c r="H673" s="2" t="s">
        <v>11</v>
      </c>
      <c r="I673" s="2">
        <v>1</v>
      </c>
      <c r="J673" s="5">
        <v>46105</v>
      </c>
      <c r="K673" s="5">
        <v>46106</v>
      </c>
      <c r="L673" s="2" t="s">
        <v>865</v>
      </c>
      <c r="M673" s="5">
        <v>45754</v>
      </c>
      <c r="N673" s="3">
        <f>VLOOKUP(NavDataRegion[[#This Row],[Spool No]],[1]Sheet2!$B:$U,20,0)</f>
        <v>5.2603999999999997</v>
      </c>
      <c r="O673" s="2">
        <v>3.75</v>
      </c>
      <c r="P673" s="2">
        <v>0.75</v>
      </c>
      <c r="Q673" s="2"/>
    </row>
    <row r="674" spans="1:17" ht="20.100000000000001" customHeight="1">
      <c r="A674" s="2" t="s">
        <v>9</v>
      </c>
      <c r="B674" s="2" t="s">
        <v>901</v>
      </c>
      <c r="C674" s="2" t="s">
        <v>1865</v>
      </c>
      <c r="D674" s="2" t="e">
        <f>VLOOKUP(C:C,Vlookup!A:A,1,0)</f>
        <v>#N/A</v>
      </c>
      <c r="E674" s="2">
        <v>14</v>
      </c>
      <c r="F674" s="17" t="s">
        <v>10</v>
      </c>
      <c r="G674" s="17" t="s">
        <v>281</v>
      </c>
      <c r="H674" s="2" t="s">
        <v>11</v>
      </c>
      <c r="I674" s="2">
        <v>1</v>
      </c>
      <c r="J674" s="5">
        <v>46105</v>
      </c>
      <c r="K674" s="5">
        <v>46106</v>
      </c>
      <c r="L674" s="2" t="s">
        <v>865</v>
      </c>
      <c r="M674" s="5">
        <v>45754</v>
      </c>
      <c r="N674" s="3">
        <f>VLOOKUP(NavDataRegion[[#This Row],[Spool No]],[1]Sheet2!$B:$U,20,0)</f>
        <v>17.523199999999999</v>
      </c>
      <c r="O674" s="2">
        <v>3</v>
      </c>
      <c r="P674" s="2">
        <v>0.75</v>
      </c>
      <c r="Q674" s="2"/>
    </row>
    <row r="675" spans="1:17" ht="20.100000000000001" customHeight="1">
      <c r="A675" s="2" t="s">
        <v>9</v>
      </c>
      <c r="B675" s="2" t="s">
        <v>1101</v>
      </c>
      <c r="C675" s="2" t="s">
        <v>1884</v>
      </c>
      <c r="D675" s="2" t="e">
        <f>VLOOKUP(C:C,Vlookup!A:A,1,0)</f>
        <v>#N/A</v>
      </c>
      <c r="E675" s="2">
        <v>14</v>
      </c>
      <c r="F675" s="17" t="s">
        <v>10</v>
      </c>
      <c r="G675" s="17" t="s">
        <v>25</v>
      </c>
      <c r="H675" s="2" t="s">
        <v>11</v>
      </c>
      <c r="I675" s="2">
        <v>1</v>
      </c>
      <c r="J675" s="5">
        <v>46105</v>
      </c>
      <c r="K675" s="5">
        <v>46106</v>
      </c>
      <c r="L675" s="2" t="s">
        <v>865</v>
      </c>
      <c r="M675" s="5">
        <v>45754</v>
      </c>
      <c r="N675" s="3">
        <f>VLOOKUP(NavDataRegion[[#This Row],[Spool No]],[1]Sheet2!$B:$U,20,0)</f>
        <v>7.0679999999999996</v>
      </c>
      <c r="O675" s="2">
        <v>2.25</v>
      </c>
      <c r="P675" s="2">
        <v>0.75</v>
      </c>
      <c r="Q675" s="2"/>
    </row>
    <row r="676" spans="1:17" ht="20.100000000000001" customHeight="1">
      <c r="A676" s="2" t="s">
        <v>9</v>
      </c>
      <c r="B676" s="2" t="s">
        <v>947</v>
      </c>
      <c r="C676" s="2" t="s">
        <v>1670</v>
      </c>
      <c r="D676" s="2" t="e">
        <f>VLOOKUP(C:C,Vlookup!A:A,1,0)</f>
        <v>#N/A</v>
      </c>
      <c r="E676" s="2">
        <v>14</v>
      </c>
      <c r="F676" s="17" t="s">
        <v>10</v>
      </c>
      <c r="G676" s="17" t="s">
        <v>25</v>
      </c>
      <c r="H676" s="2" t="s">
        <v>11</v>
      </c>
      <c r="I676" s="2">
        <v>1</v>
      </c>
      <c r="J676" s="5">
        <v>46101</v>
      </c>
      <c r="K676" s="5">
        <v>46104</v>
      </c>
      <c r="L676" s="2" t="s">
        <v>865</v>
      </c>
      <c r="M676" s="5">
        <v>45754</v>
      </c>
      <c r="N676" s="3">
        <f>VLOOKUP(NavDataRegion[[#This Row],[Spool No]],[1]Sheet2!$B:$U,20,0)</f>
        <v>22.693000000000001</v>
      </c>
      <c r="O676" s="2">
        <v>4.5</v>
      </c>
      <c r="P676" s="2">
        <v>1.5</v>
      </c>
      <c r="Q676" s="2"/>
    </row>
    <row r="677" spans="1:17" ht="20.100000000000001" customHeight="1">
      <c r="A677" s="2" t="s">
        <v>9</v>
      </c>
      <c r="B677" s="2" t="s">
        <v>1137</v>
      </c>
      <c r="C677" s="2" t="s">
        <v>1711</v>
      </c>
      <c r="D677" s="2" t="e">
        <f>VLOOKUP(C:C,Vlookup!A:A,1,0)</f>
        <v>#N/A</v>
      </c>
      <c r="E677" s="2">
        <v>14</v>
      </c>
      <c r="F677" s="17" t="s">
        <v>10</v>
      </c>
      <c r="G677" s="17" t="s">
        <v>25</v>
      </c>
      <c r="H677" s="2" t="s">
        <v>11</v>
      </c>
      <c r="I677" s="2">
        <v>1</v>
      </c>
      <c r="J677" s="5">
        <v>46098</v>
      </c>
      <c r="K677" s="5">
        <v>46099</v>
      </c>
      <c r="L677" s="2" t="s">
        <v>865</v>
      </c>
      <c r="M677" s="5">
        <v>45754</v>
      </c>
      <c r="N677" s="3">
        <f>VLOOKUP(NavDataRegion[[#This Row],[Spool No]],[1]Sheet2!$B:$U,20,0)</f>
        <v>8.7686399999999995</v>
      </c>
      <c r="O677" s="2">
        <v>4</v>
      </c>
      <c r="P677" s="2">
        <v>1</v>
      </c>
      <c r="Q677" s="2"/>
    </row>
    <row r="678" spans="1:17" ht="20.100000000000001" customHeight="1">
      <c r="A678" s="2" t="s">
        <v>9</v>
      </c>
      <c r="B678" s="2" t="s">
        <v>1141</v>
      </c>
      <c r="C678" s="2" t="s">
        <v>1547</v>
      </c>
      <c r="D678" s="2" t="e">
        <f>VLOOKUP(C:C,Vlookup!A:A,1,0)</f>
        <v>#N/A</v>
      </c>
      <c r="E678" s="2">
        <v>14</v>
      </c>
      <c r="F678" s="17" t="s">
        <v>10</v>
      </c>
      <c r="G678" s="17" t="s">
        <v>25</v>
      </c>
      <c r="H678" s="2" t="s">
        <v>11</v>
      </c>
      <c r="I678" s="2">
        <v>1</v>
      </c>
      <c r="J678" s="5">
        <v>46098</v>
      </c>
      <c r="K678" s="5">
        <v>46099</v>
      </c>
      <c r="L678" s="2" t="s">
        <v>865</v>
      </c>
      <c r="M678" s="5">
        <v>45754</v>
      </c>
      <c r="N678" s="3">
        <f>VLOOKUP(NavDataRegion[[#This Row],[Spool No]],[1]Sheet2!$B:$U,20,0)</f>
        <v>9.9890000000000008</v>
      </c>
      <c r="O678" s="2">
        <v>4</v>
      </c>
      <c r="P678" s="2">
        <v>2</v>
      </c>
      <c r="Q678" s="2"/>
    </row>
    <row r="679" spans="1:17" ht="20.100000000000001" customHeight="1">
      <c r="A679" s="2" t="s">
        <v>9</v>
      </c>
      <c r="B679" s="2" t="s">
        <v>1145</v>
      </c>
      <c r="C679" s="2" t="s">
        <v>1146</v>
      </c>
      <c r="D679" s="2" t="e">
        <f>VLOOKUP(C:C,Vlookup!A:A,1,0)</f>
        <v>#N/A</v>
      </c>
      <c r="E679" s="2">
        <v>14</v>
      </c>
      <c r="F679" s="17" t="s">
        <v>10</v>
      </c>
      <c r="G679" s="17" t="s">
        <v>25</v>
      </c>
      <c r="H679" s="2" t="s">
        <v>11</v>
      </c>
      <c r="I679" s="2">
        <v>1</v>
      </c>
      <c r="J679" s="5">
        <v>46098</v>
      </c>
      <c r="K679" s="5">
        <v>46099</v>
      </c>
      <c r="L679" s="2" t="s">
        <v>865</v>
      </c>
      <c r="M679" s="5">
        <v>45754</v>
      </c>
      <c r="N679" s="3">
        <f>VLOOKUP(NavDataRegion[[#This Row],[Spool No]],[1]Sheet2!$B:$U,20,0)</f>
        <v>1.1404000000000001</v>
      </c>
      <c r="O679" s="2">
        <v>0.75</v>
      </c>
      <c r="P679" s="2">
        <v>0.75</v>
      </c>
      <c r="Q679" s="2"/>
    </row>
    <row r="680" spans="1:17" ht="20.100000000000001" customHeight="1">
      <c r="A680" s="2" t="s">
        <v>9</v>
      </c>
      <c r="B680" s="2" t="s">
        <v>1101</v>
      </c>
      <c r="C680" s="2" t="s">
        <v>1922</v>
      </c>
      <c r="D680" s="2" t="e">
        <f>VLOOKUP(C:C,Vlookup!A:A,1,0)</f>
        <v>#N/A</v>
      </c>
      <c r="E680" s="2">
        <v>16</v>
      </c>
      <c r="F680" s="17" t="s">
        <v>10</v>
      </c>
      <c r="G680" s="17" t="s">
        <v>25</v>
      </c>
      <c r="H680" s="2" t="s">
        <v>11</v>
      </c>
      <c r="I680" s="2">
        <v>1</v>
      </c>
      <c r="J680" s="5">
        <v>46107</v>
      </c>
      <c r="K680" s="5">
        <v>46111</v>
      </c>
      <c r="L680" s="2" t="s">
        <v>865</v>
      </c>
      <c r="M680" s="5">
        <v>46167</v>
      </c>
      <c r="N680" s="3">
        <f>VLOOKUP(NavDataRegion[[#This Row],[Spool No]],[1]Sheet2!$B:$U,20,0)</f>
        <v>14.9922</v>
      </c>
      <c r="O680" s="2">
        <v>4.5</v>
      </c>
      <c r="P680" s="2">
        <v>0.75</v>
      </c>
      <c r="Q680" s="2"/>
    </row>
    <row r="681" spans="1:17" ht="20.100000000000001" customHeight="1">
      <c r="A681" s="2" t="s">
        <v>9</v>
      </c>
      <c r="B681" s="2" t="s">
        <v>1149</v>
      </c>
      <c r="C681" s="2" t="s">
        <v>1150</v>
      </c>
      <c r="D681" s="2" t="e">
        <f>VLOOKUP(C:C,Vlookup!A:A,1,0)</f>
        <v>#N/A</v>
      </c>
      <c r="E681" s="2">
        <v>14</v>
      </c>
      <c r="F681" s="17" t="s">
        <v>10</v>
      </c>
      <c r="G681" s="17" t="s">
        <v>25</v>
      </c>
      <c r="H681" s="2" t="s">
        <v>11</v>
      </c>
      <c r="I681" s="2">
        <v>1</v>
      </c>
      <c r="J681" s="5">
        <v>46098</v>
      </c>
      <c r="K681" s="5">
        <v>46099</v>
      </c>
      <c r="L681" s="2" t="s">
        <v>865</v>
      </c>
      <c r="M681" s="5">
        <v>45754</v>
      </c>
      <c r="N681" s="3">
        <f>VLOOKUP(NavDataRegion[[#This Row],[Spool No]],[1]Sheet2!$B:$U,20,0)</f>
        <v>8.0101999999999993</v>
      </c>
      <c r="O681" s="2">
        <v>6</v>
      </c>
      <c r="P681" s="2">
        <v>2</v>
      </c>
      <c r="Q681" s="2"/>
    </row>
    <row r="682" spans="1:17" ht="20.100000000000001" customHeight="1">
      <c r="A682" s="2" t="s">
        <v>9</v>
      </c>
      <c r="B682" s="2" t="s">
        <v>1157</v>
      </c>
      <c r="C682" s="2" t="s">
        <v>1158</v>
      </c>
      <c r="D682" s="2" t="e">
        <f>VLOOKUP(C:C,Vlookup!A:A,1,0)</f>
        <v>#N/A</v>
      </c>
      <c r="E682" s="2">
        <v>14</v>
      </c>
      <c r="F682" s="17" t="s">
        <v>10</v>
      </c>
      <c r="G682" s="17" t="s">
        <v>25</v>
      </c>
      <c r="H682" s="2" t="s">
        <v>11</v>
      </c>
      <c r="I682" s="2">
        <v>1</v>
      </c>
      <c r="J682" s="5">
        <v>46098</v>
      </c>
      <c r="K682" s="5">
        <v>46099</v>
      </c>
      <c r="L682" s="2" t="s">
        <v>865</v>
      </c>
      <c r="M682" s="5">
        <v>45754</v>
      </c>
      <c r="N682" s="3">
        <f>VLOOKUP(NavDataRegion[[#This Row],[Spool No]],[1]Sheet2!$B:$U,20,0)</f>
        <v>12.74912</v>
      </c>
      <c r="O682" s="2">
        <v>4</v>
      </c>
      <c r="P682" s="2">
        <v>2</v>
      </c>
      <c r="Q682" s="2"/>
    </row>
    <row r="683" spans="1:17" ht="20.100000000000001" customHeight="1">
      <c r="A683" s="2" t="s">
        <v>9</v>
      </c>
      <c r="B683" s="2" t="s">
        <v>1159</v>
      </c>
      <c r="C683" s="2" t="s">
        <v>1160</v>
      </c>
      <c r="D683" s="2" t="e">
        <f>VLOOKUP(C:C,Vlookup!A:A,1,0)</f>
        <v>#N/A</v>
      </c>
      <c r="E683" s="2">
        <v>14</v>
      </c>
      <c r="F683" s="17" t="s">
        <v>10</v>
      </c>
      <c r="G683" s="17" t="s">
        <v>25</v>
      </c>
      <c r="H683" s="2" t="s">
        <v>11</v>
      </c>
      <c r="I683" s="2">
        <v>1</v>
      </c>
      <c r="J683" s="5">
        <v>46098</v>
      </c>
      <c r="K683" s="5">
        <v>46099</v>
      </c>
      <c r="L683" s="2" t="s">
        <v>865</v>
      </c>
      <c r="M683" s="5">
        <v>45754</v>
      </c>
      <c r="N683" s="3">
        <f>VLOOKUP(NavDataRegion[[#This Row],[Spool No]],[1]Sheet2!$B:$U,20,0)</f>
        <v>3.41804</v>
      </c>
      <c r="O683" s="2">
        <v>3</v>
      </c>
      <c r="P683" s="2">
        <v>1</v>
      </c>
      <c r="Q683" s="2"/>
    </row>
    <row r="684" spans="1:17" ht="20.100000000000001" customHeight="1">
      <c r="A684" s="2" t="s">
        <v>9</v>
      </c>
      <c r="B684" s="2" t="s">
        <v>1347</v>
      </c>
      <c r="C684" s="2" t="s">
        <v>1930</v>
      </c>
      <c r="D684" s="2" t="e">
        <f>VLOOKUP(C:C,Vlookup!A:A,1,0)</f>
        <v>#N/A</v>
      </c>
      <c r="E684" s="2">
        <v>14</v>
      </c>
      <c r="F684" s="17" t="s">
        <v>10</v>
      </c>
      <c r="G684" s="17" t="s">
        <v>281</v>
      </c>
      <c r="H684" s="2" t="s">
        <v>11</v>
      </c>
      <c r="I684" s="2">
        <v>1</v>
      </c>
      <c r="J684" s="5">
        <v>46105</v>
      </c>
      <c r="K684" s="5">
        <v>46106</v>
      </c>
      <c r="L684" s="2" t="s">
        <v>865</v>
      </c>
      <c r="M684" s="5">
        <v>45754</v>
      </c>
      <c r="N684" s="3">
        <f>VLOOKUP(NavDataRegion[[#This Row],[Spool No]],[1]Sheet2!$B:$U,20,0)</f>
        <v>17.7454</v>
      </c>
      <c r="O684" s="2">
        <v>3</v>
      </c>
      <c r="P684" s="2">
        <v>0.75</v>
      </c>
      <c r="Q684" s="2"/>
    </row>
    <row r="685" spans="1:17" ht="20.100000000000001" customHeight="1">
      <c r="A685" s="2" t="s">
        <v>9</v>
      </c>
      <c r="B685" s="2" t="s">
        <v>1159</v>
      </c>
      <c r="C685" s="2" t="s">
        <v>1556</v>
      </c>
      <c r="D685" s="2" t="e">
        <f>VLOOKUP(C:C,Vlookup!A:A,1,0)</f>
        <v>#N/A</v>
      </c>
      <c r="E685" s="2">
        <v>14</v>
      </c>
      <c r="F685" s="17" t="s">
        <v>10</v>
      </c>
      <c r="G685" s="17" t="s">
        <v>25</v>
      </c>
      <c r="H685" s="2" t="s">
        <v>11</v>
      </c>
      <c r="I685" s="2">
        <v>1</v>
      </c>
      <c r="J685" s="5">
        <v>46098</v>
      </c>
      <c r="K685" s="5">
        <v>46099</v>
      </c>
      <c r="L685" s="2" t="s">
        <v>865</v>
      </c>
      <c r="M685" s="5">
        <v>45754</v>
      </c>
      <c r="N685" s="3">
        <f>VLOOKUP(NavDataRegion[[#This Row],[Spool No]],[1]Sheet2!$B:$U,20,0)</f>
        <v>10.08352</v>
      </c>
      <c r="O685" s="2">
        <v>6</v>
      </c>
      <c r="P685" s="2">
        <v>1</v>
      </c>
      <c r="Q685" s="2"/>
    </row>
    <row r="686" spans="1:17" ht="20.100000000000001" customHeight="1">
      <c r="A686" s="2" t="s">
        <v>9</v>
      </c>
      <c r="B686" s="2" t="s">
        <v>985</v>
      </c>
      <c r="C686" s="2" t="s">
        <v>1685</v>
      </c>
      <c r="D686" s="2" t="e">
        <f>VLOOKUP(C:C,Vlookup!A:A,1,0)</f>
        <v>#N/A</v>
      </c>
      <c r="E686" s="2">
        <v>16</v>
      </c>
      <c r="F686" s="17" t="s">
        <v>10</v>
      </c>
      <c r="G686" s="17" t="s">
        <v>25</v>
      </c>
      <c r="H686" s="2" t="s">
        <v>11</v>
      </c>
      <c r="I686" s="2">
        <v>1</v>
      </c>
      <c r="J686" s="5">
        <v>46115</v>
      </c>
      <c r="K686" s="5">
        <v>46118</v>
      </c>
      <c r="L686" s="2" t="s">
        <v>865</v>
      </c>
      <c r="M686" s="5">
        <v>46167</v>
      </c>
      <c r="N686" s="3">
        <f>VLOOKUP(NavDataRegion[[#This Row],[Spool No]],[1]Sheet2!$B:$U,20,0)</f>
        <v>23.8476</v>
      </c>
      <c r="O686" s="2">
        <v>5.25</v>
      </c>
      <c r="P686" s="2">
        <v>0.75</v>
      </c>
      <c r="Q686" s="2"/>
    </row>
    <row r="687" spans="1:17" ht="20.100000000000001" customHeight="1">
      <c r="A687" s="2" t="s">
        <v>9</v>
      </c>
      <c r="B687" s="2" t="s">
        <v>909</v>
      </c>
      <c r="C687" s="2" t="s">
        <v>910</v>
      </c>
      <c r="D687" s="2" t="e">
        <f>VLOOKUP(C:C,Vlookup!A:A,1,0)</f>
        <v>#N/A</v>
      </c>
      <c r="E687" s="2">
        <v>16</v>
      </c>
      <c r="F687" s="17" t="s">
        <v>10</v>
      </c>
      <c r="G687" s="17" t="s">
        <v>281</v>
      </c>
      <c r="H687" s="2" t="s">
        <v>11</v>
      </c>
      <c r="I687" s="2">
        <v>1</v>
      </c>
      <c r="J687" s="5">
        <v>46118</v>
      </c>
      <c r="K687" s="5">
        <v>46120</v>
      </c>
      <c r="L687" s="2" t="s">
        <v>865</v>
      </c>
      <c r="M687" s="5">
        <v>46167</v>
      </c>
      <c r="N687" s="3">
        <f>VLOOKUP(NavDataRegion[[#This Row],[Spool No]],[1]Sheet2!$B:$U,20,0)</f>
        <v>10.08684</v>
      </c>
      <c r="O687" s="2">
        <v>7.75</v>
      </c>
      <c r="P687" s="2">
        <v>1</v>
      </c>
      <c r="Q687" s="2"/>
    </row>
    <row r="688" spans="1:17" ht="20.100000000000001" customHeight="1">
      <c r="A688" s="2" t="s">
        <v>9</v>
      </c>
      <c r="B688" s="2" t="s">
        <v>911</v>
      </c>
      <c r="C688" s="2" t="s">
        <v>912</v>
      </c>
      <c r="D688" s="2" t="e">
        <f>VLOOKUP(C:C,Vlookup!A:A,1,0)</f>
        <v>#N/A</v>
      </c>
      <c r="E688" s="2">
        <v>14</v>
      </c>
      <c r="F688" s="17" t="s">
        <v>10</v>
      </c>
      <c r="G688" s="17" t="s">
        <v>281</v>
      </c>
      <c r="H688" s="2" t="s">
        <v>11</v>
      </c>
      <c r="I688" s="2">
        <v>1</v>
      </c>
      <c r="J688" s="5">
        <v>46105</v>
      </c>
      <c r="K688" s="5">
        <v>46106</v>
      </c>
      <c r="L688" s="2" t="s">
        <v>865</v>
      </c>
      <c r="M688" s="5">
        <v>45754</v>
      </c>
      <c r="N688" s="3">
        <f>VLOOKUP(NavDataRegion[[#This Row],[Spool No]],[1]Sheet2!$B:$U,20,0)</f>
        <v>10.083600000000001</v>
      </c>
      <c r="O688" s="2">
        <v>7.75</v>
      </c>
      <c r="P688" s="2">
        <v>1</v>
      </c>
      <c r="Q688" s="2"/>
    </row>
    <row r="689" spans="1:17" ht="20.100000000000001" customHeight="1">
      <c r="A689" s="2" t="s">
        <v>9</v>
      </c>
      <c r="B689" s="2" t="s">
        <v>913</v>
      </c>
      <c r="C689" s="2" t="s">
        <v>914</v>
      </c>
      <c r="D689" s="2" t="e">
        <f>VLOOKUP(C:C,Vlookup!A:A,1,0)</f>
        <v>#N/A</v>
      </c>
      <c r="E689" s="2">
        <v>14</v>
      </c>
      <c r="F689" s="17" t="s">
        <v>10</v>
      </c>
      <c r="G689" s="17" t="s">
        <v>281</v>
      </c>
      <c r="H689" s="2" t="s">
        <v>11</v>
      </c>
      <c r="I689" s="2">
        <v>1</v>
      </c>
      <c r="J689" s="5">
        <v>46105</v>
      </c>
      <c r="K689" s="5">
        <v>46106</v>
      </c>
      <c r="L689" s="2" t="s">
        <v>865</v>
      </c>
      <c r="M689" s="5">
        <v>45754</v>
      </c>
      <c r="N689" s="3">
        <f>VLOOKUP(NavDataRegion[[#This Row],[Spool No]],[1]Sheet2!$B:$U,20,0)</f>
        <v>10.083600000000001</v>
      </c>
      <c r="O689" s="2">
        <v>7.75</v>
      </c>
      <c r="P689" s="2">
        <v>1</v>
      </c>
      <c r="Q689" s="2"/>
    </row>
    <row r="690" spans="1:17" ht="20.100000000000001" customHeight="1">
      <c r="A690" s="2" t="s">
        <v>9</v>
      </c>
      <c r="B690" s="2" t="s">
        <v>915</v>
      </c>
      <c r="C690" s="2" t="s">
        <v>916</v>
      </c>
      <c r="D690" s="2" t="e">
        <f>VLOOKUP(C:C,Vlookup!A:A,1,0)</f>
        <v>#N/A</v>
      </c>
      <c r="E690" s="2">
        <v>14</v>
      </c>
      <c r="F690" s="17" t="s">
        <v>10</v>
      </c>
      <c r="G690" s="17" t="s">
        <v>281</v>
      </c>
      <c r="H690" s="2" t="s">
        <v>11</v>
      </c>
      <c r="I690" s="2">
        <v>1</v>
      </c>
      <c r="J690" s="5">
        <v>46105</v>
      </c>
      <c r="K690" s="5">
        <v>46106</v>
      </c>
      <c r="L690" s="2" t="s">
        <v>865</v>
      </c>
      <c r="M690" s="5">
        <v>45754</v>
      </c>
      <c r="N690" s="3">
        <f>VLOOKUP(NavDataRegion[[#This Row],[Spool No]],[1]Sheet2!$B:$U,20,0)</f>
        <v>10.083600000000001</v>
      </c>
      <c r="O690" s="2">
        <v>7.75</v>
      </c>
      <c r="P690" s="2">
        <v>1</v>
      </c>
      <c r="Q690" s="2"/>
    </row>
    <row r="691" spans="1:17" ht="20.100000000000001" customHeight="1">
      <c r="A691" s="2" t="s">
        <v>9</v>
      </c>
      <c r="B691" s="2" t="s">
        <v>917</v>
      </c>
      <c r="C691" s="2" t="s">
        <v>918</v>
      </c>
      <c r="D691" s="2" t="e">
        <f>VLOOKUP(C:C,Vlookup!A:A,1,0)</f>
        <v>#N/A</v>
      </c>
      <c r="E691" s="2">
        <v>14</v>
      </c>
      <c r="F691" s="17" t="s">
        <v>10</v>
      </c>
      <c r="G691" s="17" t="s">
        <v>281</v>
      </c>
      <c r="H691" s="2" t="s">
        <v>11</v>
      </c>
      <c r="I691" s="2">
        <v>1</v>
      </c>
      <c r="J691" s="5">
        <v>46105</v>
      </c>
      <c r="K691" s="5">
        <v>46106</v>
      </c>
      <c r="L691" s="2" t="s">
        <v>865</v>
      </c>
      <c r="M691" s="5">
        <v>45754</v>
      </c>
      <c r="N691" s="3">
        <f>VLOOKUP(NavDataRegion[[#This Row],[Spool No]],[1]Sheet2!$B:$U,20,0)</f>
        <v>10.083600000000001</v>
      </c>
      <c r="O691" s="2">
        <v>7.75</v>
      </c>
      <c r="P691" s="2">
        <v>1</v>
      </c>
      <c r="Q691" s="2"/>
    </row>
    <row r="692" spans="1:17" ht="20.100000000000001" customHeight="1">
      <c r="A692" s="2" t="s">
        <v>9</v>
      </c>
      <c r="B692" s="2" t="s">
        <v>919</v>
      </c>
      <c r="C692" s="2" t="s">
        <v>920</v>
      </c>
      <c r="D692" s="2" t="e">
        <f>VLOOKUP(C:C,Vlookup!A:A,1,0)</f>
        <v>#N/A</v>
      </c>
      <c r="E692" s="2">
        <v>14</v>
      </c>
      <c r="F692" s="17" t="s">
        <v>10</v>
      </c>
      <c r="G692" s="17" t="s">
        <v>281</v>
      </c>
      <c r="H692" s="2" t="s">
        <v>11</v>
      </c>
      <c r="I692" s="2">
        <v>1</v>
      </c>
      <c r="J692" s="5">
        <v>46105</v>
      </c>
      <c r="K692" s="5">
        <v>46106</v>
      </c>
      <c r="L692" s="2" t="s">
        <v>865</v>
      </c>
      <c r="M692" s="5">
        <v>45754</v>
      </c>
      <c r="N692" s="3">
        <f>VLOOKUP(NavDataRegion[[#This Row],[Spool No]],[1]Sheet2!$B:$U,20,0)</f>
        <v>10.083600000000001</v>
      </c>
      <c r="O692" s="2">
        <v>7.75</v>
      </c>
      <c r="P692" s="2">
        <v>1</v>
      </c>
      <c r="Q692" s="2"/>
    </row>
    <row r="693" spans="1:17" ht="20.100000000000001" customHeight="1">
      <c r="A693" s="2" t="s">
        <v>9</v>
      </c>
      <c r="B693" s="2" t="s">
        <v>1161</v>
      </c>
      <c r="C693" s="2" t="s">
        <v>1162</v>
      </c>
      <c r="D693" s="2" t="e">
        <f>VLOOKUP(C:C,Vlookup!A:A,1,0)</f>
        <v>#N/A</v>
      </c>
      <c r="E693" s="2">
        <v>14</v>
      </c>
      <c r="F693" s="17" t="s">
        <v>10</v>
      </c>
      <c r="G693" s="17" t="s">
        <v>25</v>
      </c>
      <c r="H693" s="2" t="s">
        <v>11</v>
      </c>
      <c r="I693" s="2">
        <v>1</v>
      </c>
      <c r="J693" s="5">
        <v>46098</v>
      </c>
      <c r="K693" s="5">
        <v>46099</v>
      </c>
      <c r="L693" s="2" t="s">
        <v>865</v>
      </c>
      <c r="M693" s="5">
        <v>45754</v>
      </c>
      <c r="N693" s="3">
        <f>VLOOKUP(NavDataRegion[[#This Row],[Spool No]],[1]Sheet2!$B:$U,20,0)</f>
        <v>26.384879999999999</v>
      </c>
      <c r="O693" s="2">
        <v>3</v>
      </c>
      <c r="P693" s="2">
        <v>1</v>
      </c>
      <c r="Q693" s="2"/>
    </row>
    <row r="694" spans="1:17" ht="20.100000000000001" customHeight="1">
      <c r="A694" s="2" t="s">
        <v>9</v>
      </c>
      <c r="B694" s="2" t="s">
        <v>1225</v>
      </c>
      <c r="C694" s="2" t="s">
        <v>1574</v>
      </c>
      <c r="D694" s="2" t="e">
        <f>VLOOKUP(C:C,Vlookup!A:A,1,0)</f>
        <v>#N/A</v>
      </c>
      <c r="E694" s="2">
        <v>16</v>
      </c>
      <c r="F694" s="17" t="s">
        <v>10</v>
      </c>
      <c r="G694" s="17" t="s">
        <v>25</v>
      </c>
      <c r="H694" s="2" t="s">
        <v>11</v>
      </c>
      <c r="I694" s="2">
        <v>1</v>
      </c>
      <c r="J694" s="5">
        <v>46106</v>
      </c>
      <c r="K694" s="5">
        <v>46108</v>
      </c>
      <c r="L694" s="2" t="s">
        <v>865</v>
      </c>
      <c r="M694" s="5">
        <v>46167</v>
      </c>
      <c r="N694" s="3">
        <f>VLOOKUP(NavDataRegion[[#This Row],[Spool No]],[1]Sheet2!$B:$U,20,0)</f>
        <v>6.5932399999999998</v>
      </c>
      <c r="O694" s="2">
        <v>3</v>
      </c>
      <c r="P694" s="2">
        <v>0.5</v>
      </c>
      <c r="Q694" s="2"/>
    </row>
    <row r="695" spans="1:17" ht="20.100000000000001" customHeight="1">
      <c r="A695" s="2" t="s">
        <v>9</v>
      </c>
      <c r="B695" s="2" t="s">
        <v>957</v>
      </c>
      <c r="C695" s="2" t="s">
        <v>958</v>
      </c>
      <c r="D695" s="2" t="e">
        <f>VLOOKUP(C:C,Vlookup!A:A,1,0)</f>
        <v>#N/A</v>
      </c>
      <c r="E695" s="2">
        <v>14</v>
      </c>
      <c r="F695" s="17" t="s">
        <v>10</v>
      </c>
      <c r="G695" s="17" t="s">
        <v>25</v>
      </c>
      <c r="H695" s="2" t="s">
        <v>11</v>
      </c>
      <c r="I695" s="2">
        <v>1</v>
      </c>
      <c r="J695" s="5">
        <v>46100</v>
      </c>
      <c r="K695" s="5">
        <v>46101</v>
      </c>
      <c r="L695" s="2" t="s">
        <v>865</v>
      </c>
      <c r="M695" s="5">
        <v>45754</v>
      </c>
      <c r="N695" s="3">
        <f>VLOOKUP(NavDataRegion[[#This Row],[Spool No]],[1]Sheet2!$B:$U,20,0)</f>
        <v>25.50732</v>
      </c>
      <c r="O695" s="2">
        <v>5</v>
      </c>
      <c r="P695" s="2">
        <v>1</v>
      </c>
      <c r="Q695" s="2"/>
    </row>
    <row r="696" spans="1:17" ht="20.100000000000001" customHeight="1">
      <c r="A696" s="2" t="s">
        <v>9</v>
      </c>
      <c r="B696" s="2" t="s">
        <v>989</v>
      </c>
      <c r="C696" s="2" t="s">
        <v>1686</v>
      </c>
      <c r="D696" s="2" t="e">
        <f>VLOOKUP(C:C,Vlookup!A:A,1,0)</f>
        <v>#N/A</v>
      </c>
      <c r="E696" s="2">
        <v>16</v>
      </c>
      <c r="F696" s="17" t="s">
        <v>10</v>
      </c>
      <c r="G696" s="17" t="s">
        <v>25</v>
      </c>
      <c r="H696" s="2" t="s">
        <v>11</v>
      </c>
      <c r="I696" s="2">
        <v>1</v>
      </c>
      <c r="J696" s="5">
        <v>46115</v>
      </c>
      <c r="K696" s="5">
        <v>46118</v>
      </c>
      <c r="L696" s="2" t="s">
        <v>865</v>
      </c>
      <c r="M696" s="5">
        <v>46167</v>
      </c>
      <c r="N696" s="3">
        <f>VLOOKUP(NavDataRegion[[#This Row],[Spool No]],[1]Sheet2!$B:$U,20,0)</f>
        <v>41.057040000000001</v>
      </c>
      <c r="O696" s="2">
        <v>9</v>
      </c>
      <c r="P696" s="2">
        <v>1</v>
      </c>
      <c r="Q696" s="2"/>
    </row>
    <row r="697" spans="1:17" ht="20.100000000000001" customHeight="1">
      <c r="A697" s="2" t="s">
        <v>9</v>
      </c>
      <c r="B697" s="2" t="s">
        <v>963</v>
      </c>
      <c r="C697" s="2" t="s">
        <v>964</v>
      </c>
      <c r="D697" s="2" t="e">
        <f>VLOOKUP(C:C,Vlookup!A:A,1,0)</f>
        <v>#N/A</v>
      </c>
      <c r="E697" s="2">
        <v>14</v>
      </c>
      <c r="F697" s="17" t="s">
        <v>10</v>
      </c>
      <c r="G697" s="17" t="s">
        <v>25</v>
      </c>
      <c r="H697" s="2" t="s">
        <v>11</v>
      </c>
      <c r="I697" s="2">
        <v>1</v>
      </c>
      <c r="J697" s="5">
        <v>46100</v>
      </c>
      <c r="K697" s="5">
        <v>46101</v>
      </c>
      <c r="L697" s="2" t="s">
        <v>865</v>
      </c>
      <c r="M697" s="5">
        <v>45754</v>
      </c>
      <c r="N697" s="3">
        <f>VLOOKUP(NavDataRegion[[#This Row],[Spool No]],[1]Sheet2!$B:$U,20,0)</f>
        <v>21.164639999999999</v>
      </c>
      <c r="O697" s="2">
        <v>3</v>
      </c>
      <c r="P697" s="2">
        <v>1</v>
      </c>
      <c r="Q697" s="2"/>
    </row>
    <row r="698" spans="1:17" ht="20.100000000000001" customHeight="1">
      <c r="A698" s="2" t="s">
        <v>9</v>
      </c>
      <c r="B698" s="2" t="s">
        <v>1163</v>
      </c>
      <c r="C698" s="2" t="s">
        <v>1164</v>
      </c>
      <c r="D698" s="2" t="e">
        <f>VLOOKUP(C:C,Vlookup!A:A,1,0)</f>
        <v>#N/A</v>
      </c>
      <c r="E698" s="2">
        <v>14</v>
      </c>
      <c r="F698" s="17" t="s">
        <v>10</v>
      </c>
      <c r="G698" s="17" t="s">
        <v>25</v>
      </c>
      <c r="H698" s="2" t="s">
        <v>11</v>
      </c>
      <c r="I698" s="2">
        <v>1</v>
      </c>
      <c r="J698" s="5">
        <v>46098</v>
      </c>
      <c r="K698" s="5">
        <v>46099</v>
      </c>
      <c r="L698" s="2" t="s">
        <v>865</v>
      </c>
      <c r="M698" s="5">
        <v>45754</v>
      </c>
      <c r="N698" s="3">
        <f>VLOOKUP(NavDataRegion[[#This Row],[Spool No]],[1]Sheet2!$B:$U,20,0)</f>
        <v>32.719320000000003</v>
      </c>
      <c r="O698" s="2">
        <v>6</v>
      </c>
      <c r="P698" s="2">
        <v>1</v>
      </c>
      <c r="Q698" s="2"/>
    </row>
    <row r="699" spans="1:17" ht="20.100000000000001" customHeight="1">
      <c r="A699" s="2" t="s">
        <v>9</v>
      </c>
      <c r="B699" s="2" t="s">
        <v>957</v>
      </c>
      <c r="C699" s="2" t="s">
        <v>1485</v>
      </c>
      <c r="D699" s="2" t="e">
        <f>VLOOKUP(C:C,Vlookup!A:A,1,0)</f>
        <v>#N/A</v>
      </c>
      <c r="E699" s="2">
        <v>14</v>
      </c>
      <c r="F699" s="17" t="s">
        <v>10</v>
      </c>
      <c r="G699" s="17" t="s">
        <v>25</v>
      </c>
      <c r="H699" s="2" t="s">
        <v>11</v>
      </c>
      <c r="I699" s="2">
        <v>1</v>
      </c>
      <c r="J699" s="5">
        <v>46101</v>
      </c>
      <c r="K699" s="5">
        <v>46104</v>
      </c>
      <c r="L699" s="2" t="s">
        <v>865</v>
      </c>
      <c r="M699" s="5">
        <v>45754</v>
      </c>
      <c r="N699" s="3">
        <f>VLOOKUP(NavDataRegion[[#This Row],[Spool No]],[1]Sheet2!$B:$U,20,0)</f>
        <v>27.804960000000001</v>
      </c>
      <c r="O699" s="2">
        <v>7</v>
      </c>
      <c r="P699" s="2">
        <v>1</v>
      </c>
      <c r="Q699" s="2"/>
    </row>
    <row r="700" spans="1:17" ht="20.100000000000001" customHeight="1">
      <c r="A700" s="2" t="s">
        <v>9</v>
      </c>
      <c r="B700" s="2" t="s">
        <v>931</v>
      </c>
      <c r="C700" s="2" t="s">
        <v>1472</v>
      </c>
      <c r="D700" s="2" t="e">
        <f>VLOOKUP(C:C,Vlookup!A:A,1,0)</f>
        <v>#N/A</v>
      </c>
      <c r="E700" s="2">
        <v>14</v>
      </c>
      <c r="F700" s="17" t="s">
        <v>10</v>
      </c>
      <c r="G700" s="17" t="s">
        <v>25</v>
      </c>
      <c r="H700" s="2" t="s">
        <v>11</v>
      </c>
      <c r="I700" s="2">
        <v>1</v>
      </c>
      <c r="J700" s="5">
        <v>46105</v>
      </c>
      <c r="K700" s="5">
        <v>46107</v>
      </c>
      <c r="L700" s="2" t="s">
        <v>865</v>
      </c>
      <c r="M700" s="5">
        <v>45754</v>
      </c>
      <c r="N700" s="3">
        <f>VLOOKUP(NavDataRegion[[#This Row],[Spool No]],[1]Sheet2!$B:$U,20,0)</f>
        <v>38.933999999999997</v>
      </c>
      <c r="O700" s="2">
        <v>3</v>
      </c>
      <c r="P700" s="2">
        <v>1</v>
      </c>
      <c r="Q700" s="2"/>
    </row>
    <row r="701" spans="1:17" ht="20.100000000000001" customHeight="1">
      <c r="A701" s="2" t="s">
        <v>9</v>
      </c>
      <c r="B701" s="2" t="s">
        <v>991</v>
      </c>
      <c r="C701" s="2" t="s">
        <v>992</v>
      </c>
      <c r="D701" s="2" t="e">
        <f>VLOOKUP(C:C,Vlookup!A:A,1,0)</f>
        <v>#N/A</v>
      </c>
      <c r="E701" s="2">
        <v>16</v>
      </c>
      <c r="F701" s="17" t="s">
        <v>10</v>
      </c>
      <c r="G701" s="17" t="s">
        <v>25</v>
      </c>
      <c r="H701" s="2" t="s">
        <v>11</v>
      </c>
      <c r="I701" s="2">
        <v>1</v>
      </c>
      <c r="J701" s="5">
        <v>46107</v>
      </c>
      <c r="K701" s="5">
        <v>46111</v>
      </c>
      <c r="L701" s="2" t="s">
        <v>865</v>
      </c>
      <c r="M701" s="5">
        <v>46167</v>
      </c>
      <c r="N701" s="3">
        <f>VLOOKUP(NavDataRegion[[#This Row],[Spool No]],[1]Sheet2!$B:$U,20,0)</f>
        <v>38.609400000000001</v>
      </c>
      <c r="O701" s="2">
        <v>3</v>
      </c>
      <c r="P701" s="2">
        <v>1</v>
      </c>
      <c r="Q701" s="2"/>
    </row>
    <row r="702" spans="1:17" ht="20.100000000000001" customHeight="1">
      <c r="A702" s="2" t="s">
        <v>9</v>
      </c>
      <c r="B702" s="2" t="s">
        <v>993</v>
      </c>
      <c r="C702" s="2" t="s">
        <v>994</v>
      </c>
      <c r="D702" s="2" t="e">
        <f>VLOOKUP(C:C,Vlookup!A:A,1,0)</f>
        <v>#N/A</v>
      </c>
      <c r="E702" s="2">
        <v>16</v>
      </c>
      <c r="F702" s="17" t="s">
        <v>10</v>
      </c>
      <c r="G702" s="17" t="s">
        <v>25</v>
      </c>
      <c r="H702" s="2" t="s">
        <v>11</v>
      </c>
      <c r="I702" s="2">
        <v>1</v>
      </c>
      <c r="J702" s="5">
        <v>46108</v>
      </c>
      <c r="K702" s="5">
        <v>46111</v>
      </c>
      <c r="L702" s="2" t="s">
        <v>865</v>
      </c>
      <c r="M702" s="5">
        <v>46167</v>
      </c>
      <c r="N702" s="3">
        <f>VLOOKUP(NavDataRegion[[#This Row],[Spool No]],[1]Sheet2!$B:$U,20,0)</f>
        <v>22.226959999999998</v>
      </c>
      <c r="O702" s="2">
        <v>5</v>
      </c>
      <c r="P702" s="2">
        <v>1</v>
      </c>
      <c r="Q702" s="2"/>
    </row>
    <row r="703" spans="1:17" ht="20.100000000000001" customHeight="1">
      <c r="A703" s="2" t="s">
        <v>9</v>
      </c>
      <c r="B703" s="2" t="s">
        <v>1275</v>
      </c>
      <c r="C703" s="2" t="s">
        <v>1594</v>
      </c>
      <c r="D703" s="2" t="e">
        <f>VLOOKUP(C:C,Vlookup!A:A,1,0)</f>
        <v>#N/A</v>
      </c>
      <c r="E703" s="2">
        <v>16</v>
      </c>
      <c r="F703" s="17" t="s">
        <v>10</v>
      </c>
      <c r="G703" s="17" t="s">
        <v>25</v>
      </c>
      <c r="H703" s="2" t="s">
        <v>11</v>
      </c>
      <c r="I703" s="2">
        <v>1</v>
      </c>
      <c r="J703" s="5">
        <v>46105</v>
      </c>
      <c r="K703" s="5">
        <v>46108</v>
      </c>
      <c r="L703" s="2" t="s">
        <v>865</v>
      </c>
      <c r="M703" s="5">
        <v>46167</v>
      </c>
      <c r="N703" s="3">
        <f>VLOOKUP(NavDataRegion[[#This Row],[Spool No]],[1]Sheet2!$B:$U,20,0)</f>
        <v>9.9433600000000002</v>
      </c>
      <c r="O703" s="2">
        <v>1</v>
      </c>
      <c r="P703" s="2">
        <v>0.5</v>
      </c>
      <c r="Q703" s="2"/>
    </row>
    <row r="704" spans="1:17" ht="20.100000000000001" customHeight="1">
      <c r="A704" s="2" t="s">
        <v>9</v>
      </c>
      <c r="B704" s="2" t="s">
        <v>973</v>
      </c>
      <c r="C704" s="2" t="s">
        <v>1492</v>
      </c>
      <c r="D704" s="2" t="e">
        <f>VLOOKUP(C:C,Vlookup!A:A,1,0)</f>
        <v>#N/A</v>
      </c>
      <c r="E704" s="2">
        <v>14</v>
      </c>
      <c r="F704" s="17" t="s">
        <v>10</v>
      </c>
      <c r="G704" s="17" t="s">
        <v>25</v>
      </c>
      <c r="H704" s="2" t="s">
        <v>11</v>
      </c>
      <c r="I704" s="2">
        <v>1</v>
      </c>
      <c r="J704" s="5">
        <v>46100</v>
      </c>
      <c r="K704" s="5">
        <v>46101</v>
      </c>
      <c r="L704" s="2" t="s">
        <v>865</v>
      </c>
      <c r="M704" s="5">
        <v>45754</v>
      </c>
      <c r="N704" s="3">
        <f>VLOOKUP(NavDataRegion[[#This Row],[Spool No]],[1]Sheet2!$B:$U,20,0)</f>
        <v>16.579799999999999</v>
      </c>
      <c r="O704" s="2">
        <v>3</v>
      </c>
      <c r="P704" s="2">
        <v>1</v>
      </c>
      <c r="Q704" s="2"/>
    </row>
    <row r="705" spans="1:17" ht="20.100000000000001" customHeight="1">
      <c r="A705" s="2" t="s">
        <v>9</v>
      </c>
      <c r="B705" s="2" t="s">
        <v>999</v>
      </c>
      <c r="C705" s="2" t="s">
        <v>1000</v>
      </c>
      <c r="D705" s="2" t="e">
        <f>VLOOKUP(C:C,Vlookup!A:A,1,0)</f>
        <v>#N/A</v>
      </c>
      <c r="E705" s="2">
        <v>14</v>
      </c>
      <c r="F705" s="17" t="s">
        <v>10</v>
      </c>
      <c r="G705" s="17" t="s">
        <v>25</v>
      </c>
      <c r="H705" s="2" t="s">
        <v>11</v>
      </c>
      <c r="I705" s="2">
        <v>1</v>
      </c>
      <c r="J705" s="5">
        <v>46105</v>
      </c>
      <c r="K705" s="5">
        <v>46106</v>
      </c>
      <c r="L705" s="2" t="s">
        <v>865</v>
      </c>
      <c r="M705" s="5">
        <v>45754</v>
      </c>
      <c r="N705" s="3">
        <f>VLOOKUP(NavDataRegion[[#This Row],[Spool No]],[1]Sheet2!$B:$U,20,0)</f>
        <v>18.88036</v>
      </c>
      <c r="O705" s="2">
        <v>4</v>
      </c>
      <c r="P705" s="2">
        <v>1</v>
      </c>
      <c r="Q705" s="2"/>
    </row>
    <row r="706" spans="1:17" ht="20.100000000000001" customHeight="1">
      <c r="A706" s="2" t="s">
        <v>9</v>
      </c>
      <c r="B706" s="2" t="s">
        <v>1001</v>
      </c>
      <c r="C706" s="2" t="s">
        <v>1002</v>
      </c>
      <c r="D706" s="2" t="e">
        <f>VLOOKUP(C:C,Vlookup!A:A,1,0)</f>
        <v>#N/A</v>
      </c>
      <c r="E706" s="2">
        <v>14</v>
      </c>
      <c r="F706" s="17" t="s">
        <v>10</v>
      </c>
      <c r="G706" s="17" t="s">
        <v>25</v>
      </c>
      <c r="H706" s="2" t="s">
        <v>11</v>
      </c>
      <c r="I706" s="2">
        <v>1</v>
      </c>
      <c r="J706" s="5">
        <v>46105</v>
      </c>
      <c r="K706" s="5">
        <v>46106</v>
      </c>
      <c r="L706" s="2" t="s">
        <v>865</v>
      </c>
      <c r="M706" s="5">
        <v>45754</v>
      </c>
      <c r="N706" s="3">
        <f>VLOOKUP(NavDataRegion[[#This Row],[Spool No]],[1]Sheet2!$B:$U,20,0)</f>
        <v>19.019680000000001</v>
      </c>
      <c r="O706" s="2">
        <v>4</v>
      </c>
      <c r="P706" s="2">
        <v>1</v>
      </c>
      <c r="Q706" s="2"/>
    </row>
    <row r="707" spans="1:17" ht="20.100000000000001" customHeight="1">
      <c r="A707" s="2" t="s">
        <v>9</v>
      </c>
      <c r="B707" s="2" t="s">
        <v>1003</v>
      </c>
      <c r="C707" s="2" t="s">
        <v>1004</v>
      </c>
      <c r="D707" s="2" t="e">
        <f>VLOOKUP(C:C,Vlookup!A:A,1,0)</f>
        <v>#N/A</v>
      </c>
      <c r="E707" s="2">
        <v>14</v>
      </c>
      <c r="F707" s="17" t="s">
        <v>10</v>
      </c>
      <c r="G707" s="17" t="s">
        <v>25</v>
      </c>
      <c r="H707" s="2" t="s">
        <v>11</v>
      </c>
      <c r="I707" s="2">
        <v>1</v>
      </c>
      <c r="J707" s="5">
        <v>46105</v>
      </c>
      <c r="K707" s="5">
        <v>46106</v>
      </c>
      <c r="L707" s="2" t="s">
        <v>865</v>
      </c>
      <c r="M707" s="5">
        <v>45754</v>
      </c>
      <c r="N707" s="3">
        <f>VLOOKUP(NavDataRegion[[#This Row],[Spool No]],[1]Sheet2!$B:$U,20,0)</f>
        <v>19.628799999999998</v>
      </c>
      <c r="O707" s="2">
        <v>4</v>
      </c>
      <c r="P707" s="2">
        <v>1</v>
      </c>
      <c r="Q707" s="2"/>
    </row>
    <row r="708" spans="1:17" ht="20.100000000000001" customHeight="1">
      <c r="A708" s="2" t="s">
        <v>9</v>
      </c>
      <c r="B708" s="2" t="s">
        <v>1005</v>
      </c>
      <c r="C708" s="2" t="s">
        <v>1006</v>
      </c>
      <c r="D708" s="2" t="e">
        <f>VLOOKUP(C:C,Vlookup!A:A,1,0)</f>
        <v>#N/A</v>
      </c>
      <c r="E708" s="2">
        <v>14</v>
      </c>
      <c r="F708" s="17" t="s">
        <v>10</v>
      </c>
      <c r="G708" s="17" t="s">
        <v>25</v>
      </c>
      <c r="H708" s="2" t="s">
        <v>11</v>
      </c>
      <c r="I708" s="2">
        <v>1</v>
      </c>
      <c r="J708" s="5">
        <v>46105</v>
      </c>
      <c r="K708" s="5">
        <v>46106</v>
      </c>
      <c r="L708" s="2" t="s">
        <v>865</v>
      </c>
      <c r="M708" s="5">
        <v>45754</v>
      </c>
      <c r="N708" s="3">
        <f>VLOOKUP(NavDataRegion[[#This Row],[Spool No]],[1]Sheet2!$B:$U,20,0)</f>
        <v>19.794039999999999</v>
      </c>
      <c r="O708" s="2">
        <v>4</v>
      </c>
      <c r="P708" s="2">
        <v>1</v>
      </c>
      <c r="Q708" s="2"/>
    </row>
    <row r="709" spans="1:17" ht="20.100000000000001" customHeight="1">
      <c r="A709" s="2" t="s">
        <v>9</v>
      </c>
      <c r="B709" s="2" t="s">
        <v>1165</v>
      </c>
      <c r="C709" s="2" t="s">
        <v>1166</v>
      </c>
      <c r="D709" s="2" t="e">
        <f>VLOOKUP(C:C,Vlookup!A:A,1,0)</f>
        <v>#N/A</v>
      </c>
      <c r="E709" s="2">
        <v>14</v>
      </c>
      <c r="F709" s="17" t="s">
        <v>10</v>
      </c>
      <c r="G709" s="17" t="s">
        <v>25</v>
      </c>
      <c r="H709" s="2" t="s">
        <v>11</v>
      </c>
      <c r="I709" s="2">
        <v>1</v>
      </c>
      <c r="J709" s="5">
        <v>46098</v>
      </c>
      <c r="K709" s="5">
        <v>46099</v>
      </c>
      <c r="L709" s="2" t="s">
        <v>865</v>
      </c>
      <c r="M709" s="5">
        <v>45754</v>
      </c>
      <c r="N709" s="3">
        <f>VLOOKUP(NavDataRegion[[#This Row],[Spool No]],[1]Sheet2!$B:$U,20,0)</f>
        <v>2.7427000000000001</v>
      </c>
      <c r="O709" s="2">
        <v>1.5</v>
      </c>
      <c r="P709" s="2">
        <v>0.5</v>
      </c>
      <c r="Q709" s="2"/>
    </row>
    <row r="710" spans="1:17" ht="20.100000000000001" customHeight="1">
      <c r="A710" s="2" t="s">
        <v>9</v>
      </c>
      <c r="B710" s="2" t="s">
        <v>959</v>
      </c>
      <c r="C710" s="2" t="s">
        <v>1486</v>
      </c>
      <c r="D710" s="2" t="e">
        <f>VLOOKUP(C:C,Vlookup!A:A,1,0)</f>
        <v>#N/A</v>
      </c>
      <c r="E710" s="2">
        <v>14</v>
      </c>
      <c r="F710" s="17" t="s">
        <v>10</v>
      </c>
      <c r="G710" s="17" t="s">
        <v>25</v>
      </c>
      <c r="H710" s="2" t="s">
        <v>11</v>
      </c>
      <c r="I710" s="2">
        <v>1</v>
      </c>
      <c r="J710" s="5">
        <v>46101</v>
      </c>
      <c r="K710" s="5">
        <v>46104</v>
      </c>
      <c r="L710" s="2" t="s">
        <v>865</v>
      </c>
      <c r="M710" s="5">
        <v>45754</v>
      </c>
      <c r="N710" s="3">
        <f>VLOOKUP(NavDataRegion[[#This Row],[Spool No]],[1]Sheet2!$B:$U,20,0)</f>
        <v>24.998919999999998</v>
      </c>
      <c r="O710" s="2">
        <v>5</v>
      </c>
      <c r="P710" s="2">
        <v>1</v>
      </c>
      <c r="Q710" s="2"/>
    </row>
    <row r="711" spans="1:17" ht="20.100000000000001" customHeight="1">
      <c r="A711" s="2" t="s">
        <v>9</v>
      </c>
      <c r="B711" s="2" t="s">
        <v>1013</v>
      </c>
      <c r="C711" s="2" t="s">
        <v>1014</v>
      </c>
      <c r="D711" s="2" t="e">
        <f>VLOOKUP(C:C,Vlookup!A:A,1,0)</f>
        <v>#N/A</v>
      </c>
      <c r="E711" s="2">
        <v>14</v>
      </c>
      <c r="F711" s="17" t="s">
        <v>10</v>
      </c>
      <c r="G711" s="17" t="s">
        <v>25</v>
      </c>
      <c r="H711" s="2" t="s">
        <v>11</v>
      </c>
      <c r="I711" s="2">
        <v>1</v>
      </c>
      <c r="J711" s="5">
        <v>46105</v>
      </c>
      <c r="K711" s="5">
        <v>46106</v>
      </c>
      <c r="L711" s="2" t="s">
        <v>865</v>
      </c>
      <c r="M711" s="5">
        <v>45754</v>
      </c>
      <c r="N711" s="3">
        <f>VLOOKUP(NavDataRegion[[#This Row],[Spool No]],[1]Sheet2!$B:$U,20,0)</f>
        <v>18.877600000000001</v>
      </c>
      <c r="O711" s="2">
        <v>5</v>
      </c>
      <c r="P711" s="2">
        <v>1</v>
      </c>
      <c r="Q711" s="2"/>
    </row>
    <row r="712" spans="1:17" ht="20.100000000000001" customHeight="1">
      <c r="A712" s="2" t="s">
        <v>9</v>
      </c>
      <c r="B712" s="2" t="s">
        <v>1275</v>
      </c>
      <c r="C712" s="2" t="s">
        <v>1749</v>
      </c>
      <c r="D712" s="2" t="e">
        <f>VLOOKUP(C:C,Vlookup!A:A,1,0)</f>
        <v>#N/A</v>
      </c>
      <c r="E712" s="2">
        <v>16</v>
      </c>
      <c r="F712" s="17" t="s">
        <v>10</v>
      </c>
      <c r="G712" s="17" t="s">
        <v>25</v>
      </c>
      <c r="H712" s="2" t="s">
        <v>11</v>
      </c>
      <c r="I712" s="2">
        <v>1</v>
      </c>
      <c r="J712" s="5">
        <v>46105</v>
      </c>
      <c r="K712" s="5">
        <v>46108</v>
      </c>
      <c r="L712" s="2" t="s">
        <v>865</v>
      </c>
      <c r="M712" s="5">
        <v>46167</v>
      </c>
      <c r="N712" s="3">
        <f>VLOOKUP(NavDataRegion[[#This Row],[Spool No]],[1]Sheet2!$B:$U,20,0)</f>
        <v>6.61442</v>
      </c>
      <c r="O712" s="2">
        <v>0.5</v>
      </c>
      <c r="P712" s="2">
        <v>0.5</v>
      </c>
      <c r="Q712" s="2"/>
    </row>
    <row r="713" spans="1:17" ht="20.100000000000001" customHeight="1">
      <c r="A713" s="2" t="s">
        <v>9</v>
      </c>
      <c r="B713" s="2" t="s">
        <v>1165</v>
      </c>
      <c r="C713" s="2" t="s">
        <v>1558</v>
      </c>
      <c r="D713" s="2" t="e">
        <f>VLOOKUP(C:C,Vlookup!A:A,1,0)</f>
        <v>#N/A</v>
      </c>
      <c r="E713" s="2">
        <v>14</v>
      </c>
      <c r="F713" s="17" t="s">
        <v>10</v>
      </c>
      <c r="G713" s="17" t="s">
        <v>25</v>
      </c>
      <c r="H713" s="2" t="s">
        <v>11</v>
      </c>
      <c r="I713" s="2">
        <v>1</v>
      </c>
      <c r="J713" s="5">
        <v>46098</v>
      </c>
      <c r="K713" s="5">
        <v>46099</v>
      </c>
      <c r="L713" s="2" t="s">
        <v>865</v>
      </c>
      <c r="M713" s="5">
        <v>45754</v>
      </c>
      <c r="N713" s="3">
        <f>VLOOKUP(NavDataRegion[[#This Row],[Spool No]],[1]Sheet2!$B:$U,20,0)</f>
        <v>0.49243999999999999</v>
      </c>
      <c r="O713" s="2">
        <v>0.5</v>
      </c>
      <c r="P713" s="2">
        <v>0.5</v>
      </c>
      <c r="Q713" s="2"/>
    </row>
    <row r="714" spans="1:17" ht="20.100000000000001" customHeight="1">
      <c r="A714" s="2" t="s">
        <v>9</v>
      </c>
      <c r="B714" s="2" t="s">
        <v>1029</v>
      </c>
      <c r="C714" s="2" t="s">
        <v>1030</v>
      </c>
      <c r="D714" s="2" t="e">
        <f>VLOOKUP(C:C,Vlookup!A:A,1,0)</f>
        <v>#N/A</v>
      </c>
      <c r="E714" s="2">
        <v>14</v>
      </c>
      <c r="F714" s="17" t="s">
        <v>10</v>
      </c>
      <c r="G714" s="17" t="s">
        <v>25</v>
      </c>
      <c r="H714" s="2" t="s">
        <v>11</v>
      </c>
      <c r="I714" s="2">
        <v>1</v>
      </c>
      <c r="J714" s="5">
        <v>46105</v>
      </c>
      <c r="K714" s="5">
        <v>46106</v>
      </c>
      <c r="L714" s="2" t="s">
        <v>865</v>
      </c>
      <c r="M714" s="5">
        <v>45754</v>
      </c>
      <c r="N714" s="3">
        <f>VLOOKUP(NavDataRegion[[#This Row],[Spool No]],[1]Sheet2!$B:$U,20,0)</f>
        <v>22.45316</v>
      </c>
      <c r="O714" s="2">
        <v>6</v>
      </c>
      <c r="P714" s="2">
        <v>1</v>
      </c>
      <c r="Q714" s="2"/>
    </row>
    <row r="715" spans="1:17" ht="20.100000000000001" customHeight="1">
      <c r="A715" s="2" t="s">
        <v>9</v>
      </c>
      <c r="B715" s="2" t="s">
        <v>1041</v>
      </c>
      <c r="C715" s="2" t="s">
        <v>1042</v>
      </c>
      <c r="D715" s="2" t="e">
        <f>VLOOKUP(C:C,Vlookup!A:A,1,0)</f>
        <v>#N/A</v>
      </c>
      <c r="E715" s="2">
        <v>14</v>
      </c>
      <c r="F715" s="17" t="s">
        <v>10</v>
      </c>
      <c r="G715" s="17" t="s">
        <v>25</v>
      </c>
      <c r="H715" s="2" t="s">
        <v>11</v>
      </c>
      <c r="I715" s="2">
        <v>1</v>
      </c>
      <c r="J715" s="5">
        <v>46105</v>
      </c>
      <c r="K715" s="5">
        <v>46106</v>
      </c>
      <c r="L715" s="2" t="s">
        <v>865</v>
      </c>
      <c r="M715" s="5">
        <v>45754</v>
      </c>
      <c r="N715" s="3">
        <f>VLOOKUP(NavDataRegion[[#This Row],[Spool No]],[1]Sheet2!$B:$U,20,0)</f>
        <v>41.325800000000001</v>
      </c>
      <c r="O715" s="2">
        <v>9</v>
      </c>
      <c r="P715" s="2">
        <v>1</v>
      </c>
      <c r="Q715" s="2"/>
    </row>
    <row r="716" spans="1:17" ht="20.100000000000001" customHeight="1">
      <c r="A716" s="2" t="s">
        <v>9</v>
      </c>
      <c r="B716" s="2" t="s">
        <v>1043</v>
      </c>
      <c r="C716" s="2" t="s">
        <v>1044</v>
      </c>
      <c r="D716" s="2" t="e">
        <f>VLOOKUP(C:C,Vlookup!A:A,1,0)</f>
        <v>#N/A</v>
      </c>
      <c r="E716" s="2">
        <v>14</v>
      </c>
      <c r="F716" s="17" t="s">
        <v>10</v>
      </c>
      <c r="G716" s="17" t="s">
        <v>25</v>
      </c>
      <c r="H716" s="2" t="s">
        <v>11</v>
      </c>
      <c r="I716" s="2">
        <v>1</v>
      </c>
      <c r="J716" s="5">
        <v>46105</v>
      </c>
      <c r="K716" s="5">
        <v>46106</v>
      </c>
      <c r="L716" s="2" t="s">
        <v>865</v>
      </c>
      <c r="M716" s="5">
        <v>45754</v>
      </c>
      <c r="N716" s="3">
        <f>VLOOKUP(NavDataRegion[[#This Row],[Spool No]],[1]Sheet2!$B:$U,20,0)</f>
        <v>14.863720000000001</v>
      </c>
      <c r="O716" s="2">
        <v>4</v>
      </c>
      <c r="P716" s="2">
        <v>1</v>
      </c>
      <c r="Q716" s="2"/>
    </row>
    <row r="717" spans="1:17" ht="20.100000000000001" customHeight="1">
      <c r="A717" s="2" t="s">
        <v>9</v>
      </c>
      <c r="B717" s="2" t="s">
        <v>955</v>
      </c>
      <c r="C717" s="2" t="s">
        <v>1484</v>
      </c>
      <c r="D717" s="2" t="e">
        <f>VLOOKUP(C:C,Vlookup!A:A,1,0)</f>
        <v>#N/A</v>
      </c>
      <c r="E717" s="2">
        <v>14</v>
      </c>
      <c r="F717" s="17" t="s">
        <v>10</v>
      </c>
      <c r="G717" s="17" t="s">
        <v>25</v>
      </c>
      <c r="H717" s="2" t="s">
        <v>11</v>
      </c>
      <c r="I717" s="2">
        <v>1</v>
      </c>
      <c r="J717" s="5">
        <v>46093</v>
      </c>
      <c r="K717" s="5">
        <v>46094</v>
      </c>
      <c r="L717" s="2" t="s">
        <v>865</v>
      </c>
      <c r="M717" s="5">
        <v>45754</v>
      </c>
      <c r="N717" s="3">
        <f>VLOOKUP(NavDataRegion[[#This Row],[Spool No]],[1]Sheet2!$B:$U,20,0)</f>
        <v>13.23724</v>
      </c>
      <c r="O717" s="2">
        <v>4</v>
      </c>
      <c r="P717" s="2">
        <v>1</v>
      </c>
      <c r="Q717" s="2"/>
    </row>
    <row r="718" spans="1:17" ht="20.100000000000001" customHeight="1">
      <c r="A718" s="2" t="s">
        <v>9</v>
      </c>
      <c r="B718" s="2" t="s">
        <v>212</v>
      </c>
      <c r="C718" s="2" t="s">
        <v>213</v>
      </c>
      <c r="D718" s="2" t="e">
        <f>VLOOKUP(C:C,Vlookup!A:A,1,0)</f>
        <v>#N/A</v>
      </c>
      <c r="E718" s="2">
        <v>17</v>
      </c>
      <c r="F718" s="2" t="s">
        <v>214</v>
      </c>
      <c r="G718" s="2" t="s">
        <v>16</v>
      </c>
      <c r="H718" s="2" t="s">
        <v>11</v>
      </c>
      <c r="I718" s="2">
        <v>1</v>
      </c>
      <c r="J718" s="5">
        <v>46108</v>
      </c>
      <c r="K718" s="5">
        <v>46111</v>
      </c>
      <c r="L718" s="2" t="s">
        <v>865</v>
      </c>
      <c r="M718" s="5">
        <v>45754</v>
      </c>
      <c r="N718" s="3">
        <f>VLOOKUP(NavDataRegion[[#This Row],[Spool No]],[1]Sheet2!$B:$U,20,0)</f>
        <v>115.965715152</v>
      </c>
      <c r="O718" s="2">
        <v>23.5</v>
      </c>
      <c r="P718" s="2">
        <v>4</v>
      </c>
      <c r="Q718" s="2"/>
    </row>
    <row r="719" spans="1:17" ht="20.100000000000001" customHeight="1">
      <c r="A719" s="2" t="s">
        <v>9</v>
      </c>
      <c r="B719" s="2" t="s">
        <v>955</v>
      </c>
      <c r="C719" s="2" t="s">
        <v>1672</v>
      </c>
      <c r="D719" s="2" t="e">
        <f>VLOOKUP(C:C,Vlookup!A:A,1,0)</f>
        <v>#N/A</v>
      </c>
      <c r="E719" s="2">
        <v>14</v>
      </c>
      <c r="F719" s="17" t="s">
        <v>10</v>
      </c>
      <c r="G719" s="17" t="s">
        <v>25</v>
      </c>
      <c r="H719" s="2" t="s">
        <v>11</v>
      </c>
      <c r="I719" s="2">
        <v>1</v>
      </c>
      <c r="J719" s="5">
        <v>46093</v>
      </c>
      <c r="K719" s="5">
        <v>46094</v>
      </c>
      <c r="L719" s="2" t="s">
        <v>865</v>
      </c>
      <c r="M719" s="5">
        <v>45754</v>
      </c>
      <c r="N719" s="3">
        <f>VLOOKUP(NavDataRegion[[#This Row],[Spool No]],[1]Sheet2!$B:$U,20,0)</f>
        <v>13.23724</v>
      </c>
      <c r="O719" s="2">
        <v>4</v>
      </c>
      <c r="P719" s="2">
        <v>1</v>
      </c>
      <c r="Q719" s="2"/>
    </row>
    <row r="720" spans="1:17" ht="20.100000000000001" customHeight="1">
      <c r="A720" s="2" t="s">
        <v>9</v>
      </c>
      <c r="B720" s="2" t="s">
        <v>1051</v>
      </c>
      <c r="C720" s="2" t="s">
        <v>1052</v>
      </c>
      <c r="D720" s="2" t="e">
        <f>VLOOKUP(C:C,Vlookup!A:A,1,0)</f>
        <v>#N/A</v>
      </c>
      <c r="E720" s="2">
        <v>23</v>
      </c>
      <c r="F720" s="17" t="s">
        <v>10</v>
      </c>
      <c r="G720" s="17" t="s">
        <v>25</v>
      </c>
      <c r="H720" s="2" t="s">
        <v>11</v>
      </c>
      <c r="I720" s="2">
        <v>1</v>
      </c>
      <c r="J720" s="5">
        <v>46135</v>
      </c>
      <c r="K720" s="5">
        <v>46136</v>
      </c>
      <c r="L720" s="2" t="s">
        <v>865</v>
      </c>
      <c r="M720" s="5">
        <v>46185</v>
      </c>
      <c r="N720" s="3">
        <f>VLOOKUP(NavDataRegion[[#This Row],[Spool No]],[1]Sheet2!$B:$U,20,0)</f>
        <v>22.925640000000001</v>
      </c>
      <c r="O720" s="2">
        <v>6</v>
      </c>
      <c r="P720" s="2">
        <v>1</v>
      </c>
      <c r="Q720" s="2"/>
    </row>
    <row r="721" spans="1:17" ht="20.100000000000001" customHeight="1">
      <c r="A721" s="2" t="s">
        <v>9</v>
      </c>
      <c r="B721" s="2" t="s">
        <v>1059</v>
      </c>
      <c r="C721" s="2" t="s">
        <v>1060</v>
      </c>
      <c r="D721" s="2" t="e">
        <f>VLOOKUP(C:C,Vlookup!A:A,1,0)</f>
        <v>#N/A</v>
      </c>
      <c r="E721" s="2">
        <v>14</v>
      </c>
      <c r="F721" s="17" t="s">
        <v>10</v>
      </c>
      <c r="G721" s="17" t="s">
        <v>25</v>
      </c>
      <c r="H721" s="2" t="s">
        <v>11</v>
      </c>
      <c r="I721" s="2">
        <v>1</v>
      </c>
      <c r="J721" s="5">
        <v>46105</v>
      </c>
      <c r="K721" s="5">
        <v>46106</v>
      </c>
      <c r="L721" s="2" t="s">
        <v>865</v>
      </c>
      <c r="M721" s="5">
        <v>45754</v>
      </c>
      <c r="N721" s="3">
        <f>VLOOKUP(NavDataRegion[[#This Row],[Spool No]],[1]Sheet2!$B:$U,20,0)</f>
        <v>9.5462399999999992</v>
      </c>
      <c r="O721" s="2">
        <v>6</v>
      </c>
      <c r="P721" s="2">
        <v>1</v>
      </c>
      <c r="Q721" s="2"/>
    </row>
    <row r="722" spans="1:17" ht="20.100000000000001" customHeight="1">
      <c r="A722" s="2" t="s">
        <v>9</v>
      </c>
      <c r="B722" s="2" t="s">
        <v>1061</v>
      </c>
      <c r="C722" s="2" t="s">
        <v>1062</v>
      </c>
      <c r="D722" s="2" t="e">
        <f>VLOOKUP(C:C,Vlookup!A:A,1,0)</f>
        <v>#N/A</v>
      </c>
      <c r="E722" s="2">
        <v>14</v>
      </c>
      <c r="F722" s="17" t="s">
        <v>10</v>
      </c>
      <c r="G722" s="17" t="s">
        <v>25</v>
      </c>
      <c r="H722" s="2" t="s">
        <v>11</v>
      </c>
      <c r="I722" s="2">
        <v>1</v>
      </c>
      <c r="J722" s="5">
        <v>46105</v>
      </c>
      <c r="K722" s="5">
        <v>46106</v>
      </c>
      <c r="L722" s="2" t="s">
        <v>865</v>
      </c>
      <c r="M722" s="5">
        <v>45754</v>
      </c>
      <c r="N722" s="3">
        <f>VLOOKUP(NavDataRegion[[#This Row],[Spool No]],[1]Sheet2!$B:$U,20,0)</f>
        <v>7.6251600000000002</v>
      </c>
      <c r="O722" s="2">
        <v>5</v>
      </c>
      <c r="P722" s="2">
        <v>1</v>
      </c>
      <c r="Q722" s="2"/>
    </row>
    <row r="723" spans="1:17" ht="20.100000000000001" customHeight="1">
      <c r="A723" s="2" t="s">
        <v>9</v>
      </c>
      <c r="B723" s="2" t="s">
        <v>959</v>
      </c>
      <c r="C723" s="2" t="s">
        <v>1674</v>
      </c>
      <c r="D723" s="2" t="e">
        <f>VLOOKUP(C:C,Vlookup!A:A,1,0)</f>
        <v>#N/A</v>
      </c>
      <c r="E723" s="2">
        <v>14</v>
      </c>
      <c r="F723" s="17" t="s">
        <v>10</v>
      </c>
      <c r="G723" s="17" t="s">
        <v>25</v>
      </c>
      <c r="H723" s="2" t="s">
        <v>11</v>
      </c>
      <c r="I723" s="2">
        <v>1</v>
      </c>
      <c r="J723" s="5">
        <v>46101</v>
      </c>
      <c r="K723" s="5">
        <v>46104</v>
      </c>
      <c r="L723" s="2" t="s">
        <v>865</v>
      </c>
      <c r="M723" s="5">
        <v>45754</v>
      </c>
      <c r="N723" s="3">
        <f>VLOOKUP(NavDataRegion[[#This Row],[Spool No]],[1]Sheet2!$B:$U,20,0)</f>
        <v>24.87276</v>
      </c>
      <c r="O723" s="2">
        <v>6</v>
      </c>
      <c r="P723" s="2">
        <v>1</v>
      </c>
      <c r="Q723" s="2"/>
    </row>
    <row r="724" spans="1:17" ht="20.100000000000001" customHeight="1">
      <c r="A724" s="2" t="s">
        <v>9</v>
      </c>
      <c r="B724" s="2" t="s">
        <v>1165</v>
      </c>
      <c r="C724" s="2" t="s">
        <v>1889</v>
      </c>
      <c r="D724" s="2" t="e">
        <f>VLOOKUP(C:C,Vlookup!A:A,1,0)</f>
        <v>#N/A</v>
      </c>
      <c r="E724" s="2">
        <v>14</v>
      </c>
      <c r="F724" s="17" t="s">
        <v>10</v>
      </c>
      <c r="G724" s="17" t="s">
        <v>25</v>
      </c>
      <c r="H724" s="2" t="s">
        <v>11</v>
      </c>
      <c r="I724" s="2">
        <v>1</v>
      </c>
      <c r="J724" s="5">
        <v>46098</v>
      </c>
      <c r="K724" s="5">
        <v>46099</v>
      </c>
      <c r="L724" s="2" t="s">
        <v>865</v>
      </c>
      <c r="M724" s="5">
        <v>45754</v>
      </c>
      <c r="N724" s="3">
        <f>VLOOKUP(NavDataRegion[[#This Row],[Spool No]],[1]Sheet2!$B:$U,20,0)</f>
        <v>3.5428000000000002</v>
      </c>
      <c r="O724" s="2">
        <v>0.75</v>
      </c>
      <c r="P724" s="2">
        <v>0.75</v>
      </c>
      <c r="Q724" s="2"/>
    </row>
    <row r="725" spans="1:17" ht="20.100000000000001" customHeight="1">
      <c r="A725" s="2" t="s">
        <v>9</v>
      </c>
      <c r="B725" s="2" t="s">
        <v>1083</v>
      </c>
      <c r="C725" s="2" t="s">
        <v>1084</v>
      </c>
      <c r="D725" s="2" t="e">
        <f>VLOOKUP(C:C,Vlookup!A:A,1,0)</f>
        <v>#N/A</v>
      </c>
      <c r="E725" s="2">
        <v>14</v>
      </c>
      <c r="F725" s="17" t="s">
        <v>10</v>
      </c>
      <c r="G725" s="17" t="s">
        <v>25</v>
      </c>
      <c r="H725" s="2" t="s">
        <v>11</v>
      </c>
      <c r="I725" s="2">
        <v>1</v>
      </c>
      <c r="J725" s="5">
        <v>46105</v>
      </c>
      <c r="K725" s="5">
        <v>46106</v>
      </c>
      <c r="L725" s="2" t="s">
        <v>865</v>
      </c>
      <c r="M725" s="5">
        <v>45754</v>
      </c>
      <c r="N725" s="3">
        <f>VLOOKUP(NavDataRegion[[#This Row],[Spool No]],[1]Sheet2!$B:$U,20,0)</f>
        <v>6.3075599999999996</v>
      </c>
      <c r="O725" s="2">
        <v>6</v>
      </c>
      <c r="P725" s="2">
        <v>1</v>
      </c>
      <c r="Q725" s="2"/>
    </row>
    <row r="726" spans="1:17" ht="20.100000000000001" customHeight="1">
      <c r="A726" s="2" t="s">
        <v>9</v>
      </c>
      <c r="B726" s="2" t="s">
        <v>1337</v>
      </c>
      <c r="C726" s="2" t="s">
        <v>1856</v>
      </c>
      <c r="D726" s="2" t="e">
        <f>VLOOKUP(C:C,Vlookup!A:A,1,0)</f>
        <v>#N/A</v>
      </c>
      <c r="E726" s="2">
        <v>16</v>
      </c>
      <c r="F726" s="17" t="s">
        <v>10</v>
      </c>
      <c r="G726" s="17" t="s">
        <v>25</v>
      </c>
      <c r="H726" s="2" t="s">
        <v>11</v>
      </c>
      <c r="I726" s="2">
        <v>1</v>
      </c>
      <c r="J726" s="5">
        <v>46106</v>
      </c>
      <c r="K726" s="5">
        <v>46108</v>
      </c>
      <c r="L726" s="2" t="s">
        <v>865</v>
      </c>
      <c r="M726" s="5">
        <v>46167</v>
      </c>
      <c r="N726" s="3">
        <f>VLOOKUP(NavDataRegion[[#This Row],[Spool No]],[1]Sheet2!$B:$U,20,0)</f>
        <v>8.8546800000000001</v>
      </c>
      <c r="O726" s="2">
        <v>2.5</v>
      </c>
      <c r="P726" s="2">
        <v>0.5</v>
      </c>
      <c r="Q726" s="2"/>
    </row>
    <row r="727" spans="1:17" ht="20.100000000000001" customHeight="1">
      <c r="A727" s="2" t="s">
        <v>9</v>
      </c>
      <c r="B727" s="2" t="s">
        <v>949</v>
      </c>
      <c r="C727" s="2" t="s">
        <v>950</v>
      </c>
      <c r="D727" s="2" t="e">
        <f>VLOOKUP(C:C,Vlookup!A:A,1,0)</f>
        <v>#N/A</v>
      </c>
      <c r="E727" s="2">
        <v>16</v>
      </c>
      <c r="F727" s="17" t="s">
        <v>10</v>
      </c>
      <c r="G727" s="17" t="s">
        <v>25</v>
      </c>
      <c r="H727" s="2" t="s">
        <v>11</v>
      </c>
      <c r="I727" s="2">
        <v>1</v>
      </c>
      <c r="J727" s="5">
        <v>46106</v>
      </c>
      <c r="K727" s="5">
        <v>46111</v>
      </c>
      <c r="L727" s="2" t="s">
        <v>865</v>
      </c>
      <c r="M727" s="5">
        <v>46167</v>
      </c>
      <c r="N727" s="3">
        <f>VLOOKUP(NavDataRegion[[#This Row],[Spool No]],[1]Sheet2!$B:$U,20,0)</f>
        <v>37.546239999999997</v>
      </c>
      <c r="O727" s="2">
        <v>8</v>
      </c>
      <c r="P727" s="2">
        <v>1</v>
      </c>
      <c r="Q727" s="2"/>
    </row>
    <row r="728" spans="1:17" ht="20.100000000000001" customHeight="1">
      <c r="A728" s="2" t="s">
        <v>9</v>
      </c>
      <c r="B728" s="2" t="s">
        <v>1091</v>
      </c>
      <c r="C728" s="2" t="s">
        <v>1092</v>
      </c>
      <c r="D728" s="2" t="e">
        <f>VLOOKUP(C:C,Vlookup!A:A,1,0)</f>
        <v>#N/A</v>
      </c>
      <c r="E728" s="2">
        <v>14</v>
      </c>
      <c r="F728" s="17" t="s">
        <v>10</v>
      </c>
      <c r="G728" s="17" t="s">
        <v>25</v>
      </c>
      <c r="H728" s="2" t="s">
        <v>11</v>
      </c>
      <c r="I728" s="2">
        <v>1</v>
      </c>
      <c r="J728" s="5">
        <v>46105</v>
      </c>
      <c r="K728" s="5">
        <v>46106</v>
      </c>
      <c r="L728" s="2" t="s">
        <v>865</v>
      </c>
      <c r="M728" s="5">
        <v>45754</v>
      </c>
      <c r="N728" s="3">
        <f>VLOOKUP(NavDataRegion[[#This Row],[Spool No]],[1]Sheet2!$B:$U,20,0)</f>
        <v>11.32564</v>
      </c>
      <c r="O728" s="2">
        <v>3</v>
      </c>
      <c r="P728" s="2">
        <v>1</v>
      </c>
      <c r="Q728" s="2"/>
    </row>
    <row r="729" spans="1:17" ht="20.100000000000001" customHeight="1">
      <c r="A729" s="2" t="s">
        <v>9</v>
      </c>
      <c r="B729" s="2" t="s">
        <v>1165</v>
      </c>
      <c r="C729" s="2" t="s">
        <v>1924</v>
      </c>
      <c r="D729" s="2" t="e">
        <f>VLOOKUP(C:C,Vlookup!A:A,1,0)</f>
        <v>#N/A</v>
      </c>
      <c r="E729" s="2">
        <v>14</v>
      </c>
      <c r="F729" s="17" t="s">
        <v>10</v>
      </c>
      <c r="G729" s="17" t="s">
        <v>25</v>
      </c>
      <c r="H729" s="2" t="s">
        <v>11</v>
      </c>
      <c r="I729" s="2">
        <v>1</v>
      </c>
      <c r="J729" s="5">
        <v>46098</v>
      </c>
      <c r="K729" s="5">
        <v>46099</v>
      </c>
      <c r="L729" s="2" t="s">
        <v>865</v>
      </c>
      <c r="M729" s="5">
        <v>45754</v>
      </c>
      <c r="N729" s="3">
        <f>VLOOKUP(NavDataRegion[[#This Row],[Spool No]],[1]Sheet2!$B:$U,20,0)</f>
        <v>7.7755999999999998</v>
      </c>
      <c r="O729" s="2">
        <v>1.5</v>
      </c>
      <c r="P729" s="2">
        <v>0.75</v>
      </c>
      <c r="Q729" s="2"/>
    </row>
    <row r="730" spans="1:17" ht="20.100000000000001" customHeight="1">
      <c r="A730" s="2" t="s">
        <v>9</v>
      </c>
      <c r="B730" s="2" t="s">
        <v>977</v>
      </c>
      <c r="C730" s="2" t="s">
        <v>978</v>
      </c>
      <c r="D730" s="2" t="e">
        <f>VLOOKUP(C:C,Vlookup!A:A,1,0)</f>
        <v>#N/A</v>
      </c>
      <c r="E730" s="2">
        <v>14</v>
      </c>
      <c r="F730" s="17" t="s">
        <v>10</v>
      </c>
      <c r="G730" s="17" t="s">
        <v>25</v>
      </c>
      <c r="H730" s="2" t="s">
        <v>11</v>
      </c>
      <c r="I730" s="2">
        <v>1</v>
      </c>
      <c r="J730" s="5">
        <v>46100</v>
      </c>
      <c r="K730" s="5">
        <v>46101</v>
      </c>
      <c r="L730" s="2" t="s">
        <v>865</v>
      </c>
      <c r="M730" s="5">
        <v>45754</v>
      </c>
      <c r="N730" s="3">
        <f>VLOOKUP(NavDataRegion[[#This Row],[Spool No]],[1]Sheet2!$B:$U,20,0)</f>
        <v>27.25572</v>
      </c>
      <c r="O730" s="2">
        <v>10</v>
      </c>
      <c r="P730" s="2">
        <v>1</v>
      </c>
      <c r="Q730" s="2"/>
    </row>
    <row r="731" spans="1:17" ht="20.100000000000001" customHeight="1">
      <c r="A731" s="2" t="s">
        <v>9</v>
      </c>
      <c r="B731" s="2" t="s">
        <v>1099</v>
      </c>
      <c r="C731" s="2" t="s">
        <v>1100</v>
      </c>
      <c r="D731" s="2" t="e">
        <f>VLOOKUP(C:C,Vlookup!A:A,1,0)</f>
        <v>#N/A</v>
      </c>
      <c r="E731" s="2">
        <v>14</v>
      </c>
      <c r="F731" s="17" t="s">
        <v>10</v>
      </c>
      <c r="G731" s="17" t="s">
        <v>25</v>
      </c>
      <c r="H731" s="2" t="s">
        <v>11</v>
      </c>
      <c r="I731" s="2">
        <v>1</v>
      </c>
      <c r="J731" s="5">
        <v>46105</v>
      </c>
      <c r="K731" s="5">
        <v>46106</v>
      </c>
      <c r="L731" s="2" t="s">
        <v>865</v>
      </c>
      <c r="M731" s="5">
        <v>45754</v>
      </c>
      <c r="N731" s="3">
        <f>VLOOKUP(NavDataRegion[[#This Row],[Spool No]],[1]Sheet2!$B:$U,20,0)</f>
        <v>8.8028399999999998</v>
      </c>
      <c r="O731" s="2">
        <v>5</v>
      </c>
      <c r="P731" s="2">
        <v>1</v>
      </c>
      <c r="Q731" s="2"/>
    </row>
    <row r="732" spans="1:17" ht="20.100000000000001" customHeight="1">
      <c r="A732" s="2" t="s">
        <v>9</v>
      </c>
      <c r="B732" s="2" t="s">
        <v>1105</v>
      </c>
      <c r="C732" s="2" t="s">
        <v>1106</v>
      </c>
      <c r="D732" s="2" t="e">
        <f>VLOOKUP(C:C,Vlookup!A:A,1,0)</f>
        <v>#N/A</v>
      </c>
      <c r="E732" s="2">
        <v>14</v>
      </c>
      <c r="F732" s="17" t="s">
        <v>10</v>
      </c>
      <c r="G732" s="17" t="s">
        <v>25</v>
      </c>
      <c r="H732" s="2" t="s">
        <v>11</v>
      </c>
      <c r="I732" s="2">
        <v>1</v>
      </c>
      <c r="J732" s="5">
        <v>46105</v>
      </c>
      <c r="K732" s="5">
        <v>46106</v>
      </c>
      <c r="L732" s="2" t="s">
        <v>865</v>
      </c>
      <c r="M732" s="5">
        <v>45754</v>
      </c>
      <c r="N732" s="3">
        <f>VLOOKUP(NavDataRegion[[#This Row],[Spool No]],[1]Sheet2!$B:$U,20,0)</f>
        <v>12.099600000000001</v>
      </c>
      <c r="O732" s="2">
        <v>5</v>
      </c>
      <c r="P732" s="2">
        <v>1</v>
      </c>
      <c r="Q732" s="2"/>
    </row>
    <row r="733" spans="1:17" ht="20.100000000000001" customHeight="1">
      <c r="A733" s="2" t="s">
        <v>9</v>
      </c>
      <c r="B733" s="2" t="s">
        <v>297</v>
      </c>
      <c r="C733" s="2" t="s">
        <v>298</v>
      </c>
      <c r="D733" s="2" t="e">
        <f>VLOOKUP(C:C,Vlookup!A:A,1,0)</f>
        <v>#N/A</v>
      </c>
      <c r="E733" s="2">
        <v>18</v>
      </c>
      <c r="F733" s="2" t="s">
        <v>299</v>
      </c>
      <c r="G733" s="2" t="s">
        <v>10</v>
      </c>
      <c r="H733" s="2" t="s">
        <v>11</v>
      </c>
      <c r="I733" s="2">
        <v>1</v>
      </c>
      <c r="J733" s="5">
        <v>46111</v>
      </c>
      <c r="K733" s="5">
        <v>46113</v>
      </c>
      <c r="L733" s="2" t="s">
        <v>865</v>
      </c>
      <c r="M733" s="5">
        <v>45754</v>
      </c>
      <c r="N733" s="3">
        <f>VLOOKUP(NavDataRegion[[#This Row],[Spool No]],[1]Sheet2!$B:$U,20,0)</f>
        <v>141.109685152</v>
      </c>
      <c r="O733" s="2">
        <v>23.5</v>
      </c>
      <c r="P733" s="2">
        <v>4</v>
      </c>
      <c r="Q733" s="2"/>
    </row>
    <row r="734" spans="1:17" ht="20.100000000000001" customHeight="1">
      <c r="A734" s="2" t="s">
        <v>9</v>
      </c>
      <c r="B734" s="2" t="s">
        <v>1165</v>
      </c>
      <c r="C734" s="2" t="s">
        <v>1938</v>
      </c>
      <c r="D734" s="2" t="e">
        <f>VLOOKUP(C:C,Vlookup!A:A,1,0)</f>
        <v>#N/A</v>
      </c>
      <c r="E734" s="2">
        <v>14</v>
      </c>
      <c r="F734" s="17" t="s">
        <v>10</v>
      </c>
      <c r="G734" s="17" t="s">
        <v>25</v>
      </c>
      <c r="H734" s="2" t="s">
        <v>11</v>
      </c>
      <c r="I734" s="2">
        <v>1</v>
      </c>
      <c r="J734" s="5">
        <v>46098</v>
      </c>
      <c r="K734" s="5">
        <v>46099</v>
      </c>
      <c r="L734" s="2" t="s">
        <v>865</v>
      </c>
      <c r="M734" s="5">
        <v>45754</v>
      </c>
      <c r="N734" s="3">
        <f>VLOOKUP(NavDataRegion[[#This Row],[Spool No]],[1]Sheet2!$B:$U,20,0)</f>
        <v>3.0506000000000002</v>
      </c>
      <c r="O734" s="2">
        <v>3.75</v>
      </c>
      <c r="P734" s="2">
        <v>0.75</v>
      </c>
      <c r="Q734" s="2"/>
    </row>
    <row r="735" spans="1:17" ht="20.100000000000001" customHeight="1">
      <c r="A735" s="2" t="s">
        <v>9</v>
      </c>
      <c r="B735" s="2" t="s">
        <v>1111</v>
      </c>
      <c r="C735" s="2" t="s">
        <v>1112</v>
      </c>
      <c r="D735" s="2" t="e">
        <f>VLOOKUP(C:C,Vlookup!A:A,1,0)</f>
        <v>#N/A</v>
      </c>
      <c r="E735" s="2">
        <v>14</v>
      </c>
      <c r="F735" s="17" t="s">
        <v>10</v>
      </c>
      <c r="G735" s="17" t="s">
        <v>25</v>
      </c>
      <c r="H735" s="2" t="s">
        <v>11</v>
      </c>
      <c r="I735" s="2">
        <v>1</v>
      </c>
      <c r="J735" s="5">
        <v>46106</v>
      </c>
      <c r="K735" s="5">
        <v>46106</v>
      </c>
      <c r="L735" s="2" t="s">
        <v>865</v>
      </c>
      <c r="M735" s="5">
        <v>45754</v>
      </c>
      <c r="N735" s="3">
        <f>VLOOKUP(NavDataRegion[[#This Row],[Spool No]],[1]Sheet2!$B:$U,20,0)</f>
        <v>9.0123200000000008</v>
      </c>
      <c r="O735" s="2">
        <v>4</v>
      </c>
      <c r="P735" s="2">
        <v>1</v>
      </c>
      <c r="Q735" s="2"/>
    </row>
    <row r="736" spans="1:17" ht="20.100000000000001" customHeight="1">
      <c r="A736" s="2" t="s">
        <v>9</v>
      </c>
      <c r="B736" s="2" t="s">
        <v>1113</v>
      </c>
      <c r="C736" s="2" t="s">
        <v>1114</v>
      </c>
      <c r="D736" s="2" t="e">
        <f>VLOOKUP(C:C,Vlookup!A:A,1,0)</f>
        <v>#N/A</v>
      </c>
      <c r="E736" s="2">
        <v>14</v>
      </c>
      <c r="F736" s="17" t="s">
        <v>10</v>
      </c>
      <c r="G736" s="17" t="s">
        <v>25</v>
      </c>
      <c r="H736" s="2" t="s">
        <v>11</v>
      </c>
      <c r="I736" s="2">
        <v>1</v>
      </c>
      <c r="J736" s="5">
        <v>46105</v>
      </c>
      <c r="K736" s="5">
        <v>46106</v>
      </c>
      <c r="L736" s="2" t="s">
        <v>865</v>
      </c>
      <c r="M736" s="5">
        <v>45754</v>
      </c>
      <c r="N736" s="3">
        <f>VLOOKUP(NavDataRegion[[#This Row],[Spool No]],[1]Sheet2!$B:$U,20,0)</f>
        <v>10.9628</v>
      </c>
      <c r="O736" s="2">
        <v>4</v>
      </c>
      <c r="P736" s="2">
        <v>1</v>
      </c>
      <c r="Q736" s="2"/>
    </row>
    <row r="737" spans="1:17" ht="20.100000000000001" customHeight="1">
      <c r="A737" s="2" t="s">
        <v>9</v>
      </c>
      <c r="B737" s="2" t="s">
        <v>957</v>
      </c>
      <c r="C737" s="2" t="s">
        <v>1673</v>
      </c>
      <c r="D737" s="2" t="e">
        <f>VLOOKUP(C:C,Vlookup!A:A,1,0)</f>
        <v>#N/A</v>
      </c>
      <c r="E737" s="2">
        <v>14</v>
      </c>
      <c r="F737" s="17" t="s">
        <v>10</v>
      </c>
      <c r="G737" s="17" t="s">
        <v>25</v>
      </c>
      <c r="H737" s="2" t="s">
        <v>11</v>
      </c>
      <c r="I737" s="2">
        <v>1</v>
      </c>
      <c r="J737" s="5">
        <v>46093</v>
      </c>
      <c r="K737" s="5">
        <v>46094</v>
      </c>
      <c r="L737" s="2" t="s">
        <v>865</v>
      </c>
      <c r="M737" s="5">
        <v>45754</v>
      </c>
      <c r="N737" s="3">
        <f>VLOOKUP(NavDataRegion[[#This Row],[Spool No]],[1]Sheet2!$B:$U,20,0)</f>
        <v>16.085039999999999</v>
      </c>
      <c r="O737" s="2">
        <v>8</v>
      </c>
      <c r="P737" s="2">
        <v>1</v>
      </c>
      <c r="Q737" s="2"/>
    </row>
    <row r="738" spans="1:17" ht="20.100000000000001" customHeight="1">
      <c r="A738" s="2" t="s">
        <v>9</v>
      </c>
      <c r="B738" s="2" t="s">
        <v>1115</v>
      </c>
      <c r="C738" s="2" t="s">
        <v>1116</v>
      </c>
      <c r="D738" s="2" t="e">
        <f>VLOOKUP(C:C,Vlookup!A:A,1,0)</f>
        <v>#N/A</v>
      </c>
      <c r="E738" s="2">
        <v>14</v>
      </c>
      <c r="F738" s="17" t="s">
        <v>10</v>
      </c>
      <c r="G738" s="17" t="s">
        <v>25</v>
      </c>
      <c r="H738" s="2" t="s">
        <v>11</v>
      </c>
      <c r="I738" s="2">
        <v>1</v>
      </c>
      <c r="J738" s="5">
        <v>46106</v>
      </c>
      <c r="K738" s="5">
        <v>46106</v>
      </c>
      <c r="L738" s="2" t="s">
        <v>865</v>
      </c>
      <c r="M738" s="5">
        <v>45754</v>
      </c>
      <c r="N738" s="3">
        <f>VLOOKUP(NavDataRegion[[#This Row],[Spool No]],[1]Sheet2!$B:$U,20,0)</f>
        <v>9.4659200000000006</v>
      </c>
      <c r="O738" s="2">
        <v>4</v>
      </c>
      <c r="P738" s="2">
        <v>1</v>
      </c>
      <c r="Q738" s="2"/>
    </row>
    <row r="739" spans="1:17" ht="20.100000000000001" customHeight="1">
      <c r="A739" s="2" t="s">
        <v>9</v>
      </c>
      <c r="B739" s="2" t="s">
        <v>951</v>
      </c>
      <c r="C739" s="2" t="s">
        <v>1482</v>
      </c>
      <c r="D739" s="2" t="e">
        <f>VLOOKUP(C:C,Vlookup!A:A,1,0)</f>
        <v>#N/A</v>
      </c>
      <c r="E739" s="2">
        <v>16</v>
      </c>
      <c r="F739" s="17" t="s">
        <v>10</v>
      </c>
      <c r="G739" s="17" t="s">
        <v>25</v>
      </c>
      <c r="H739" s="2" t="s">
        <v>11</v>
      </c>
      <c r="I739" s="2">
        <v>1</v>
      </c>
      <c r="J739" s="5">
        <v>46105</v>
      </c>
      <c r="K739" s="5">
        <v>46108</v>
      </c>
      <c r="L739" s="2" t="s">
        <v>865</v>
      </c>
      <c r="M739" s="5">
        <v>46167</v>
      </c>
      <c r="N739" s="3">
        <f>VLOOKUP(NavDataRegion[[#This Row],[Spool No]],[1]Sheet2!$B:$U,20,0)</f>
        <v>24.823</v>
      </c>
      <c r="O739" s="2">
        <v>2</v>
      </c>
      <c r="P739" s="2">
        <v>1</v>
      </c>
      <c r="Q739" s="2"/>
    </row>
    <row r="740" spans="1:17" ht="20.100000000000001" customHeight="1">
      <c r="A740" s="2" t="s">
        <v>9</v>
      </c>
      <c r="B740" s="2" t="s">
        <v>967</v>
      </c>
      <c r="C740" s="2" t="s">
        <v>968</v>
      </c>
      <c r="D740" s="2" t="e">
        <f>VLOOKUP(C:C,Vlookup!A:A,1,0)</f>
        <v>#N/A</v>
      </c>
      <c r="E740" s="2">
        <v>14</v>
      </c>
      <c r="F740" s="17" t="s">
        <v>10</v>
      </c>
      <c r="G740" s="17" t="s">
        <v>25</v>
      </c>
      <c r="H740" s="2" t="s">
        <v>11</v>
      </c>
      <c r="I740" s="2">
        <v>1</v>
      </c>
      <c r="J740" s="5">
        <v>46101</v>
      </c>
      <c r="K740" s="5">
        <v>46104</v>
      </c>
      <c r="L740" s="2" t="s">
        <v>865</v>
      </c>
      <c r="M740" s="5">
        <v>45754</v>
      </c>
      <c r="N740" s="3">
        <f>VLOOKUP(NavDataRegion[[#This Row],[Spool No]],[1]Sheet2!$B:$U,20,0)</f>
        <v>17.860320000000002</v>
      </c>
      <c r="O740" s="2">
        <v>4</v>
      </c>
      <c r="P740" s="2">
        <v>1</v>
      </c>
      <c r="Q740" s="2"/>
    </row>
    <row r="741" spans="1:17" ht="20.100000000000001" customHeight="1">
      <c r="A741" s="2" t="s">
        <v>9</v>
      </c>
      <c r="B741" s="2" t="s">
        <v>1121</v>
      </c>
      <c r="C741" s="2" t="s">
        <v>1122</v>
      </c>
      <c r="D741" s="2" t="e">
        <f>VLOOKUP(C:C,Vlookup!A:A,1,0)</f>
        <v>#N/A</v>
      </c>
      <c r="E741" s="2">
        <v>14</v>
      </c>
      <c r="F741" s="17" t="s">
        <v>10</v>
      </c>
      <c r="G741" s="17" t="s">
        <v>25</v>
      </c>
      <c r="H741" s="2" t="s">
        <v>11</v>
      </c>
      <c r="I741" s="2">
        <v>1</v>
      </c>
      <c r="J741" s="5">
        <v>46105</v>
      </c>
      <c r="K741" s="5">
        <v>46106</v>
      </c>
      <c r="L741" s="2" t="s">
        <v>865</v>
      </c>
      <c r="M741" s="5">
        <v>45754</v>
      </c>
      <c r="N741" s="3">
        <f>VLOOKUP(NavDataRegion[[#This Row],[Spool No]],[1]Sheet2!$B:$U,20,0)</f>
        <v>7.89452</v>
      </c>
      <c r="O741" s="2">
        <v>3</v>
      </c>
      <c r="P741" s="2">
        <v>1</v>
      </c>
      <c r="Q741" s="2"/>
    </row>
    <row r="742" spans="1:17" ht="20.100000000000001" customHeight="1">
      <c r="A742" s="2" t="s">
        <v>9</v>
      </c>
      <c r="B742" s="2" t="s">
        <v>959</v>
      </c>
      <c r="C742" s="2" t="s">
        <v>960</v>
      </c>
      <c r="D742" s="2" t="e">
        <f>VLOOKUP(C:C,Vlookup!A:A,1,0)</f>
        <v>#N/A</v>
      </c>
      <c r="E742" s="2">
        <v>14</v>
      </c>
      <c r="F742" s="17" t="s">
        <v>10</v>
      </c>
      <c r="G742" s="17" t="s">
        <v>25</v>
      </c>
      <c r="H742" s="2" t="s">
        <v>11</v>
      </c>
      <c r="I742" s="2">
        <v>1</v>
      </c>
      <c r="J742" s="5">
        <v>46093</v>
      </c>
      <c r="K742" s="5">
        <v>46094</v>
      </c>
      <c r="L742" s="2" t="s">
        <v>865</v>
      </c>
      <c r="M742" s="5">
        <v>45754</v>
      </c>
      <c r="N742" s="3">
        <f>VLOOKUP(NavDataRegion[[#This Row],[Spool No]],[1]Sheet2!$B:$U,20,0)</f>
        <v>12.829000000000001</v>
      </c>
      <c r="O742" s="2">
        <v>4</v>
      </c>
      <c r="P742" s="2">
        <v>1</v>
      </c>
      <c r="Q742" s="2"/>
    </row>
    <row r="743" spans="1:17" ht="20.100000000000001" customHeight="1">
      <c r="A743" s="2" t="s">
        <v>9</v>
      </c>
      <c r="B743" s="2" t="s">
        <v>961</v>
      </c>
      <c r="C743" s="2" t="s">
        <v>1487</v>
      </c>
      <c r="D743" s="2" t="e">
        <f>VLOOKUP(C:C,Vlookup!A:A,1,0)</f>
        <v>#N/A</v>
      </c>
      <c r="E743" s="2">
        <v>14</v>
      </c>
      <c r="F743" s="17" t="s">
        <v>10</v>
      </c>
      <c r="G743" s="17" t="s">
        <v>25</v>
      </c>
      <c r="H743" s="2" t="s">
        <v>11</v>
      </c>
      <c r="I743" s="2">
        <v>1</v>
      </c>
      <c r="J743" s="5">
        <v>46093</v>
      </c>
      <c r="K743" s="5">
        <v>46094</v>
      </c>
      <c r="L743" s="2" t="s">
        <v>865</v>
      </c>
      <c r="M743" s="5">
        <v>45754</v>
      </c>
      <c r="N743" s="3">
        <f>VLOOKUP(NavDataRegion[[#This Row],[Spool No]],[1]Sheet2!$B:$U,20,0)</f>
        <v>9.0285600000000006</v>
      </c>
      <c r="O743" s="2">
        <v>6</v>
      </c>
      <c r="P743" s="2">
        <v>1</v>
      </c>
      <c r="Q743" s="2"/>
    </row>
    <row r="744" spans="1:17" ht="20.100000000000001" customHeight="1">
      <c r="A744" s="2" t="s">
        <v>9</v>
      </c>
      <c r="B744" s="2" t="s">
        <v>963</v>
      </c>
      <c r="C744" s="2" t="s">
        <v>1488</v>
      </c>
      <c r="D744" s="2" t="e">
        <f>VLOOKUP(C:C,Vlookup!A:A,1,0)</f>
        <v>#N/A</v>
      </c>
      <c r="E744" s="2">
        <v>14</v>
      </c>
      <c r="F744" s="17" t="s">
        <v>10</v>
      </c>
      <c r="G744" s="17" t="s">
        <v>25</v>
      </c>
      <c r="H744" s="2" t="s">
        <v>11</v>
      </c>
      <c r="I744" s="2">
        <v>1</v>
      </c>
      <c r="J744" s="5">
        <v>46093</v>
      </c>
      <c r="K744" s="5">
        <v>46094</v>
      </c>
      <c r="L744" s="2" t="s">
        <v>865</v>
      </c>
      <c r="M744" s="5">
        <v>45754</v>
      </c>
      <c r="N744" s="3">
        <f>VLOOKUP(NavDataRegion[[#This Row],[Spool No]],[1]Sheet2!$B:$U,20,0)</f>
        <v>5.2303199999999999</v>
      </c>
      <c r="O744" s="2">
        <v>2</v>
      </c>
      <c r="P744" s="2">
        <v>1</v>
      </c>
      <c r="Q744" s="2"/>
    </row>
    <row r="745" spans="1:17" ht="20.100000000000001" customHeight="1">
      <c r="A745" s="2" t="s">
        <v>9</v>
      </c>
      <c r="B745" s="2" t="s">
        <v>1123</v>
      </c>
      <c r="C745" s="2" t="s">
        <v>1124</v>
      </c>
      <c r="D745" s="2" t="e">
        <f>VLOOKUP(C:C,Vlookup!A:A,1,0)</f>
        <v>#N/A</v>
      </c>
      <c r="E745" s="2">
        <v>14</v>
      </c>
      <c r="F745" s="17" t="s">
        <v>10</v>
      </c>
      <c r="G745" s="17" t="s">
        <v>25</v>
      </c>
      <c r="H745" s="2" t="s">
        <v>11</v>
      </c>
      <c r="I745" s="2">
        <v>1</v>
      </c>
      <c r="J745" s="5">
        <v>46106</v>
      </c>
      <c r="K745" s="5">
        <v>46106</v>
      </c>
      <c r="L745" s="2" t="s">
        <v>865</v>
      </c>
      <c r="M745" s="5">
        <v>45754</v>
      </c>
      <c r="N745" s="3">
        <f>VLOOKUP(NavDataRegion[[#This Row],[Spool No]],[1]Sheet2!$B:$U,20,0)</f>
        <v>8.8281200000000002</v>
      </c>
      <c r="O745" s="2">
        <v>6</v>
      </c>
      <c r="P745" s="2">
        <v>1</v>
      </c>
      <c r="Q745" s="2"/>
    </row>
    <row r="746" spans="1:17" ht="20.100000000000001" customHeight="1">
      <c r="A746" s="2" t="s">
        <v>9</v>
      </c>
      <c r="B746" s="2" t="s">
        <v>965</v>
      </c>
      <c r="C746" s="2" t="s">
        <v>1489</v>
      </c>
      <c r="D746" s="2" t="e">
        <f>VLOOKUP(C:C,Vlookup!A:A,1,0)</f>
        <v>#N/A</v>
      </c>
      <c r="E746" s="2">
        <v>14</v>
      </c>
      <c r="F746" s="17" t="s">
        <v>10</v>
      </c>
      <c r="G746" s="17" t="s">
        <v>25</v>
      </c>
      <c r="H746" s="2" t="s">
        <v>11</v>
      </c>
      <c r="I746" s="2">
        <v>1</v>
      </c>
      <c r="J746" s="5">
        <v>46093</v>
      </c>
      <c r="K746" s="5">
        <v>46094</v>
      </c>
      <c r="L746" s="2" t="s">
        <v>865</v>
      </c>
      <c r="M746" s="5">
        <v>45754</v>
      </c>
      <c r="N746" s="3">
        <f>VLOOKUP(NavDataRegion[[#This Row],[Spool No]],[1]Sheet2!$B:$U,20,0)</f>
        <v>4.7378400000000003</v>
      </c>
      <c r="O746" s="2">
        <v>2</v>
      </c>
      <c r="P746" s="2">
        <v>1</v>
      </c>
      <c r="Q746" s="2"/>
    </row>
    <row r="747" spans="1:17" ht="20.100000000000001" customHeight="1">
      <c r="A747" s="2" t="s">
        <v>9</v>
      </c>
      <c r="B747" s="2" t="s">
        <v>243</v>
      </c>
      <c r="C747" s="2" t="s">
        <v>440</v>
      </c>
      <c r="D747" s="2" t="e">
        <f>VLOOKUP(C:C,Vlookup!A:A,1,0)</f>
        <v>#N/A</v>
      </c>
      <c r="E747" s="2">
        <v>18</v>
      </c>
      <c r="F747" s="2" t="s">
        <v>441</v>
      </c>
      <c r="G747" s="2" t="s">
        <v>25</v>
      </c>
      <c r="H747" s="2" t="s">
        <v>11</v>
      </c>
      <c r="I747" s="2">
        <v>1</v>
      </c>
      <c r="J747" s="5">
        <v>46112</v>
      </c>
      <c r="K747" s="5">
        <v>46113</v>
      </c>
      <c r="L747" s="2" t="s">
        <v>865</v>
      </c>
      <c r="M747" s="5">
        <v>45754</v>
      </c>
      <c r="N747" s="3">
        <f>VLOOKUP(NavDataRegion[[#This Row],[Spool No]],[1]Sheet2!$B:$U,20,0)</f>
        <v>89.636679999999998</v>
      </c>
      <c r="O747" s="2">
        <v>6</v>
      </c>
      <c r="P747" s="2">
        <v>6</v>
      </c>
      <c r="Q747" s="2"/>
    </row>
    <row r="748" spans="1:17" ht="20.100000000000001" customHeight="1">
      <c r="A748" s="2" t="s">
        <v>9</v>
      </c>
      <c r="B748" s="2" t="s">
        <v>1129</v>
      </c>
      <c r="C748" s="2" t="s">
        <v>1130</v>
      </c>
      <c r="D748" s="2" t="e">
        <f>VLOOKUP(C:C,Vlookup!A:A,1,0)</f>
        <v>#N/A</v>
      </c>
      <c r="E748" s="2">
        <v>16</v>
      </c>
      <c r="F748" s="17" t="s">
        <v>10</v>
      </c>
      <c r="G748" s="17" t="s">
        <v>1947</v>
      </c>
      <c r="H748" s="2" t="s">
        <v>11</v>
      </c>
      <c r="I748" s="2">
        <v>1</v>
      </c>
      <c r="J748" s="5">
        <v>46118</v>
      </c>
      <c r="K748" s="5">
        <v>46120</v>
      </c>
      <c r="L748" s="2" t="s">
        <v>865</v>
      </c>
      <c r="M748" s="5">
        <v>46167</v>
      </c>
      <c r="N748" s="3">
        <f>VLOOKUP(NavDataRegion[[#This Row],[Spool No]],[1]Sheet2!$B:$U,20,0)</f>
        <v>12.950760000000001</v>
      </c>
      <c r="O748" s="2">
        <v>8</v>
      </c>
      <c r="P748" s="2">
        <v>1</v>
      </c>
      <c r="Q748" s="2"/>
    </row>
    <row r="749" spans="1:17" ht="20.100000000000001" customHeight="1">
      <c r="A749" s="2" t="s">
        <v>9</v>
      </c>
      <c r="B749" s="2" t="s">
        <v>1137</v>
      </c>
      <c r="C749" s="2" t="s">
        <v>1138</v>
      </c>
      <c r="D749" s="2" t="e">
        <f>VLOOKUP(C:C,Vlookup!A:A,1,0)</f>
        <v>#N/A</v>
      </c>
      <c r="E749" s="2">
        <v>14</v>
      </c>
      <c r="F749" s="17" t="s">
        <v>10</v>
      </c>
      <c r="G749" s="17" t="s">
        <v>25</v>
      </c>
      <c r="H749" s="2" t="s">
        <v>11</v>
      </c>
      <c r="I749" s="2">
        <v>1</v>
      </c>
      <c r="J749" s="5">
        <v>46105</v>
      </c>
      <c r="K749" s="5">
        <v>46106</v>
      </c>
      <c r="L749" s="2" t="s">
        <v>865</v>
      </c>
      <c r="M749" s="5">
        <v>45754</v>
      </c>
      <c r="N749" s="3">
        <f>VLOOKUP(NavDataRegion[[#This Row],[Spool No]],[1]Sheet2!$B:$U,20,0)</f>
        <v>11.6328</v>
      </c>
      <c r="O749" s="2">
        <v>8</v>
      </c>
      <c r="P749" s="2">
        <v>1</v>
      </c>
      <c r="Q749" s="2"/>
    </row>
    <row r="750" spans="1:17" ht="20.100000000000001" customHeight="1">
      <c r="A750" s="2" t="s">
        <v>9</v>
      </c>
      <c r="B750" s="2" t="s">
        <v>967</v>
      </c>
      <c r="C750" s="2" t="s">
        <v>1490</v>
      </c>
      <c r="D750" s="2" t="e">
        <f>VLOOKUP(C:C,Vlookup!A:A,1,0)</f>
        <v>#N/A</v>
      </c>
      <c r="E750" s="2">
        <v>14</v>
      </c>
      <c r="F750" s="17" t="s">
        <v>10</v>
      </c>
      <c r="G750" s="17" t="s">
        <v>25</v>
      </c>
      <c r="H750" s="2" t="s">
        <v>11</v>
      </c>
      <c r="I750" s="2">
        <v>1</v>
      </c>
      <c r="J750" s="5">
        <v>46093</v>
      </c>
      <c r="K750" s="5">
        <v>46094</v>
      </c>
      <c r="L750" s="2" t="s">
        <v>865</v>
      </c>
      <c r="M750" s="5">
        <v>45754</v>
      </c>
      <c r="N750" s="3">
        <f>VLOOKUP(NavDataRegion[[#This Row],[Spool No]],[1]Sheet2!$B:$U,20,0)</f>
        <v>5.6612400000000003</v>
      </c>
      <c r="O750" s="2">
        <v>3</v>
      </c>
      <c r="P750" s="2">
        <v>1</v>
      </c>
      <c r="Q750" s="2"/>
    </row>
    <row r="751" spans="1:17" ht="20.100000000000001" customHeight="1">
      <c r="A751" s="2" t="s">
        <v>9</v>
      </c>
      <c r="B751" s="2" t="s">
        <v>971</v>
      </c>
      <c r="C751" s="2" t="s">
        <v>972</v>
      </c>
      <c r="D751" s="2" t="e">
        <f>VLOOKUP(C:C,Vlookup!A:A,1,0)</f>
        <v>#N/A</v>
      </c>
      <c r="E751" s="2">
        <v>14</v>
      </c>
      <c r="F751" s="17" t="s">
        <v>10</v>
      </c>
      <c r="G751" s="17" t="s">
        <v>25</v>
      </c>
      <c r="H751" s="2" t="s">
        <v>11</v>
      </c>
      <c r="I751" s="2">
        <v>1</v>
      </c>
      <c r="J751" s="5">
        <v>46093</v>
      </c>
      <c r="K751" s="5">
        <v>46094</v>
      </c>
      <c r="L751" s="2" t="s">
        <v>865</v>
      </c>
      <c r="M751" s="5">
        <v>45754</v>
      </c>
      <c r="N751" s="3">
        <f>VLOOKUP(NavDataRegion[[#This Row],[Spool No]],[1]Sheet2!$B:$U,20,0)</f>
        <v>6.2843999999999998</v>
      </c>
      <c r="O751" s="2">
        <v>4</v>
      </c>
      <c r="P751" s="2">
        <v>1</v>
      </c>
      <c r="Q751" s="2"/>
    </row>
    <row r="752" spans="1:17" ht="20.100000000000001" customHeight="1">
      <c r="A752" s="2" t="s">
        <v>9</v>
      </c>
      <c r="B752" s="2" t="s">
        <v>1167</v>
      </c>
      <c r="C752" s="2" t="s">
        <v>1559</v>
      </c>
      <c r="D752" s="2" t="e">
        <f>VLOOKUP(C:C,Vlookup!A:A,1,0)</f>
        <v>#N/A</v>
      </c>
      <c r="E752" s="2">
        <v>14</v>
      </c>
      <c r="F752" s="17" t="s">
        <v>10</v>
      </c>
      <c r="G752" s="17" t="s">
        <v>25</v>
      </c>
      <c r="H752" s="2" t="s">
        <v>11</v>
      </c>
      <c r="I752" s="2">
        <v>1</v>
      </c>
      <c r="J752" s="5">
        <v>46098</v>
      </c>
      <c r="K752" s="5">
        <v>46099</v>
      </c>
      <c r="L752" s="2" t="s">
        <v>865</v>
      </c>
      <c r="M752" s="5">
        <v>45754</v>
      </c>
      <c r="N752" s="3">
        <f>VLOOKUP(NavDataRegion[[#This Row],[Spool No]],[1]Sheet2!$B:$U,20,0)</f>
        <v>1.20848</v>
      </c>
      <c r="O752" s="2">
        <v>1</v>
      </c>
      <c r="P752" s="2">
        <v>0.5</v>
      </c>
      <c r="Q752" s="2"/>
    </row>
    <row r="753" spans="1:17" ht="20.100000000000001" customHeight="1">
      <c r="A753" s="2" t="s">
        <v>9</v>
      </c>
      <c r="B753" s="2" t="s">
        <v>1167</v>
      </c>
      <c r="C753" s="2" t="s">
        <v>1719</v>
      </c>
      <c r="D753" s="2" t="e">
        <f>VLOOKUP(C:C,Vlookup!A:A,1,0)</f>
        <v>#N/A</v>
      </c>
      <c r="E753" s="2">
        <v>14</v>
      </c>
      <c r="F753" s="17" t="s">
        <v>10</v>
      </c>
      <c r="G753" s="17" t="s">
        <v>25</v>
      </c>
      <c r="H753" s="2" t="s">
        <v>11</v>
      </c>
      <c r="I753" s="2">
        <v>1</v>
      </c>
      <c r="J753" s="5">
        <v>46098</v>
      </c>
      <c r="K753" s="5">
        <v>46099</v>
      </c>
      <c r="L753" s="2" t="s">
        <v>865</v>
      </c>
      <c r="M753" s="5">
        <v>45754</v>
      </c>
      <c r="N753" s="3">
        <f>VLOOKUP(NavDataRegion[[#This Row],[Spool No]],[1]Sheet2!$B:$U,20,0)</f>
        <v>0.61231999999999998</v>
      </c>
      <c r="O753" s="2">
        <v>0.5</v>
      </c>
      <c r="P753" s="2">
        <v>0.5</v>
      </c>
      <c r="Q753" s="2"/>
    </row>
    <row r="754" spans="1:17" ht="20.100000000000001" customHeight="1">
      <c r="A754" s="2" t="s">
        <v>9</v>
      </c>
      <c r="B754" s="2" t="s">
        <v>1167</v>
      </c>
      <c r="C754" s="2" t="s">
        <v>1823</v>
      </c>
      <c r="D754" s="2" t="e">
        <f>VLOOKUP(C:C,Vlookup!A:A,1,0)</f>
        <v>#N/A</v>
      </c>
      <c r="E754" s="2">
        <v>14</v>
      </c>
      <c r="F754" s="17" t="s">
        <v>10</v>
      </c>
      <c r="G754" s="17" t="s">
        <v>25</v>
      </c>
      <c r="H754" s="2" t="s">
        <v>11</v>
      </c>
      <c r="I754" s="2">
        <v>1</v>
      </c>
      <c r="J754" s="5">
        <v>46098</v>
      </c>
      <c r="K754" s="5">
        <v>46099</v>
      </c>
      <c r="L754" s="2" t="s">
        <v>865</v>
      </c>
      <c r="M754" s="5">
        <v>45754</v>
      </c>
      <c r="N754" s="3">
        <f>VLOOKUP(NavDataRegion[[#This Row],[Spool No]],[1]Sheet2!$B:$U,20,0)</f>
        <v>2.65036</v>
      </c>
      <c r="O754" s="2">
        <v>1</v>
      </c>
      <c r="P754" s="2">
        <v>0.5</v>
      </c>
      <c r="Q754" s="2"/>
    </row>
    <row r="755" spans="1:17" ht="20.100000000000001" customHeight="1">
      <c r="A755" s="2" t="s">
        <v>9</v>
      </c>
      <c r="B755" s="2" t="s">
        <v>971</v>
      </c>
      <c r="C755" s="2" t="s">
        <v>1679</v>
      </c>
      <c r="D755" s="2" t="e">
        <f>VLOOKUP(C:C,Vlookup!A:A,1,0)</f>
        <v>#N/A</v>
      </c>
      <c r="E755" s="2">
        <v>14</v>
      </c>
      <c r="F755" s="17" t="s">
        <v>10</v>
      </c>
      <c r="G755" s="17" t="s">
        <v>25</v>
      </c>
      <c r="H755" s="2" t="s">
        <v>11</v>
      </c>
      <c r="I755" s="2">
        <v>1</v>
      </c>
      <c r="J755" s="5">
        <v>46093</v>
      </c>
      <c r="K755" s="5">
        <v>46094</v>
      </c>
      <c r="L755" s="2" t="s">
        <v>865</v>
      </c>
      <c r="M755" s="5">
        <v>45754</v>
      </c>
      <c r="N755" s="3">
        <f>VLOOKUP(NavDataRegion[[#This Row],[Spool No]],[1]Sheet2!$B:$U,20,0)</f>
        <v>5.5348800000000002</v>
      </c>
      <c r="O755" s="2">
        <v>3</v>
      </c>
      <c r="P755" s="2">
        <v>1</v>
      </c>
      <c r="Q755" s="2"/>
    </row>
    <row r="756" spans="1:17" ht="20.100000000000001" customHeight="1">
      <c r="A756" s="2" t="s">
        <v>9</v>
      </c>
      <c r="B756" s="2" t="s">
        <v>1169</v>
      </c>
      <c r="C756" s="2" t="s">
        <v>1720</v>
      </c>
      <c r="D756" s="2" t="e">
        <f>VLOOKUP(C:C,Vlookup!A:A,1,0)</f>
        <v>#N/A</v>
      </c>
      <c r="E756" s="2">
        <v>14</v>
      </c>
      <c r="F756" s="17" t="s">
        <v>10</v>
      </c>
      <c r="G756" s="17" t="s">
        <v>25</v>
      </c>
      <c r="H756" s="2" t="s">
        <v>11</v>
      </c>
      <c r="I756" s="2">
        <v>1</v>
      </c>
      <c r="J756" s="5">
        <v>46098</v>
      </c>
      <c r="K756" s="5">
        <v>46099</v>
      </c>
      <c r="L756" s="2" t="s">
        <v>865</v>
      </c>
      <c r="M756" s="5">
        <v>45754</v>
      </c>
      <c r="N756" s="3">
        <f>VLOOKUP(NavDataRegion[[#This Row],[Spool No]],[1]Sheet2!$B:$U,20,0)</f>
        <v>5.3959200000000003</v>
      </c>
      <c r="O756" s="2">
        <v>4</v>
      </c>
      <c r="P756" s="2">
        <v>1</v>
      </c>
      <c r="Q756" s="2"/>
    </row>
    <row r="757" spans="1:17" ht="20.100000000000001" customHeight="1">
      <c r="A757" s="2" t="s">
        <v>9</v>
      </c>
      <c r="B757" s="2" t="s">
        <v>963</v>
      </c>
      <c r="C757" s="2" t="s">
        <v>1676</v>
      </c>
      <c r="D757" s="2" t="e">
        <f>VLOOKUP(C:C,Vlookup!A:A,1,0)</f>
        <v>#N/A</v>
      </c>
      <c r="E757" s="2">
        <v>14</v>
      </c>
      <c r="F757" s="17" t="s">
        <v>10</v>
      </c>
      <c r="G757" s="17" t="s">
        <v>25</v>
      </c>
      <c r="H757" s="2" t="s">
        <v>11</v>
      </c>
      <c r="I757" s="2">
        <v>1</v>
      </c>
      <c r="J757" s="5">
        <v>46100</v>
      </c>
      <c r="K757" s="5">
        <v>46107</v>
      </c>
      <c r="L757" s="2" t="s">
        <v>865</v>
      </c>
      <c r="M757" s="5">
        <v>45754</v>
      </c>
      <c r="N757" s="3">
        <f>VLOOKUP(NavDataRegion[[#This Row],[Spool No]],[1]Sheet2!$B:$U,20,0)</f>
        <v>46.932679999999998</v>
      </c>
      <c r="O757" s="2">
        <v>4</v>
      </c>
      <c r="P757" s="2">
        <v>1</v>
      </c>
      <c r="Q757" s="2" t="s">
        <v>1953</v>
      </c>
    </row>
    <row r="758" spans="1:17" ht="20.100000000000001" customHeight="1">
      <c r="A758" s="2" t="s">
        <v>9</v>
      </c>
      <c r="B758" s="2" t="s">
        <v>1171</v>
      </c>
      <c r="C758" s="2" t="s">
        <v>1172</v>
      </c>
      <c r="D758" s="2" t="e">
        <f>VLOOKUP(C:C,Vlookup!A:A,1,0)</f>
        <v>#N/A</v>
      </c>
      <c r="E758" s="2">
        <v>14</v>
      </c>
      <c r="F758" s="17" t="s">
        <v>10</v>
      </c>
      <c r="G758" s="17" t="s">
        <v>25</v>
      </c>
      <c r="H758" s="2" t="s">
        <v>11</v>
      </c>
      <c r="I758" s="2">
        <v>1</v>
      </c>
      <c r="J758" s="5">
        <v>46105</v>
      </c>
      <c r="K758" s="5">
        <v>46106</v>
      </c>
      <c r="L758" s="2" t="s">
        <v>865</v>
      </c>
      <c r="M758" s="5">
        <v>45754</v>
      </c>
      <c r="N758" s="3">
        <f>VLOOKUP(NavDataRegion[[#This Row],[Spool No]],[1]Sheet2!$B:$U,20,0)</f>
        <v>6.1698000000000004</v>
      </c>
      <c r="O758" s="2">
        <v>4</v>
      </c>
      <c r="P758" s="2">
        <v>1</v>
      </c>
      <c r="Q758" s="2"/>
    </row>
    <row r="759" spans="1:17" ht="20.100000000000001" customHeight="1">
      <c r="A759" s="2" t="s">
        <v>9</v>
      </c>
      <c r="B759" s="2" t="s">
        <v>973</v>
      </c>
      <c r="C759" s="2" t="s">
        <v>974</v>
      </c>
      <c r="D759" s="2" t="e">
        <f>VLOOKUP(C:C,Vlookup!A:A,1,0)</f>
        <v>#N/A</v>
      </c>
      <c r="E759" s="2">
        <v>14</v>
      </c>
      <c r="F759" s="17" t="s">
        <v>10</v>
      </c>
      <c r="G759" s="17" t="s">
        <v>25</v>
      </c>
      <c r="H759" s="2" t="s">
        <v>11</v>
      </c>
      <c r="I759" s="2">
        <v>1</v>
      </c>
      <c r="J759" s="5">
        <v>46093</v>
      </c>
      <c r="K759" s="5">
        <v>46094</v>
      </c>
      <c r="L759" s="2" t="s">
        <v>865</v>
      </c>
      <c r="M759" s="5">
        <v>45754</v>
      </c>
      <c r="N759" s="3">
        <f>VLOOKUP(NavDataRegion[[#This Row],[Spool No]],[1]Sheet2!$B:$U,20,0)</f>
        <v>9.2749199999999998</v>
      </c>
      <c r="O759" s="2">
        <v>5</v>
      </c>
      <c r="P759" s="2">
        <v>1</v>
      </c>
      <c r="Q759" s="2"/>
    </row>
    <row r="760" spans="1:17" ht="20.100000000000001" customHeight="1">
      <c r="A760" s="2" t="s">
        <v>9</v>
      </c>
      <c r="B760" s="2" t="s">
        <v>973</v>
      </c>
      <c r="C760" s="2" t="s">
        <v>1680</v>
      </c>
      <c r="D760" s="2" t="e">
        <f>VLOOKUP(C:C,Vlookup!A:A,1,0)</f>
        <v>#N/A</v>
      </c>
      <c r="E760" s="2">
        <v>14</v>
      </c>
      <c r="F760" s="17" t="s">
        <v>10</v>
      </c>
      <c r="G760" s="17" t="s">
        <v>25</v>
      </c>
      <c r="H760" s="2" t="s">
        <v>11</v>
      </c>
      <c r="I760" s="2">
        <v>1</v>
      </c>
      <c r="J760" s="5">
        <v>46093</v>
      </c>
      <c r="K760" s="5">
        <v>46094</v>
      </c>
      <c r="L760" s="2" t="s">
        <v>865</v>
      </c>
      <c r="M760" s="5">
        <v>45754</v>
      </c>
      <c r="N760" s="3">
        <f>VLOOKUP(NavDataRegion[[#This Row],[Spool No]],[1]Sheet2!$B:$U,20,0)</f>
        <v>7.8066000000000004</v>
      </c>
      <c r="O760" s="2">
        <v>4</v>
      </c>
      <c r="P760" s="2">
        <v>1</v>
      </c>
      <c r="Q760" s="2"/>
    </row>
    <row r="761" spans="1:17" ht="20.100000000000001" customHeight="1">
      <c r="A761" s="2" t="s">
        <v>9</v>
      </c>
      <c r="B761" s="2" t="s">
        <v>975</v>
      </c>
      <c r="C761" s="2" t="s">
        <v>976</v>
      </c>
      <c r="D761" s="2" t="e">
        <f>VLOOKUP(C:C,Vlookup!A:A,1,0)</f>
        <v>#N/A</v>
      </c>
      <c r="E761" s="2">
        <v>14</v>
      </c>
      <c r="F761" s="17" t="s">
        <v>10</v>
      </c>
      <c r="G761" s="17" t="s">
        <v>25</v>
      </c>
      <c r="H761" s="2" t="s">
        <v>11</v>
      </c>
      <c r="I761" s="2">
        <v>1</v>
      </c>
      <c r="J761" s="5">
        <v>46093</v>
      </c>
      <c r="K761" s="5">
        <v>46094</v>
      </c>
      <c r="L761" s="2" t="s">
        <v>865</v>
      </c>
      <c r="M761" s="5">
        <v>45754</v>
      </c>
      <c r="N761" s="3">
        <f>VLOOKUP(NavDataRegion[[#This Row],[Spool No]],[1]Sheet2!$B:$U,20,0)</f>
        <v>14.85468</v>
      </c>
      <c r="O761" s="2">
        <v>6</v>
      </c>
      <c r="P761" s="2">
        <v>1</v>
      </c>
      <c r="Q761" s="2"/>
    </row>
    <row r="762" spans="1:17" ht="20.100000000000001" customHeight="1">
      <c r="A762" s="2" t="s">
        <v>9</v>
      </c>
      <c r="B762" s="2" t="s">
        <v>1169</v>
      </c>
      <c r="C762" s="2" t="s">
        <v>1824</v>
      </c>
      <c r="D762" s="2" t="e">
        <f>VLOOKUP(C:C,Vlookup!A:A,1,0)</f>
        <v>#N/A</v>
      </c>
      <c r="E762" s="2">
        <v>14</v>
      </c>
      <c r="F762" s="17" t="s">
        <v>10</v>
      </c>
      <c r="G762" s="17" t="s">
        <v>25</v>
      </c>
      <c r="H762" s="2" t="s">
        <v>11</v>
      </c>
      <c r="I762" s="2">
        <v>1</v>
      </c>
      <c r="J762" s="5">
        <v>46098</v>
      </c>
      <c r="K762" s="5">
        <v>46099</v>
      </c>
      <c r="L762" s="2" t="s">
        <v>865</v>
      </c>
      <c r="M762" s="5">
        <v>45754</v>
      </c>
      <c r="N762" s="3">
        <f>VLOOKUP(NavDataRegion[[#This Row],[Spool No]],[1]Sheet2!$B:$U,20,0)</f>
        <v>7.0603199999999999</v>
      </c>
      <c r="O762" s="2">
        <v>2</v>
      </c>
      <c r="P762" s="2">
        <v>1</v>
      </c>
      <c r="Q762" s="2"/>
    </row>
    <row r="763" spans="1:17" ht="20.100000000000001" customHeight="1">
      <c r="A763" s="2" t="s">
        <v>9</v>
      </c>
      <c r="B763" s="2" t="s">
        <v>1179</v>
      </c>
      <c r="C763" s="2" t="s">
        <v>1180</v>
      </c>
      <c r="D763" s="2" t="e">
        <f>VLOOKUP(C:C,Vlookup!A:A,1,0)</f>
        <v>#N/A</v>
      </c>
      <c r="E763" s="2">
        <v>14</v>
      </c>
      <c r="F763" s="17" t="s">
        <v>10</v>
      </c>
      <c r="G763" s="17" t="s">
        <v>25</v>
      </c>
      <c r="H763" s="2" t="s">
        <v>11</v>
      </c>
      <c r="I763" s="2">
        <v>1</v>
      </c>
      <c r="J763" s="5">
        <v>46105</v>
      </c>
      <c r="K763" s="5">
        <v>46106</v>
      </c>
      <c r="L763" s="2" t="s">
        <v>865</v>
      </c>
      <c r="M763" s="5">
        <v>45754</v>
      </c>
      <c r="N763" s="3">
        <f>VLOOKUP(NavDataRegion[[#This Row],[Spool No]],[1]Sheet2!$B:$U,20,0)</f>
        <v>9.3615600000000008</v>
      </c>
      <c r="O763" s="2">
        <v>6</v>
      </c>
      <c r="P763" s="2">
        <v>1</v>
      </c>
      <c r="Q763" s="2"/>
    </row>
    <row r="764" spans="1:17" ht="20.100000000000001" customHeight="1">
      <c r="A764" s="2" t="s">
        <v>9</v>
      </c>
      <c r="B764" s="2" t="s">
        <v>1171</v>
      </c>
      <c r="C764" s="2" t="s">
        <v>1561</v>
      </c>
      <c r="D764" s="2" t="e">
        <f>VLOOKUP(C:C,Vlookup!A:A,1,0)</f>
        <v>#N/A</v>
      </c>
      <c r="E764" s="2">
        <v>14</v>
      </c>
      <c r="F764" s="17" t="s">
        <v>10</v>
      </c>
      <c r="G764" s="17" t="s">
        <v>25</v>
      </c>
      <c r="H764" s="2" t="s">
        <v>11</v>
      </c>
      <c r="I764" s="2">
        <v>1</v>
      </c>
      <c r="J764" s="5">
        <v>46098</v>
      </c>
      <c r="K764" s="5">
        <v>46099</v>
      </c>
      <c r="L764" s="2" t="s">
        <v>865</v>
      </c>
      <c r="M764" s="5">
        <v>45754</v>
      </c>
      <c r="N764" s="3">
        <f>VLOOKUP(NavDataRegion[[#This Row],[Spool No]],[1]Sheet2!$B:$U,20,0)</f>
        <v>24.791160000000001</v>
      </c>
      <c r="O764" s="2">
        <v>5</v>
      </c>
      <c r="P764" s="2">
        <v>1</v>
      </c>
      <c r="Q764" s="2"/>
    </row>
    <row r="765" spans="1:17" ht="20.100000000000001" customHeight="1">
      <c r="A765" s="2" t="s">
        <v>9</v>
      </c>
      <c r="B765" s="2" t="s">
        <v>1189</v>
      </c>
      <c r="C765" s="2" t="s">
        <v>1190</v>
      </c>
      <c r="D765" s="2" t="e">
        <f>VLOOKUP(C:C,Vlookup!A:A,1,0)</f>
        <v>#N/A</v>
      </c>
      <c r="E765" s="2">
        <v>14</v>
      </c>
      <c r="F765" s="17" t="s">
        <v>10</v>
      </c>
      <c r="G765" s="17" t="s">
        <v>25</v>
      </c>
      <c r="H765" s="2" t="s">
        <v>11</v>
      </c>
      <c r="I765" s="2">
        <v>1</v>
      </c>
      <c r="J765" s="5">
        <v>46105</v>
      </c>
      <c r="K765" s="5">
        <v>46106</v>
      </c>
      <c r="L765" s="2" t="s">
        <v>865</v>
      </c>
      <c r="M765" s="5">
        <v>45754</v>
      </c>
      <c r="N765" s="3">
        <f>VLOOKUP(NavDataRegion[[#This Row],[Spool No]],[1]Sheet2!$B:$U,20,0)</f>
        <v>9.3615600000000008</v>
      </c>
      <c r="O765" s="2">
        <v>6</v>
      </c>
      <c r="P765" s="2">
        <v>1</v>
      </c>
      <c r="Q765" s="2"/>
    </row>
    <row r="766" spans="1:17" ht="20.100000000000001" customHeight="1">
      <c r="A766" s="2" t="s">
        <v>9</v>
      </c>
      <c r="B766" s="2" t="s">
        <v>1171</v>
      </c>
      <c r="C766" s="2" t="s">
        <v>1721</v>
      </c>
      <c r="D766" s="2" t="e">
        <f>VLOOKUP(C:C,Vlookup!A:A,1,0)</f>
        <v>#N/A</v>
      </c>
      <c r="E766" s="2">
        <v>14</v>
      </c>
      <c r="F766" s="17" t="s">
        <v>10</v>
      </c>
      <c r="G766" s="17" t="s">
        <v>25</v>
      </c>
      <c r="H766" s="2" t="s">
        <v>11</v>
      </c>
      <c r="I766" s="2">
        <v>1</v>
      </c>
      <c r="J766" s="5">
        <v>46098</v>
      </c>
      <c r="K766" s="5">
        <v>46099</v>
      </c>
      <c r="L766" s="2" t="s">
        <v>865</v>
      </c>
      <c r="M766" s="5">
        <v>45754</v>
      </c>
      <c r="N766" s="3">
        <f>VLOOKUP(NavDataRegion[[#This Row],[Spool No]],[1]Sheet2!$B:$U,20,0)</f>
        <v>19.862159999999999</v>
      </c>
      <c r="O766" s="2">
        <v>2</v>
      </c>
      <c r="P766" s="2">
        <v>1</v>
      </c>
      <c r="Q766" s="2"/>
    </row>
    <row r="767" spans="1:17" ht="20.100000000000001" customHeight="1">
      <c r="A767" s="2" t="s">
        <v>9</v>
      </c>
      <c r="B767" s="2" t="s">
        <v>1171</v>
      </c>
      <c r="C767" s="2" t="s">
        <v>1825</v>
      </c>
      <c r="D767" s="2" t="e">
        <f>VLOOKUP(C:C,Vlookup!A:A,1,0)</f>
        <v>#N/A</v>
      </c>
      <c r="E767" s="2">
        <v>14</v>
      </c>
      <c r="F767" s="17" t="s">
        <v>10</v>
      </c>
      <c r="G767" s="17" t="s">
        <v>25</v>
      </c>
      <c r="H767" s="2" t="s">
        <v>11</v>
      </c>
      <c r="I767" s="2">
        <v>1</v>
      </c>
      <c r="J767" s="5">
        <v>46098</v>
      </c>
      <c r="K767" s="5">
        <v>46099</v>
      </c>
      <c r="L767" s="2" t="s">
        <v>865</v>
      </c>
      <c r="M767" s="5">
        <v>45754</v>
      </c>
      <c r="N767" s="3">
        <f>VLOOKUP(NavDataRegion[[#This Row],[Spool No]],[1]Sheet2!$B:$U,20,0)</f>
        <v>17.347919999999998</v>
      </c>
      <c r="O767" s="2">
        <v>4</v>
      </c>
      <c r="P767" s="2">
        <v>1</v>
      </c>
      <c r="Q767" s="2"/>
    </row>
    <row r="768" spans="1:17" ht="20.100000000000001" customHeight="1">
      <c r="A768" s="2" t="s">
        <v>9</v>
      </c>
      <c r="B768" s="2" t="s">
        <v>1173</v>
      </c>
      <c r="C768" s="2" t="s">
        <v>1174</v>
      </c>
      <c r="D768" s="2" t="e">
        <f>VLOOKUP(C:C,Vlookup!A:A,1,0)</f>
        <v>#N/A</v>
      </c>
      <c r="E768" s="2">
        <v>14</v>
      </c>
      <c r="F768" s="17" t="s">
        <v>10</v>
      </c>
      <c r="G768" s="17" t="s">
        <v>25</v>
      </c>
      <c r="H768" s="2" t="s">
        <v>11</v>
      </c>
      <c r="I768" s="2">
        <v>1</v>
      </c>
      <c r="J768" s="5">
        <v>46098</v>
      </c>
      <c r="K768" s="5">
        <v>46099</v>
      </c>
      <c r="L768" s="2" t="s">
        <v>865</v>
      </c>
      <c r="M768" s="5">
        <v>45754</v>
      </c>
      <c r="N768" s="3">
        <f>VLOOKUP(NavDataRegion[[#This Row],[Spool No]],[1]Sheet2!$B:$U,20,0)</f>
        <v>2.50224</v>
      </c>
      <c r="O768" s="2">
        <v>3</v>
      </c>
      <c r="P768" s="2">
        <v>1</v>
      </c>
      <c r="Q768" s="2"/>
    </row>
    <row r="769" spans="1:17" ht="20.100000000000001" customHeight="1">
      <c r="A769" s="2" t="s">
        <v>9</v>
      </c>
      <c r="B769" s="2" t="s">
        <v>995</v>
      </c>
      <c r="C769" s="2" t="s">
        <v>996</v>
      </c>
      <c r="D769" s="2" t="e">
        <f>VLOOKUP(C:C,Vlookup!A:A,1,0)</f>
        <v>#N/A</v>
      </c>
      <c r="E769" s="2">
        <v>14</v>
      </c>
      <c r="F769" s="17" t="s">
        <v>10</v>
      </c>
      <c r="G769" s="17" t="s">
        <v>25</v>
      </c>
      <c r="H769" s="2" t="s">
        <v>11</v>
      </c>
      <c r="I769" s="2">
        <v>1</v>
      </c>
      <c r="J769" s="5">
        <v>46100</v>
      </c>
      <c r="K769" s="5">
        <v>46101</v>
      </c>
      <c r="L769" s="2" t="s">
        <v>865</v>
      </c>
      <c r="M769" s="5">
        <v>45754</v>
      </c>
      <c r="N769" s="3">
        <f>VLOOKUP(NavDataRegion[[#This Row],[Spool No]],[1]Sheet2!$B:$U,20,0)</f>
        <v>19.334440000000001</v>
      </c>
      <c r="O769" s="2">
        <v>6</v>
      </c>
      <c r="P769" s="2">
        <v>1</v>
      </c>
      <c r="Q769" s="2"/>
    </row>
    <row r="770" spans="1:17" ht="20.100000000000001" customHeight="1">
      <c r="A770" s="2" t="s">
        <v>9</v>
      </c>
      <c r="B770" s="2" t="s">
        <v>1175</v>
      </c>
      <c r="C770" s="2" t="s">
        <v>1722</v>
      </c>
      <c r="D770" s="2" t="e">
        <f>VLOOKUP(C:C,Vlookup!A:A,1,0)</f>
        <v>#N/A</v>
      </c>
      <c r="E770" s="2">
        <v>14</v>
      </c>
      <c r="F770" s="17" t="s">
        <v>10</v>
      </c>
      <c r="G770" s="17" t="s">
        <v>25</v>
      </c>
      <c r="H770" s="2" t="s">
        <v>11</v>
      </c>
      <c r="I770" s="2">
        <v>1</v>
      </c>
      <c r="J770" s="5">
        <v>46098</v>
      </c>
      <c r="K770" s="5">
        <v>46099</v>
      </c>
      <c r="L770" s="2" t="s">
        <v>865</v>
      </c>
      <c r="M770" s="5">
        <v>45754</v>
      </c>
      <c r="N770" s="3">
        <f>VLOOKUP(NavDataRegion[[#This Row],[Spool No]],[1]Sheet2!$B:$U,20,0)</f>
        <v>43.518839999999997</v>
      </c>
      <c r="O770" s="2">
        <v>2</v>
      </c>
      <c r="P770" s="2">
        <v>2</v>
      </c>
      <c r="Q770" s="2"/>
    </row>
    <row r="771" spans="1:17" ht="20.100000000000001" customHeight="1">
      <c r="A771" s="2" t="s">
        <v>9</v>
      </c>
      <c r="B771" s="2" t="s">
        <v>1175</v>
      </c>
      <c r="C771" s="2" t="s">
        <v>1826</v>
      </c>
      <c r="D771" s="2" t="e">
        <f>VLOOKUP(C:C,Vlookup!A:A,1,0)</f>
        <v>#N/A</v>
      </c>
      <c r="E771" s="2">
        <v>14</v>
      </c>
      <c r="F771" s="17" t="s">
        <v>10</v>
      </c>
      <c r="G771" s="17" t="s">
        <v>25</v>
      </c>
      <c r="H771" s="2" t="s">
        <v>11</v>
      </c>
      <c r="I771" s="2">
        <v>1</v>
      </c>
      <c r="J771" s="5">
        <v>46098</v>
      </c>
      <c r="K771" s="5">
        <v>46099</v>
      </c>
      <c r="L771" s="2" t="s">
        <v>865</v>
      </c>
      <c r="M771" s="5">
        <v>45754</v>
      </c>
      <c r="N771" s="3">
        <f>VLOOKUP(NavDataRegion[[#This Row],[Spool No]],[1]Sheet2!$B:$U,20,0)</f>
        <v>61.053879999999999</v>
      </c>
      <c r="O771" s="2">
        <v>6</v>
      </c>
      <c r="P771" s="2">
        <v>2</v>
      </c>
      <c r="Q771" s="2"/>
    </row>
    <row r="772" spans="1:17" ht="20.100000000000001" customHeight="1">
      <c r="A772" s="2" t="s">
        <v>9</v>
      </c>
      <c r="B772" s="2" t="s">
        <v>1209</v>
      </c>
      <c r="C772" s="2" t="s">
        <v>1210</v>
      </c>
      <c r="D772" s="2" t="e">
        <f>VLOOKUP(C:C,Vlookup!A:A,1,0)</f>
        <v>#N/A</v>
      </c>
      <c r="E772" s="2">
        <v>14</v>
      </c>
      <c r="F772" s="17" t="s">
        <v>10</v>
      </c>
      <c r="G772" s="17" t="s">
        <v>25</v>
      </c>
      <c r="H772" s="2" t="s">
        <v>11</v>
      </c>
      <c r="I772" s="2">
        <v>1</v>
      </c>
      <c r="J772" s="5">
        <v>46105</v>
      </c>
      <c r="K772" s="5">
        <v>46106</v>
      </c>
      <c r="L772" s="2" t="s">
        <v>865</v>
      </c>
      <c r="M772" s="5">
        <v>45754</v>
      </c>
      <c r="N772" s="3">
        <f>VLOOKUP(NavDataRegion[[#This Row],[Spool No]],[1]Sheet2!$B:$U,20,0)</f>
        <v>9.3615600000000008</v>
      </c>
      <c r="O772" s="2">
        <v>6</v>
      </c>
      <c r="P772" s="2">
        <v>1</v>
      </c>
      <c r="Q772" s="2"/>
    </row>
    <row r="773" spans="1:17" ht="20.100000000000001" customHeight="1">
      <c r="A773" s="2" t="s">
        <v>9</v>
      </c>
      <c r="B773" s="2" t="s">
        <v>997</v>
      </c>
      <c r="C773" s="2" t="s">
        <v>998</v>
      </c>
      <c r="D773" s="2" t="e">
        <f>VLOOKUP(C:C,Vlookup!A:A,1,0)</f>
        <v>#N/A</v>
      </c>
      <c r="E773" s="2">
        <v>14</v>
      </c>
      <c r="F773" s="17" t="s">
        <v>10</v>
      </c>
      <c r="G773" s="17" t="s">
        <v>25</v>
      </c>
      <c r="H773" s="2" t="s">
        <v>11</v>
      </c>
      <c r="I773" s="2">
        <v>1</v>
      </c>
      <c r="J773" s="5">
        <v>46100</v>
      </c>
      <c r="K773" s="5">
        <v>46101</v>
      </c>
      <c r="L773" s="2" t="s">
        <v>865</v>
      </c>
      <c r="M773" s="5">
        <v>45754</v>
      </c>
      <c r="N773" s="3">
        <f>VLOOKUP(NavDataRegion[[#This Row],[Spool No]],[1]Sheet2!$B:$U,20,0)</f>
        <v>18.504999999999999</v>
      </c>
      <c r="O773" s="2">
        <v>5</v>
      </c>
      <c r="P773" s="2">
        <v>1</v>
      </c>
      <c r="Q773" s="2"/>
    </row>
    <row r="774" spans="1:17" ht="20.100000000000001" customHeight="1">
      <c r="A774" s="2" t="s">
        <v>9</v>
      </c>
      <c r="B774" s="2" t="s">
        <v>1041</v>
      </c>
      <c r="C774" s="2" t="s">
        <v>1694</v>
      </c>
      <c r="D774" s="2" t="e">
        <f>VLOOKUP(C:C,Vlookup!A:A,1,0)</f>
        <v>#N/A</v>
      </c>
      <c r="E774" s="2">
        <v>14</v>
      </c>
      <c r="F774" s="17" t="s">
        <v>10</v>
      </c>
      <c r="G774" s="17" t="s">
        <v>25</v>
      </c>
      <c r="H774" s="2" t="s">
        <v>11</v>
      </c>
      <c r="I774" s="2">
        <v>1</v>
      </c>
      <c r="J774" s="5">
        <v>46100</v>
      </c>
      <c r="K774" s="5">
        <v>46101</v>
      </c>
      <c r="L774" s="2" t="s">
        <v>865</v>
      </c>
      <c r="M774" s="5">
        <v>45754</v>
      </c>
      <c r="N774" s="3">
        <f>VLOOKUP(NavDataRegion[[#This Row],[Spool No]],[1]Sheet2!$B:$U,20,0)</f>
        <v>4.01532</v>
      </c>
      <c r="O774" s="2">
        <v>3</v>
      </c>
      <c r="P774" s="2">
        <v>1</v>
      </c>
      <c r="Q774" s="2"/>
    </row>
    <row r="775" spans="1:17" ht="20.100000000000001" customHeight="1">
      <c r="A775" s="2" t="s">
        <v>9</v>
      </c>
      <c r="B775" s="2" t="s">
        <v>1045</v>
      </c>
      <c r="C775" s="2" t="s">
        <v>1046</v>
      </c>
      <c r="D775" s="2" t="e">
        <f>VLOOKUP(C:C,Vlookup!A:A,1,0)</f>
        <v>#N/A</v>
      </c>
      <c r="E775" s="2">
        <v>14</v>
      </c>
      <c r="F775" s="17" t="s">
        <v>10</v>
      </c>
      <c r="G775" s="17" t="s">
        <v>25</v>
      </c>
      <c r="H775" s="2" t="s">
        <v>11</v>
      </c>
      <c r="I775" s="2">
        <v>1</v>
      </c>
      <c r="J775" s="5">
        <v>46100</v>
      </c>
      <c r="K775" s="5">
        <v>46101</v>
      </c>
      <c r="L775" s="2" t="s">
        <v>865</v>
      </c>
      <c r="M775" s="5">
        <v>45754</v>
      </c>
      <c r="N775" s="3">
        <f>VLOOKUP(NavDataRegion[[#This Row],[Spool No]],[1]Sheet2!$B:$U,20,0)</f>
        <v>2.63184</v>
      </c>
      <c r="O775" s="2">
        <v>3</v>
      </c>
      <c r="P775" s="2">
        <v>1</v>
      </c>
      <c r="Q775" s="2"/>
    </row>
    <row r="776" spans="1:17" ht="20.100000000000001" customHeight="1">
      <c r="A776" s="2" t="s">
        <v>9</v>
      </c>
      <c r="B776" s="2" t="s">
        <v>1223</v>
      </c>
      <c r="C776" s="2" t="s">
        <v>1224</v>
      </c>
      <c r="D776" s="2" t="e">
        <f>VLOOKUP(C:C,Vlookup!A:A,1,0)</f>
        <v>#N/A</v>
      </c>
      <c r="E776" s="2">
        <v>14</v>
      </c>
      <c r="F776" s="17" t="s">
        <v>10</v>
      </c>
      <c r="G776" s="17" t="s">
        <v>25</v>
      </c>
      <c r="H776" s="2" t="s">
        <v>11</v>
      </c>
      <c r="I776" s="2">
        <v>1</v>
      </c>
      <c r="J776" s="5">
        <v>46105</v>
      </c>
      <c r="K776" s="5">
        <v>46106</v>
      </c>
      <c r="L776" s="2" t="s">
        <v>865</v>
      </c>
      <c r="M776" s="5">
        <v>45754</v>
      </c>
      <c r="N776" s="3">
        <f>VLOOKUP(NavDataRegion[[#This Row],[Spool No]],[1]Sheet2!$B:$U,20,0)</f>
        <v>8.3864400000000003</v>
      </c>
      <c r="O776" s="2">
        <v>6</v>
      </c>
      <c r="P776" s="2">
        <v>1</v>
      </c>
      <c r="Q776" s="2"/>
    </row>
    <row r="777" spans="1:17" ht="20.100000000000001" customHeight="1">
      <c r="A777" s="2" t="s">
        <v>9</v>
      </c>
      <c r="B777" s="2" t="s">
        <v>909</v>
      </c>
      <c r="C777" s="2" t="s">
        <v>1462</v>
      </c>
      <c r="D777" s="2" t="e">
        <f>VLOOKUP(C:C,Vlookup!A:A,1,0)</f>
        <v>#N/A</v>
      </c>
      <c r="E777" s="2">
        <v>16</v>
      </c>
      <c r="F777" s="17" t="s">
        <v>10</v>
      </c>
      <c r="G777" s="17" t="s">
        <v>281</v>
      </c>
      <c r="H777" s="2" t="s">
        <v>11</v>
      </c>
      <c r="I777" s="2">
        <v>1</v>
      </c>
      <c r="J777" s="5">
        <v>46112</v>
      </c>
      <c r="K777" s="5">
        <v>46118</v>
      </c>
      <c r="L777" s="2" t="s">
        <v>865</v>
      </c>
      <c r="M777" s="5">
        <v>46167</v>
      </c>
      <c r="N777" s="3">
        <f>VLOOKUP(NavDataRegion[[#This Row],[Spool No]],[1]Sheet2!$B:$U,20,0)</f>
        <v>3.7130000000000001</v>
      </c>
      <c r="O777" s="2">
        <v>4.5</v>
      </c>
      <c r="P777" s="2">
        <v>0.75</v>
      </c>
      <c r="Q777" s="2"/>
    </row>
    <row r="778" spans="1:17" ht="20.100000000000001" customHeight="1">
      <c r="A778" s="2" t="s">
        <v>9</v>
      </c>
      <c r="B778" s="2" t="s">
        <v>1085</v>
      </c>
      <c r="C778" s="2" t="s">
        <v>1086</v>
      </c>
      <c r="D778" s="2" t="e">
        <f>VLOOKUP(C:C,Vlookup!A:A,1,0)</f>
        <v>#N/A</v>
      </c>
      <c r="E778" s="2">
        <v>14</v>
      </c>
      <c r="F778" s="17" t="s">
        <v>10</v>
      </c>
      <c r="G778" s="17" t="s">
        <v>25</v>
      </c>
      <c r="H778" s="2" t="s">
        <v>11</v>
      </c>
      <c r="I778" s="2">
        <v>1</v>
      </c>
      <c r="J778" s="5">
        <v>46100</v>
      </c>
      <c r="K778" s="5">
        <v>46101</v>
      </c>
      <c r="L778" s="2" t="s">
        <v>865</v>
      </c>
      <c r="M778" s="5">
        <v>45754</v>
      </c>
      <c r="N778" s="3">
        <f>VLOOKUP(NavDataRegion[[#This Row],[Spool No]],[1]Sheet2!$B:$U,20,0)</f>
        <v>9.2689199999999996</v>
      </c>
      <c r="O778" s="2">
        <v>6</v>
      </c>
      <c r="P778" s="2">
        <v>1</v>
      </c>
      <c r="Q778" s="2"/>
    </row>
    <row r="779" spans="1:17" ht="20.100000000000001" customHeight="1">
      <c r="A779" s="2" t="s">
        <v>9</v>
      </c>
      <c r="B779" s="2" t="s">
        <v>1241</v>
      </c>
      <c r="C779" s="2" t="s">
        <v>1242</v>
      </c>
      <c r="D779" s="2" t="e">
        <f>VLOOKUP(C:C,Vlookup!A:A,1,0)</f>
        <v>#N/A</v>
      </c>
      <c r="E779" s="2">
        <v>14</v>
      </c>
      <c r="F779" s="17" t="s">
        <v>10</v>
      </c>
      <c r="G779" s="17" t="s">
        <v>25</v>
      </c>
      <c r="H779" s="2" t="s">
        <v>11</v>
      </c>
      <c r="I779" s="2">
        <v>1</v>
      </c>
      <c r="J779" s="5">
        <v>46105</v>
      </c>
      <c r="K779" s="5">
        <v>46106</v>
      </c>
      <c r="L779" s="2" t="s">
        <v>865</v>
      </c>
      <c r="M779" s="5">
        <v>45754</v>
      </c>
      <c r="N779" s="3">
        <f>VLOOKUP(NavDataRegion[[#This Row],[Spool No]],[1]Sheet2!$B:$U,20,0)</f>
        <v>12.93268</v>
      </c>
      <c r="O779" s="2">
        <v>4</v>
      </c>
      <c r="P779" s="2">
        <v>1</v>
      </c>
      <c r="Q779" s="2"/>
    </row>
    <row r="780" spans="1:17" ht="20.100000000000001" customHeight="1">
      <c r="A780" s="2" t="s">
        <v>9</v>
      </c>
      <c r="B780" s="2" t="s">
        <v>965</v>
      </c>
      <c r="C780" s="2" t="s">
        <v>1677</v>
      </c>
      <c r="D780" s="2" t="e">
        <f>VLOOKUP(C:C,Vlookup!A:A,1,0)</f>
        <v>#N/A</v>
      </c>
      <c r="E780" s="2">
        <v>14</v>
      </c>
      <c r="F780" s="17" t="s">
        <v>10</v>
      </c>
      <c r="G780" s="17" t="s">
        <v>25</v>
      </c>
      <c r="H780" s="2" t="s">
        <v>11</v>
      </c>
      <c r="I780" s="2">
        <v>1</v>
      </c>
      <c r="J780" s="5">
        <v>46100</v>
      </c>
      <c r="K780" s="5">
        <v>46107</v>
      </c>
      <c r="L780" s="2" t="s">
        <v>865</v>
      </c>
      <c r="M780" s="5">
        <v>45754</v>
      </c>
      <c r="N780" s="3">
        <f>VLOOKUP(NavDataRegion[[#This Row],[Spool No]],[1]Sheet2!$B:$U,20,0)</f>
        <v>46.92944</v>
      </c>
      <c r="O780" s="2">
        <v>4</v>
      </c>
      <c r="P780" s="2">
        <v>1</v>
      </c>
      <c r="Q780" s="2" t="s">
        <v>1953</v>
      </c>
    </row>
    <row r="781" spans="1:17" ht="20.100000000000001" customHeight="1">
      <c r="A781" s="2" t="s">
        <v>9</v>
      </c>
      <c r="B781" s="2" t="s">
        <v>342</v>
      </c>
      <c r="C781" s="2" t="s">
        <v>487</v>
      </c>
      <c r="D781" s="2" t="e">
        <f>VLOOKUP(C:C,Vlookup!A:A,1,0)</f>
        <v>#N/A</v>
      </c>
      <c r="E781" s="2">
        <v>18</v>
      </c>
      <c r="F781" s="2" t="s">
        <v>10</v>
      </c>
      <c r="G781" s="2" t="s">
        <v>16</v>
      </c>
      <c r="H781" s="2" t="s">
        <v>11</v>
      </c>
      <c r="I781" s="2">
        <v>1</v>
      </c>
      <c r="J781" s="5">
        <v>46112</v>
      </c>
      <c r="K781" s="5">
        <v>46113</v>
      </c>
      <c r="L781" s="2" t="s">
        <v>865</v>
      </c>
      <c r="M781" s="5">
        <v>45754</v>
      </c>
      <c r="N781" s="3">
        <f>VLOOKUP(NavDataRegion[[#This Row],[Spool No]],[1]Sheet2!$B:$U,20,0)</f>
        <v>466.32756659199998</v>
      </c>
      <c r="O781" s="2">
        <v>42</v>
      </c>
      <c r="P781" s="2">
        <v>6</v>
      </c>
      <c r="Q781" s="2"/>
    </row>
    <row r="782" spans="1:17" ht="20.100000000000001" customHeight="1">
      <c r="A782" s="2" t="s">
        <v>9</v>
      </c>
      <c r="B782" s="2" t="s">
        <v>975</v>
      </c>
      <c r="C782" s="2" t="s">
        <v>1493</v>
      </c>
      <c r="D782" s="2" t="e">
        <f>VLOOKUP(C:C,Vlookup!A:A,1,0)</f>
        <v>#N/A</v>
      </c>
      <c r="E782" s="2">
        <v>14</v>
      </c>
      <c r="F782" s="17" t="s">
        <v>10</v>
      </c>
      <c r="G782" s="17" t="s">
        <v>25</v>
      </c>
      <c r="H782" s="2" t="s">
        <v>11</v>
      </c>
      <c r="I782" s="2">
        <v>1</v>
      </c>
      <c r="J782" s="5">
        <v>46093</v>
      </c>
      <c r="K782" s="5">
        <v>46094</v>
      </c>
      <c r="L782" s="2" t="s">
        <v>865</v>
      </c>
      <c r="M782" s="5">
        <v>45754</v>
      </c>
      <c r="N782" s="3">
        <f>VLOOKUP(NavDataRegion[[#This Row],[Spool No]],[1]Sheet2!$B:$U,20,0)</f>
        <v>8.1495599999999992</v>
      </c>
      <c r="O782" s="2">
        <v>3</v>
      </c>
      <c r="P782" s="2">
        <v>1</v>
      </c>
      <c r="Q782" s="2"/>
    </row>
    <row r="783" spans="1:17" ht="20.100000000000001" customHeight="1">
      <c r="A783" s="2" t="s">
        <v>9</v>
      </c>
      <c r="B783" s="2" t="s">
        <v>977</v>
      </c>
      <c r="C783" s="2" t="s">
        <v>1494</v>
      </c>
      <c r="D783" s="2" t="e">
        <f>VLOOKUP(C:C,Vlookup!A:A,1,0)</f>
        <v>#N/A</v>
      </c>
      <c r="E783" s="2">
        <v>14</v>
      </c>
      <c r="F783" s="17" t="s">
        <v>10</v>
      </c>
      <c r="G783" s="17" t="s">
        <v>25</v>
      </c>
      <c r="H783" s="2" t="s">
        <v>11</v>
      </c>
      <c r="I783" s="2">
        <v>1</v>
      </c>
      <c r="J783" s="5">
        <v>46093</v>
      </c>
      <c r="K783" s="5">
        <v>46094</v>
      </c>
      <c r="L783" s="2" t="s">
        <v>865</v>
      </c>
      <c r="M783" s="5">
        <v>45754</v>
      </c>
      <c r="N783" s="3">
        <f>VLOOKUP(NavDataRegion[[#This Row],[Spool No]],[1]Sheet2!$B:$U,20,0)</f>
        <v>5.9463600000000003</v>
      </c>
      <c r="O783" s="2">
        <v>3</v>
      </c>
      <c r="P783" s="2">
        <v>1</v>
      </c>
      <c r="Q783" s="2"/>
    </row>
    <row r="784" spans="1:17" ht="20.100000000000001" customHeight="1">
      <c r="A784" s="2" t="s">
        <v>9</v>
      </c>
      <c r="B784" s="2" t="s">
        <v>981</v>
      </c>
      <c r="C784" s="2" t="s">
        <v>1683</v>
      </c>
      <c r="D784" s="2" t="e">
        <f>VLOOKUP(C:C,Vlookup!A:A,1,0)</f>
        <v>#N/A</v>
      </c>
      <c r="E784" s="2">
        <v>14</v>
      </c>
      <c r="F784" s="17" t="s">
        <v>10</v>
      </c>
      <c r="G784" s="17" t="s">
        <v>25</v>
      </c>
      <c r="H784" s="2" t="s">
        <v>11</v>
      </c>
      <c r="I784" s="2">
        <v>1</v>
      </c>
      <c r="J784" s="5">
        <v>46093</v>
      </c>
      <c r="K784" s="5">
        <v>46094</v>
      </c>
      <c r="L784" s="2" t="s">
        <v>865</v>
      </c>
      <c r="M784" s="5">
        <v>45754</v>
      </c>
      <c r="N784" s="3">
        <f>VLOOKUP(NavDataRegion[[#This Row],[Spool No]],[1]Sheet2!$B:$U,20,0)</f>
        <v>11.668200000000001</v>
      </c>
      <c r="O784" s="2">
        <v>2.25</v>
      </c>
      <c r="P784" s="2">
        <v>0.75</v>
      </c>
      <c r="Q784" s="2"/>
    </row>
    <row r="785" spans="1:17" ht="20.100000000000001" customHeight="1">
      <c r="A785" s="2" t="s">
        <v>9</v>
      </c>
      <c r="B785" s="2" t="s">
        <v>1019</v>
      </c>
      <c r="C785" s="2" t="s">
        <v>1020</v>
      </c>
      <c r="D785" s="2" t="e">
        <f>VLOOKUP(C:C,Vlookup!A:A,1,0)</f>
        <v>#N/A</v>
      </c>
      <c r="E785" s="2">
        <v>14</v>
      </c>
      <c r="F785" s="17" t="s">
        <v>10</v>
      </c>
      <c r="G785" s="17" t="s">
        <v>25</v>
      </c>
      <c r="H785" s="2" t="s">
        <v>11</v>
      </c>
      <c r="I785" s="2">
        <v>1</v>
      </c>
      <c r="J785" s="5">
        <v>46106</v>
      </c>
      <c r="K785" s="5">
        <v>46107</v>
      </c>
      <c r="L785" s="2" t="s">
        <v>865</v>
      </c>
      <c r="M785" s="5">
        <v>45754</v>
      </c>
      <c r="N785" s="3">
        <f>VLOOKUP(NavDataRegion[[#This Row],[Spool No]],[1]Sheet2!$B:$U,20,0)</f>
        <v>24.618600000000001</v>
      </c>
      <c r="O785" s="2">
        <v>2</v>
      </c>
      <c r="P785" s="2">
        <v>1</v>
      </c>
      <c r="Q785" s="2"/>
    </row>
    <row r="786" spans="1:17" ht="20.100000000000001" customHeight="1">
      <c r="A786" s="2" t="s">
        <v>9</v>
      </c>
      <c r="B786" s="2" t="s">
        <v>1089</v>
      </c>
      <c r="C786" s="2" t="s">
        <v>1702</v>
      </c>
      <c r="D786" s="2" t="e">
        <f>VLOOKUP(C:C,Vlookup!A:A,1,0)</f>
        <v>#N/A</v>
      </c>
      <c r="E786" s="2">
        <v>14</v>
      </c>
      <c r="F786" s="17" t="s">
        <v>10</v>
      </c>
      <c r="G786" s="17" t="s">
        <v>25</v>
      </c>
      <c r="H786" s="2" t="s">
        <v>11</v>
      </c>
      <c r="I786" s="2">
        <v>1</v>
      </c>
      <c r="J786" s="5">
        <v>46100</v>
      </c>
      <c r="K786" s="5">
        <v>46101</v>
      </c>
      <c r="L786" s="2" t="s">
        <v>865</v>
      </c>
      <c r="M786" s="5">
        <v>45754</v>
      </c>
      <c r="N786" s="3">
        <f>VLOOKUP(NavDataRegion[[#This Row],[Spool No]],[1]Sheet2!$B:$U,20,0)</f>
        <v>4.47492</v>
      </c>
      <c r="O786" s="2">
        <v>1</v>
      </c>
      <c r="P786" s="2">
        <v>1</v>
      </c>
      <c r="Q786" s="2"/>
    </row>
    <row r="787" spans="1:17" ht="20.100000000000001" customHeight="1">
      <c r="A787" s="2" t="s">
        <v>9</v>
      </c>
      <c r="B787" s="2" t="s">
        <v>1177</v>
      </c>
      <c r="C787" s="2" t="s">
        <v>1178</v>
      </c>
      <c r="D787" s="2" t="e">
        <f>VLOOKUP(C:C,Vlookup!A:A,1,0)</f>
        <v>#N/A</v>
      </c>
      <c r="E787" s="2">
        <v>14</v>
      </c>
      <c r="F787" s="17" t="s">
        <v>10</v>
      </c>
      <c r="G787" s="17" t="s">
        <v>25</v>
      </c>
      <c r="H787" s="2" t="s">
        <v>11</v>
      </c>
      <c r="I787" s="2">
        <v>1</v>
      </c>
      <c r="J787" s="5">
        <v>46098</v>
      </c>
      <c r="K787" s="5">
        <v>46099</v>
      </c>
      <c r="L787" s="2" t="s">
        <v>865</v>
      </c>
      <c r="M787" s="5">
        <v>45754</v>
      </c>
      <c r="N787" s="3">
        <f>VLOOKUP(NavDataRegion[[#This Row],[Spool No]],[1]Sheet2!$B:$U,20,0)</f>
        <v>9.3615600000000008</v>
      </c>
      <c r="O787" s="2">
        <v>6</v>
      </c>
      <c r="P787" s="2">
        <v>1</v>
      </c>
      <c r="Q787" s="2"/>
    </row>
    <row r="788" spans="1:17" ht="20.100000000000001" customHeight="1">
      <c r="A788" s="2" t="s">
        <v>9</v>
      </c>
      <c r="B788" s="2" t="s">
        <v>1183</v>
      </c>
      <c r="C788" s="2" t="s">
        <v>1184</v>
      </c>
      <c r="D788" s="2" t="e">
        <f>VLOOKUP(C:C,Vlookup!A:A,1,0)</f>
        <v>#N/A</v>
      </c>
      <c r="E788" s="2">
        <v>14</v>
      </c>
      <c r="F788" s="17" t="s">
        <v>10</v>
      </c>
      <c r="G788" s="17" t="s">
        <v>25</v>
      </c>
      <c r="H788" s="2" t="s">
        <v>11</v>
      </c>
      <c r="I788" s="2">
        <v>1</v>
      </c>
      <c r="J788" s="5">
        <v>46098</v>
      </c>
      <c r="K788" s="5">
        <v>46099</v>
      </c>
      <c r="L788" s="2" t="s">
        <v>865</v>
      </c>
      <c r="M788" s="5">
        <v>45754</v>
      </c>
      <c r="N788" s="3">
        <f>VLOOKUP(NavDataRegion[[#This Row],[Spool No]],[1]Sheet2!$B:$U,20,0)</f>
        <v>6.7173999999999996</v>
      </c>
      <c r="O788" s="2">
        <v>5.25</v>
      </c>
      <c r="P788" s="2">
        <v>0.75</v>
      </c>
      <c r="Q788" s="2"/>
    </row>
    <row r="789" spans="1:17" ht="20.100000000000001" customHeight="1">
      <c r="A789" s="2" t="s">
        <v>9</v>
      </c>
      <c r="B789" s="2" t="s">
        <v>1291</v>
      </c>
      <c r="C789" s="2" t="s">
        <v>1292</v>
      </c>
      <c r="D789" s="2" t="e">
        <f>VLOOKUP(C:C,Vlookup!A:A,1,0)</f>
        <v>#N/A</v>
      </c>
      <c r="E789" s="2">
        <v>14</v>
      </c>
      <c r="F789" s="17" t="s">
        <v>10</v>
      </c>
      <c r="G789" s="17" t="s">
        <v>25</v>
      </c>
      <c r="H789" s="2" t="s">
        <v>11</v>
      </c>
      <c r="I789" s="2">
        <v>1</v>
      </c>
      <c r="J789" s="5">
        <v>46105</v>
      </c>
      <c r="K789" s="5">
        <v>46106</v>
      </c>
      <c r="L789" s="2" t="s">
        <v>865</v>
      </c>
      <c r="M789" s="5">
        <v>45754</v>
      </c>
      <c r="N789" s="3">
        <f>VLOOKUP(NavDataRegion[[#This Row],[Spool No]],[1]Sheet2!$B:$U,20,0)</f>
        <v>13.35984</v>
      </c>
      <c r="O789" s="2">
        <v>6</v>
      </c>
      <c r="P789" s="2">
        <v>1</v>
      </c>
      <c r="Q789" s="2"/>
    </row>
    <row r="790" spans="1:17" ht="20.100000000000001" customHeight="1">
      <c r="A790" s="2" t="s">
        <v>9</v>
      </c>
      <c r="B790" s="2" t="s">
        <v>1185</v>
      </c>
      <c r="C790" s="2" t="s">
        <v>1565</v>
      </c>
      <c r="D790" s="2" t="e">
        <f>VLOOKUP(C:C,Vlookup!A:A,1,0)</f>
        <v>#N/A</v>
      </c>
      <c r="E790" s="2">
        <v>14</v>
      </c>
      <c r="F790" s="17" t="s">
        <v>10</v>
      </c>
      <c r="G790" s="17" t="s">
        <v>25</v>
      </c>
      <c r="H790" s="2" t="s">
        <v>11</v>
      </c>
      <c r="I790" s="2">
        <v>1</v>
      </c>
      <c r="J790" s="5">
        <v>46098</v>
      </c>
      <c r="K790" s="5">
        <v>46099</v>
      </c>
      <c r="L790" s="2" t="s">
        <v>865</v>
      </c>
      <c r="M790" s="5">
        <v>45754</v>
      </c>
      <c r="N790" s="3">
        <f>VLOOKUP(NavDataRegion[[#This Row],[Spool No]],[1]Sheet2!$B:$U,20,0)</f>
        <v>16.329039999999999</v>
      </c>
      <c r="O790" s="2">
        <v>2</v>
      </c>
      <c r="P790" s="2">
        <v>2</v>
      </c>
      <c r="Q790" s="2"/>
    </row>
    <row r="791" spans="1:17" ht="20.100000000000001" customHeight="1">
      <c r="A791" s="2" t="s">
        <v>9</v>
      </c>
      <c r="B791" s="2" t="s">
        <v>1185</v>
      </c>
      <c r="C791" s="2" t="s">
        <v>1723</v>
      </c>
      <c r="D791" s="2" t="e">
        <f>VLOOKUP(C:C,Vlookup!A:A,1,0)</f>
        <v>#N/A</v>
      </c>
      <c r="E791" s="2">
        <v>14</v>
      </c>
      <c r="F791" s="17" t="s">
        <v>10</v>
      </c>
      <c r="G791" s="17" t="s">
        <v>25</v>
      </c>
      <c r="H791" s="2" t="s">
        <v>11</v>
      </c>
      <c r="I791" s="2">
        <v>1</v>
      </c>
      <c r="J791" s="5">
        <v>46098</v>
      </c>
      <c r="K791" s="5">
        <v>46099</v>
      </c>
      <c r="L791" s="2" t="s">
        <v>865</v>
      </c>
      <c r="M791" s="5">
        <v>45754</v>
      </c>
      <c r="N791" s="3">
        <f>VLOOKUP(NavDataRegion[[#This Row],[Spool No]],[1]Sheet2!$B:$U,20,0)</f>
        <v>43.518839999999997</v>
      </c>
      <c r="O791" s="2">
        <v>2</v>
      </c>
      <c r="P791" s="2">
        <v>2</v>
      </c>
      <c r="Q791" s="2"/>
    </row>
    <row r="792" spans="1:17" ht="20.100000000000001" customHeight="1">
      <c r="A792" s="2" t="s">
        <v>9</v>
      </c>
      <c r="B792" s="2" t="s">
        <v>1185</v>
      </c>
      <c r="C792" s="2" t="s">
        <v>1925</v>
      </c>
      <c r="D792" s="2" t="e">
        <f>VLOOKUP(C:C,Vlookup!A:A,1,0)</f>
        <v>#N/A</v>
      </c>
      <c r="E792" s="2">
        <v>14</v>
      </c>
      <c r="F792" s="17" t="s">
        <v>10</v>
      </c>
      <c r="G792" s="17" t="s">
        <v>25</v>
      </c>
      <c r="H792" s="2" t="s">
        <v>11</v>
      </c>
      <c r="I792" s="2">
        <v>1</v>
      </c>
      <c r="J792" s="5">
        <v>46098</v>
      </c>
      <c r="K792" s="5">
        <v>46099</v>
      </c>
      <c r="L792" s="2" t="s">
        <v>865</v>
      </c>
      <c r="M792" s="5">
        <v>45754</v>
      </c>
      <c r="N792" s="3">
        <f>VLOOKUP(NavDataRegion[[#This Row],[Spool No]],[1]Sheet2!$B:$U,20,0)</f>
        <v>13.78884</v>
      </c>
      <c r="O792" s="2">
        <v>4</v>
      </c>
      <c r="P792" s="2">
        <v>2</v>
      </c>
      <c r="Q792" s="2"/>
    </row>
    <row r="793" spans="1:17" ht="20.100000000000001" customHeight="1">
      <c r="A793" s="2" t="s">
        <v>9</v>
      </c>
      <c r="B793" s="2" t="s">
        <v>1091</v>
      </c>
      <c r="C793" s="2" t="s">
        <v>1530</v>
      </c>
      <c r="D793" s="2" t="e">
        <f>VLOOKUP(C:C,Vlookup!A:A,1,0)</f>
        <v>#N/A</v>
      </c>
      <c r="E793" s="2">
        <v>14</v>
      </c>
      <c r="F793" s="17" t="s">
        <v>10</v>
      </c>
      <c r="G793" s="17" t="s">
        <v>25</v>
      </c>
      <c r="H793" s="2" t="s">
        <v>11</v>
      </c>
      <c r="I793" s="2">
        <v>1</v>
      </c>
      <c r="J793" s="5">
        <v>46100</v>
      </c>
      <c r="K793" s="5">
        <v>46101</v>
      </c>
      <c r="L793" s="2" t="s">
        <v>865</v>
      </c>
      <c r="M793" s="5">
        <v>45754</v>
      </c>
      <c r="N793" s="3">
        <f>VLOOKUP(NavDataRegion[[#This Row],[Spool No]],[1]Sheet2!$B:$U,20,0)</f>
        <v>13.116</v>
      </c>
      <c r="O793" s="2">
        <v>5</v>
      </c>
      <c r="P793" s="2">
        <v>1</v>
      </c>
      <c r="Q793" s="2"/>
    </row>
    <row r="794" spans="1:17" ht="20.100000000000001" customHeight="1">
      <c r="A794" s="2" t="s">
        <v>9</v>
      </c>
      <c r="B794" s="2" t="s">
        <v>1323</v>
      </c>
      <c r="C794" s="2" t="s">
        <v>1324</v>
      </c>
      <c r="D794" s="2" t="e">
        <f>VLOOKUP(C:C,Vlookup!A:A,1,0)</f>
        <v>#N/A</v>
      </c>
      <c r="E794" s="2">
        <v>16</v>
      </c>
      <c r="F794" s="17" t="s">
        <v>10</v>
      </c>
      <c r="G794" s="17" t="s">
        <v>25</v>
      </c>
      <c r="H794" s="2" t="s">
        <v>11</v>
      </c>
      <c r="I794" s="2">
        <v>1</v>
      </c>
      <c r="J794" s="5">
        <v>46107</v>
      </c>
      <c r="K794" s="5">
        <v>46111</v>
      </c>
      <c r="L794" s="2" t="s">
        <v>865</v>
      </c>
      <c r="M794" s="5">
        <v>46167</v>
      </c>
      <c r="N794" s="3">
        <f>VLOOKUP(NavDataRegion[[#This Row],[Spool No]],[1]Sheet2!$B:$U,20,0)</f>
        <v>8.8103999999999996</v>
      </c>
      <c r="O794" s="2">
        <v>3</v>
      </c>
      <c r="P794" s="2">
        <v>1</v>
      </c>
      <c r="Q794" s="2"/>
    </row>
    <row r="795" spans="1:17" ht="20.100000000000001" customHeight="1">
      <c r="A795" s="2" t="s">
        <v>9</v>
      </c>
      <c r="B795" s="2" t="s">
        <v>1187</v>
      </c>
      <c r="C795" s="2" t="s">
        <v>1566</v>
      </c>
      <c r="D795" s="2" t="e">
        <f>VLOOKUP(C:C,Vlookup!A:A,1,0)</f>
        <v>#N/A</v>
      </c>
      <c r="E795" s="2">
        <v>14</v>
      </c>
      <c r="F795" s="17" t="s">
        <v>10</v>
      </c>
      <c r="G795" s="17" t="s">
        <v>25</v>
      </c>
      <c r="H795" s="2" t="s">
        <v>11</v>
      </c>
      <c r="I795" s="2">
        <v>1</v>
      </c>
      <c r="J795" s="5">
        <v>46098</v>
      </c>
      <c r="K795" s="5">
        <v>46099</v>
      </c>
      <c r="L795" s="2" t="s">
        <v>865</v>
      </c>
      <c r="M795" s="5">
        <v>45754</v>
      </c>
      <c r="N795" s="3">
        <f>VLOOKUP(NavDataRegion[[#This Row],[Spool No]],[1]Sheet2!$B:$U,20,0)</f>
        <v>3.327</v>
      </c>
      <c r="O795" s="2">
        <v>2.25</v>
      </c>
      <c r="P795" s="2">
        <v>0.75</v>
      </c>
      <c r="Q795" s="2"/>
    </row>
    <row r="796" spans="1:17" ht="20.100000000000001" customHeight="1">
      <c r="A796" s="2" t="s">
        <v>9</v>
      </c>
      <c r="B796" s="2" t="s">
        <v>1333</v>
      </c>
      <c r="C796" s="2" t="s">
        <v>1334</v>
      </c>
      <c r="D796" s="2" t="e">
        <f>VLOOKUP(C:C,Vlookup!A:A,1,0)</f>
        <v>#N/A</v>
      </c>
      <c r="E796" s="2">
        <v>14</v>
      </c>
      <c r="F796" s="17" t="s">
        <v>10</v>
      </c>
      <c r="G796" s="17" t="s">
        <v>25</v>
      </c>
      <c r="H796" s="2" t="s">
        <v>11</v>
      </c>
      <c r="I796" s="2">
        <v>1</v>
      </c>
      <c r="J796" s="5">
        <v>46105</v>
      </c>
      <c r="K796" s="5">
        <v>46106</v>
      </c>
      <c r="L796" s="2" t="s">
        <v>865</v>
      </c>
      <c r="M796" s="5">
        <v>45754</v>
      </c>
      <c r="N796" s="3">
        <f>VLOOKUP(NavDataRegion[[#This Row],[Spool No]],[1]Sheet2!$B:$U,20,0)</f>
        <v>7.06128</v>
      </c>
      <c r="O796" s="2">
        <v>6</v>
      </c>
      <c r="P796" s="2">
        <v>1</v>
      </c>
      <c r="Q796" s="2"/>
    </row>
    <row r="797" spans="1:17" ht="20.100000000000001" customHeight="1">
      <c r="A797" s="2" t="s">
        <v>9</v>
      </c>
      <c r="B797" s="2" t="s">
        <v>1335</v>
      </c>
      <c r="C797" s="2" t="s">
        <v>1336</v>
      </c>
      <c r="D797" s="2" t="e">
        <f>VLOOKUP(C:C,Vlookup!A:A,1,0)</f>
        <v>#N/A</v>
      </c>
      <c r="E797" s="2">
        <v>14</v>
      </c>
      <c r="F797" s="17" t="s">
        <v>10</v>
      </c>
      <c r="G797" s="17" t="s">
        <v>25</v>
      </c>
      <c r="H797" s="2" t="s">
        <v>11</v>
      </c>
      <c r="I797" s="2">
        <v>1</v>
      </c>
      <c r="J797" s="5">
        <v>46105</v>
      </c>
      <c r="K797" s="5">
        <v>46106</v>
      </c>
      <c r="L797" s="2" t="s">
        <v>865</v>
      </c>
      <c r="M797" s="5">
        <v>45754</v>
      </c>
      <c r="N797" s="3">
        <f>VLOOKUP(NavDataRegion[[#This Row],[Spool No]],[1]Sheet2!$B:$U,20,0)</f>
        <v>6.0860399999999997</v>
      </c>
      <c r="O797" s="2">
        <v>5</v>
      </c>
      <c r="P797" s="2">
        <v>1</v>
      </c>
      <c r="Q797" s="2"/>
    </row>
    <row r="798" spans="1:17" ht="20.100000000000001" customHeight="1">
      <c r="A798" s="2" t="s">
        <v>9</v>
      </c>
      <c r="B798" s="2" t="s">
        <v>1101</v>
      </c>
      <c r="C798" s="2" t="s">
        <v>1102</v>
      </c>
      <c r="D798" s="2" t="e">
        <f>VLOOKUP(C:C,Vlookup!A:A,1,0)</f>
        <v>#N/A</v>
      </c>
      <c r="E798" s="2">
        <v>16</v>
      </c>
      <c r="F798" s="17" t="s">
        <v>10</v>
      </c>
      <c r="G798" s="17" t="s">
        <v>25</v>
      </c>
      <c r="H798" s="2" t="s">
        <v>11</v>
      </c>
      <c r="I798" s="2">
        <v>1</v>
      </c>
      <c r="J798" s="5">
        <v>46112</v>
      </c>
      <c r="K798" s="5">
        <v>46118</v>
      </c>
      <c r="L798" s="2" t="s">
        <v>865</v>
      </c>
      <c r="M798" s="5">
        <v>46167</v>
      </c>
      <c r="N798" s="3">
        <f>VLOOKUP(NavDataRegion[[#This Row],[Spool No]],[1]Sheet2!$B:$U,20,0)</f>
        <v>4.2904</v>
      </c>
      <c r="O798" s="2">
        <v>4.5</v>
      </c>
      <c r="P798" s="2">
        <v>0.75</v>
      </c>
      <c r="Q798" s="2"/>
    </row>
    <row r="799" spans="1:17" ht="20.100000000000001" customHeight="1">
      <c r="A799" s="2" t="s">
        <v>9</v>
      </c>
      <c r="B799" s="2" t="s">
        <v>973</v>
      </c>
      <c r="C799" s="2" t="s">
        <v>1798</v>
      </c>
      <c r="D799" s="2" t="e">
        <f>VLOOKUP(C:C,Vlookup!A:A,1,0)</f>
        <v>#N/A</v>
      </c>
      <c r="E799" s="2">
        <v>14</v>
      </c>
      <c r="F799" s="17" t="s">
        <v>10</v>
      </c>
      <c r="G799" s="17" t="s">
        <v>25</v>
      </c>
      <c r="H799" s="2" t="s">
        <v>11</v>
      </c>
      <c r="I799" s="2">
        <v>1</v>
      </c>
      <c r="J799" s="5">
        <v>46100</v>
      </c>
      <c r="K799" s="5">
        <v>46107</v>
      </c>
      <c r="L799" s="2" t="s">
        <v>865</v>
      </c>
      <c r="M799" s="5">
        <v>45754</v>
      </c>
      <c r="N799" s="3">
        <f>VLOOKUP(NavDataRegion[[#This Row],[Spool No]],[1]Sheet2!$B:$U,20,0)</f>
        <v>47.029879999999999</v>
      </c>
      <c r="O799" s="2">
        <v>4</v>
      </c>
      <c r="P799" s="2">
        <v>1</v>
      </c>
      <c r="Q799" s="2" t="s">
        <v>1953</v>
      </c>
    </row>
    <row r="800" spans="1:17" ht="20.100000000000001" customHeight="1">
      <c r="A800" s="2" t="s">
        <v>9</v>
      </c>
      <c r="B800" s="2" t="s">
        <v>975</v>
      </c>
      <c r="C800" s="2" t="s">
        <v>1681</v>
      </c>
      <c r="D800" s="2" t="e">
        <f>VLOOKUP(C:C,Vlookup!A:A,1,0)</f>
        <v>#N/A</v>
      </c>
      <c r="E800" s="2">
        <v>14</v>
      </c>
      <c r="F800" s="17" t="s">
        <v>10</v>
      </c>
      <c r="G800" s="17" t="s">
        <v>25</v>
      </c>
      <c r="H800" s="2" t="s">
        <v>11</v>
      </c>
      <c r="I800" s="2">
        <v>1</v>
      </c>
      <c r="J800" s="5">
        <v>46100</v>
      </c>
      <c r="K800" s="5">
        <v>46107</v>
      </c>
      <c r="L800" s="2" t="s">
        <v>865</v>
      </c>
      <c r="M800" s="5">
        <v>45754</v>
      </c>
      <c r="N800" s="3">
        <f>VLOOKUP(NavDataRegion[[#This Row],[Spool No]],[1]Sheet2!$B:$U,20,0)</f>
        <v>47.02664</v>
      </c>
      <c r="O800" s="2">
        <v>4</v>
      </c>
      <c r="P800" s="2">
        <v>1</v>
      </c>
      <c r="Q800" s="2" t="s">
        <v>1953</v>
      </c>
    </row>
    <row r="801" spans="1:17" ht="20.100000000000001" customHeight="1">
      <c r="A801" s="2" t="s">
        <v>9</v>
      </c>
      <c r="B801" s="2" t="s">
        <v>1383</v>
      </c>
      <c r="C801" s="2" t="s">
        <v>1384</v>
      </c>
      <c r="D801" s="2" t="e">
        <f>VLOOKUP(C:C,Vlookup!A:A,1,0)</f>
        <v>#N/A</v>
      </c>
      <c r="E801" s="2">
        <v>16</v>
      </c>
      <c r="F801" s="17" t="s">
        <v>10</v>
      </c>
      <c r="G801" s="17" t="s">
        <v>25</v>
      </c>
      <c r="H801" s="2" t="s">
        <v>11</v>
      </c>
      <c r="I801" s="2">
        <v>1</v>
      </c>
      <c r="J801" s="5">
        <v>46115</v>
      </c>
      <c r="K801" s="5">
        <v>46118</v>
      </c>
      <c r="L801" s="2" t="s">
        <v>865</v>
      </c>
      <c r="M801" s="5">
        <v>46167</v>
      </c>
      <c r="N801" s="3">
        <f>VLOOKUP(NavDataRegion[[#This Row],[Spool No]],[1]Sheet2!$B:$U,20,0)</f>
        <v>15.991160000000001</v>
      </c>
      <c r="O801" s="2">
        <v>10</v>
      </c>
      <c r="P801" s="2">
        <v>1</v>
      </c>
      <c r="Q801" s="2"/>
    </row>
    <row r="802" spans="1:17" ht="20.100000000000001" customHeight="1">
      <c r="A802" s="2" t="s">
        <v>9</v>
      </c>
      <c r="B802" s="2" t="s">
        <v>215</v>
      </c>
      <c r="C802" s="2" t="s">
        <v>425</v>
      </c>
      <c r="D802" s="2" t="e">
        <f>VLOOKUP(C:C,Vlookup!A:A,1,0)</f>
        <v>#N/A</v>
      </c>
      <c r="E802" s="2">
        <v>18</v>
      </c>
      <c r="F802" s="2" t="s">
        <v>426</v>
      </c>
      <c r="G802" s="2" t="s">
        <v>25</v>
      </c>
      <c r="H802" s="2" t="s">
        <v>11</v>
      </c>
      <c r="I802" s="2">
        <v>1</v>
      </c>
      <c r="J802" s="5">
        <v>46100</v>
      </c>
      <c r="K802" s="5">
        <v>46113</v>
      </c>
      <c r="L802" s="2" t="s">
        <v>865</v>
      </c>
      <c r="M802" s="5">
        <v>45754</v>
      </c>
      <c r="N802" s="3">
        <f>VLOOKUP(NavDataRegion[[#This Row],[Spool No]],[1]Sheet2!$B:$U,20,0)</f>
        <v>197.86215000000001</v>
      </c>
      <c r="O802" s="2">
        <v>40</v>
      </c>
      <c r="P802" s="2">
        <v>8</v>
      </c>
      <c r="Q802" s="2"/>
    </row>
    <row r="803" spans="1:17" ht="20.100000000000001" customHeight="1">
      <c r="A803" s="2" t="s">
        <v>9</v>
      </c>
      <c r="B803" s="2" t="s">
        <v>983</v>
      </c>
      <c r="C803" s="2" t="s">
        <v>1497</v>
      </c>
      <c r="D803" s="2" t="e">
        <f>VLOOKUP(C:C,Vlookup!A:A,1,0)</f>
        <v>#N/A</v>
      </c>
      <c r="E803" s="2">
        <v>14</v>
      </c>
      <c r="F803" s="17" t="s">
        <v>10</v>
      </c>
      <c r="G803" s="17" t="s">
        <v>25</v>
      </c>
      <c r="H803" s="2" t="s">
        <v>11</v>
      </c>
      <c r="I803" s="2">
        <v>1</v>
      </c>
      <c r="J803" s="5">
        <v>46093</v>
      </c>
      <c r="K803" s="5">
        <v>46094</v>
      </c>
      <c r="L803" s="2" t="s">
        <v>865</v>
      </c>
      <c r="M803" s="5">
        <v>45754</v>
      </c>
      <c r="N803" s="3">
        <f>VLOOKUP(NavDataRegion[[#This Row],[Spool No]],[1]Sheet2!$B:$U,20,0)</f>
        <v>10.2174</v>
      </c>
      <c r="O803" s="2">
        <v>3.75</v>
      </c>
      <c r="P803" s="2">
        <v>0.75</v>
      </c>
      <c r="Q803" s="2"/>
    </row>
    <row r="804" spans="1:17" ht="20.100000000000001" customHeight="1">
      <c r="A804" s="2" t="s">
        <v>9</v>
      </c>
      <c r="B804" s="2" t="s">
        <v>1387</v>
      </c>
      <c r="C804" s="2" t="s">
        <v>1388</v>
      </c>
      <c r="D804" s="2" t="e">
        <f>VLOOKUP(C:C,Vlookup!A:A,1,0)</f>
        <v>#N/A</v>
      </c>
      <c r="E804" s="2">
        <v>14</v>
      </c>
      <c r="F804" s="17" t="s">
        <v>10</v>
      </c>
      <c r="G804" s="17" t="s">
        <v>25</v>
      </c>
      <c r="H804" s="2" t="s">
        <v>11</v>
      </c>
      <c r="I804" s="2">
        <v>1</v>
      </c>
      <c r="J804" s="5">
        <v>46105</v>
      </c>
      <c r="K804" s="5">
        <v>46106</v>
      </c>
      <c r="L804" s="2" t="s">
        <v>865</v>
      </c>
      <c r="M804" s="5">
        <v>45754</v>
      </c>
      <c r="N804" s="3">
        <f>VLOOKUP(NavDataRegion[[#This Row],[Spool No]],[1]Sheet2!$B:$U,20,0)</f>
        <v>8.5652000000000008</v>
      </c>
      <c r="O804" s="2">
        <v>3</v>
      </c>
      <c r="P804" s="2">
        <v>1</v>
      </c>
      <c r="Q804" s="2"/>
    </row>
    <row r="805" spans="1:17" ht="20.100000000000001" customHeight="1">
      <c r="A805" s="2" t="s">
        <v>9</v>
      </c>
      <c r="B805" s="2" t="s">
        <v>985</v>
      </c>
      <c r="C805" s="2" t="s">
        <v>986</v>
      </c>
      <c r="D805" s="2" t="e">
        <f>VLOOKUP(C:C,Vlookup!A:A,1,0)</f>
        <v>#N/A</v>
      </c>
      <c r="E805" s="2">
        <v>14</v>
      </c>
      <c r="F805" s="17" t="s">
        <v>10</v>
      </c>
      <c r="G805" s="17" t="s">
        <v>25</v>
      </c>
      <c r="H805" s="2" t="s">
        <v>11</v>
      </c>
      <c r="I805" s="2">
        <v>1</v>
      </c>
      <c r="J805" s="5">
        <v>46093</v>
      </c>
      <c r="K805" s="5">
        <v>46094</v>
      </c>
      <c r="L805" s="2" t="s">
        <v>865</v>
      </c>
      <c r="M805" s="5">
        <v>45754</v>
      </c>
      <c r="N805" s="3">
        <f>VLOOKUP(NavDataRegion[[#This Row],[Spool No]],[1]Sheet2!$B:$U,20,0)</f>
        <v>3.2532000000000001</v>
      </c>
      <c r="O805" s="2">
        <v>2.25</v>
      </c>
      <c r="P805" s="2">
        <v>0.75</v>
      </c>
      <c r="Q805" s="2"/>
    </row>
    <row r="806" spans="1:17" ht="20.100000000000001" customHeight="1">
      <c r="A806" s="2" t="s">
        <v>9</v>
      </c>
      <c r="B806" s="2" t="s">
        <v>264</v>
      </c>
      <c r="C806" s="2" t="s">
        <v>453</v>
      </c>
      <c r="D806" s="2" t="e">
        <f>VLOOKUP(C:C,Vlookup!A:A,1,0)</f>
        <v>#N/A</v>
      </c>
      <c r="E806" s="2">
        <v>18</v>
      </c>
      <c r="F806" s="2" t="s">
        <v>10</v>
      </c>
      <c r="G806" s="2" t="s">
        <v>16</v>
      </c>
      <c r="H806" s="2" t="s">
        <v>11</v>
      </c>
      <c r="I806" s="2">
        <v>1</v>
      </c>
      <c r="J806" s="5">
        <v>46111</v>
      </c>
      <c r="K806" s="5">
        <v>46113</v>
      </c>
      <c r="L806" s="2" t="s">
        <v>865</v>
      </c>
      <c r="M806" s="5">
        <v>45754</v>
      </c>
      <c r="N806" s="3">
        <f>VLOOKUP(NavDataRegion[[#This Row],[Spool No]],[1]Sheet2!$B:$U,20,0)</f>
        <v>783.27938121600005</v>
      </c>
      <c r="O806" s="2">
        <v>72</v>
      </c>
      <c r="P806" s="2">
        <v>8</v>
      </c>
      <c r="Q806" s="2"/>
    </row>
    <row r="807" spans="1:17" ht="20.100000000000001" customHeight="1">
      <c r="A807" s="2" t="s">
        <v>9</v>
      </c>
      <c r="B807" s="2" t="s">
        <v>907</v>
      </c>
      <c r="C807" s="2" t="s">
        <v>908</v>
      </c>
      <c r="D807" s="2" t="e">
        <f>VLOOKUP(C:C,Vlookup!A:A,1,0)</f>
        <v>#N/A</v>
      </c>
      <c r="E807" s="2">
        <v>16</v>
      </c>
      <c r="F807" s="17" t="s">
        <v>10</v>
      </c>
      <c r="G807" s="17" t="s">
        <v>281</v>
      </c>
      <c r="H807" s="2" t="s">
        <v>11</v>
      </c>
      <c r="I807" s="2">
        <v>1</v>
      </c>
      <c r="J807" s="5">
        <v>46113</v>
      </c>
      <c r="K807" s="5">
        <v>46118</v>
      </c>
      <c r="L807" s="2" t="s">
        <v>865</v>
      </c>
      <c r="M807" s="5">
        <v>46167</v>
      </c>
      <c r="N807" s="3">
        <f>VLOOKUP(NavDataRegion[[#This Row],[Spool No]],[1]Sheet2!$B:$U,20,0)</f>
        <v>16.253830000000001</v>
      </c>
      <c r="O807" s="2">
        <v>3</v>
      </c>
      <c r="P807" s="2">
        <v>1</v>
      </c>
      <c r="Q807" s="2"/>
    </row>
    <row r="808" spans="1:17" ht="20.100000000000001" customHeight="1">
      <c r="A808" s="2" t="s">
        <v>9</v>
      </c>
      <c r="B808" s="2" t="s">
        <v>987</v>
      </c>
      <c r="C808" s="2" t="s">
        <v>988</v>
      </c>
      <c r="D808" s="2" t="e">
        <f>VLOOKUP(C:C,Vlookup!A:A,1,0)</f>
        <v>#N/A</v>
      </c>
      <c r="E808" s="2">
        <v>14</v>
      </c>
      <c r="F808" s="17" t="s">
        <v>10</v>
      </c>
      <c r="G808" s="17" t="s">
        <v>25</v>
      </c>
      <c r="H808" s="2" t="s">
        <v>11</v>
      </c>
      <c r="I808" s="2">
        <v>1</v>
      </c>
      <c r="J808" s="5">
        <v>46093</v>
      </c>
      <c r="K808" s="5">
        <v>46094</v>
      </c>
      <c r="L808" s="2" t="s">
        <v>865</v>
      </c>
      <c r="M808" s="5">
        <v>45754</v>
      </c>
      <c r="N808" s="3">
        <f>VLOOKUP(NavDataRegion[[#This Row],[Spool No]],[1]Sheet2!$B:$U,20,0)</f>
        <v>2.37588</v>
      </c>
      <c r="O808" s="2">
        <v>3</v>
      </c>
      <c r="P808" s="2">
        <v>1</v>
      </c>
      <c r="Q808" s="2"/>
    </row>
    <row r="809" spans="1:17" ht="20.100000000000001" customHeight="1">
      <c r="A809" s="2" t="s">
        <v>9</v>
      </c>
      <c r="B809" s="2" t="s">
        <v>977</v>
      </c>
      <c r="C809" s="2" t="s">
        <v>1682</v>
      </c>
      <c r="D809" s="2" t="e">
        <f>VLOOKUP(C:C,Vlookup!A:A,1,0)</f>
        <v>#N/A</v>
      </c>
      <c r="E809" s="2">
        <v>14</v>
      </c>
      <c r="F809" s="17" t="s">
        <v>10</v>
      </c>
      <c r="G809" s="17" t="s">
        <v>25</v>
      </c>
      <c r="H809" s="2" t="s">
        <v>11</v>
      </c>
      <c r="I809" s="2">
        <v>1</v>
      </c>
      <c r="J809" s="5">
        <v>46100</v>
      </c>
      <c r="K809" s="5">
        <v>46107</v>
      </c>
      <c r="L809" s="2" t="s">
        <v>865</v>
      </c>
      <c r="M809" s="5">
        <v>45754</v>
      </c>
      <c r="N809" s="3">
        <f>VLOOKUP(NavDataRegion[[#This Row],[Spool No]],[1]Sheet2!$B:$U,20,0)</f>
        <v>47.02664</v>
      </c>
      <c r="O809" s="2">
        <v>4</v>
      </c>
      <c r="P809" s="2">
        <v>1</v>
      </c>
      <c r="Q809" s="2" t="s">
        <v>1953</v>
      </c>
    </row>
    <row r="810" spans="1:17" ht="20.100000000000001" customHeight="1">
      <c r="A810" s="2" t="s">
        <v>9</v>
      </c>
      <c r="B810" s="2" t="s">
        <v>1395</v>
      </c>
      <c r="C810" s="2" t="s">
        <v>1396</v>
      </c>
      <c r="D810" s="2" t="e">
        <f>VLOOKUP(C:C,Vlookup!A:A,1,0)</f>
        <v>#N/A</v>
      </c>
      <c r="E810" s="2">
        <v>16</v>
      </c>
      <c r="F810" s="17" t="s">
        <v>10</v>
      </c>
      <c r="G810" s="17" t="s">
        <v>25</v>
      </c>
      <c r="H810" s="2" t="s">
        <v>11</v>
      </c>
      <c r="I810" s="2">
        <v>1</v>
      </c>
      <c r="J810" s="5">
        <v>46107</v>
      </c>
      <c r="K810" s="5">
        <v>46111</v>
      </c>
      <c r="L810" s="2" t="s">
        <v>865</v>
      </c>
      <c r="M810" s="5">
        <v>46167</v>
      </c>
      <c r="N810" s="3">
        <f>VLOOKUP(NavDataRegion[[#This Row],[Spool No]],[1]Sheet2!$B:$U,20,0)</f>
        <v>22.068719999999999</v>
      </c>
      <c r="O810" s="2">
        <v>2</v>
      </c>
      <c r="P810" s="2">
        <v>1</v>
      </c>
      <c r="Q810" s="2"/>
    </row>
    <row r="811" spans="1:17" ht="20.100000000000001" customHeight="1">
      <c r="A811" s="2" t="s">
        <v>9</v>
      </c>
      <c r="B811" s="2" t="s">
        <v>1403</v>
      </c>
      <c r="C811" s="2" t="s">
        <v>1404</v>
      </c>
      <c r="D811" s="2" t="e">
        <f>VLOOKUP(C:C,Vlookup!A:A,1,0)</f>
        <v>#N/A</v>
      </c>
      <c r="E811" s="2">
        <v>14</v>
      </c>
      <c r="F811" s="17" t="s">
        <v>10</v>
      </c>
      <c r="G811" s="17" t="s">
        <v>25</v>
      </c>
      <c r="H811" s="2" t="s">
        <v>11</v>
      </c>
      <c r="I811" s="2">
        <v>1</v>
      </c>
      <c r="J811" s="5">
        <v>46105</v>
      </c>
      <c r="K811" s="5">
        <v>46106</v>
      </c>
      <c r="L811" s="2" t="s">
        <v>865</v>
      </c>
      <c r="M811" s="5">
        <v>45754</v>
      </c>
      <c r="N811" s="3">
        <f>VLOOKUP(NavDataRegion[[#This Row],[Spool No]],[1]Sheet2!$B:$U,20,0)</f>
        <v>26.09592</v>
      </c>
      <c r="O811" s="2">
        <v>25</v>
      </c>
      <c r="P811" s="2">
        <v>1</v>
      </c>
      <c r="Q811" s="2"/>
    </row>
    <row r="812" spans="1:17" ht="20.100000000000001" customHeight="1">
      <c r="A812" s="2" t="s">
        <v>9</v>
      </c>
      <c r="B812" s="2" t="s">
        <v>1091</v>
      </c>
      <c r="C812" s="2" t="s">
        <v>1919</v>
      </c>
      <c r="D812" s="2" t="e">
        <f>VLOOKUP(C:C,Vlookup!A:A,1,0)</f>
        <v>#N/A</v>
      </c>
      <c r="E812" s="2">
        <v>14</v>
      </c>
      <c r="F812" s="17" t="s">
        <v>10</v>
      </c>
      <c r="G812" s="17" t="s">
        <v>25</v>
      </c>
      <c r="H812" s="2" t="s">
        <v>11</v>
      </c>
      <c r="I812" s="2">
        <v>1</v>
      </c>
      <c r="J812" s="5">
        <v>46100</v>
      </c>
      <c r="K812" s="5">
        <v>46101</v>
      </c>
      <c r="L812" s="2" t="s">
        <v>865</v>
      </c>
      <c r="M812" s="5">
        <v>45754</v>
      </c>
      <c r="N812" s="3">
        <f>VLOOKUP(NavDataRegion[[#This Row],[Spool No]],[1]Sheet2!$B:$U,20,0)</f>
        <v>4.2161999999999997</v>
      </c>
      <c r="O812" s="2">
        <v>4</v>
      </c>
      <c r="P812" s="2">
        <v>1</v>
      </c>
      <c r="Q812" s="2"/>
    </row>
    <row r="813" spans="1:17" ht="20.100000000000001" customHeight="1">
      <c r="A813" s="2" t="s">
        <v>9</v>
      </c>
      <c r="B813" s="2" t="s">
        <v>1095</v>
      </c>
      <c r="C813" s="2" t="s">
        <v>1096</v>
      </c>
      <c r="D813" s="2" t="e">
        <f>VLOOKUP(C:C,Vlookup!A:A,1,0)</f>
        <v>#N/A</v>
      </c>
      <c r="E813" s="2">
        <v>14</v>
      </c>
      <c r="F813" s="17" t="s">
        <v>10</v>
      </c>
      <c r="G813" s="17" t="s">
        <v>25</v>
      </c>
      <c r="H813" s="2" t="s">
        <v>11</v>
      </c>
      <c r="I813" s="2">
        <v>1</v>
      </c>
      <c r="J813" s="5">
        <v>46100</v>
      </c>
      <c r="K813" s="5">
        <v>46101</v>
      </c>
      <c r="L813" s="2" t="s">
        <v>865</v>
      </c>
      <c r="M813" s="5">
        <v>45754</v>
      </c>
      <c r="N813" s="3">
        <f>VLOOKUP(NavDataRegion[[#This Row],[Spool No]],[1]Sheet2!$B:$U,20,0)</f>
        <v>5.4214799999999999</v>
      </c>
      <c r="O813" s="2">
        <v>3</v>
      </c>
      <c r="P813" s="2">
        <v>1</v>
      </c>
      <c r="Q813" s="2"/>
    </row>
    <row r="814" spans="1:17" ht="20.100000000000001" customHeight="1">
      <c r="A814" s="2" t="s">
        <v>9</v>
      </c>
      <c r="B814" s="2" t="s">
        <v>1191</v>
      </c>
      <c r="C814" s="2" t="s">
        <v>1192</v>
      </c>
      <c r="D814" s="2" t="e">
        <f>VLOOKUP(C:C,Vlookup!A:A,1,0)</f>
        <v>#N/A</v>
      </c>
      <c r="E814" s="2">
        <v>14</v>
      </c>
      <c r="F814" s="17" t="s">
        <v>10</v>
      </c>
      <c r="G814" s="17" t="s">
        <v>25</v>
      </c>
      <c r="H814" s="2" t="s">
        <v>11</v>
      </c>
      <c r="I814" s="2">
        <v>1</v>
      </c>
      <c r="J814" s="5">
        <v>46098</v>
      </c>
      <c r="K814" s="5">
        <v>46099</v>
      </c>
      <c r="L814" s="2" t="s">
        <v>865</v>
      </c>
      <c r="M814" s="5">
        <v>45754</v>
      </c>
      <c r="N814" s="3">
        <f>VLOOKUP(NavDataRegion[[#This Row],[Spool No]],[1]Sheet2!$B:$U,20,0)</f>
        <v>7.1558400000000004</v>
      </c>
      <c r="O814" s="2">
        <v>5</v>
      </c>
      <c r="P814" s="2">
        <v>1</v>
      </c>
      <c r="Q814" s="2"/>
    </row>
    <row r="815" spans="1:17" ht="20.100000000000001" customHeight="1">
      <c r="A815" s="2" t="s">
        <v>9</v>
      </c>
      <c r="B815" s="2" t="s">
        <v>1421</v>
      </c>
      <c r="C815" s="2" t="s">
        <v>1422</v>
      </c>
      <c r="D815" s="2" t="e">
        <f>VLOOKUP(C:C,Vlookup!A:A,1,0)</f>
        <v>#N/A</v>
      </c>
      <c r="E815" s="2">
        <v>14</v>
      </c>
      <c r="F815" s="17" t="s">
        <v>10</v>
      </c>
      <c r="G815" s="17" t="s">
        <v>25</v>
      </c>
      <c r="H815" s="2" t="s">
        <v>11</v>
      </c>
      <c r="I815" s="2">
        <v>1</v>
      </c>
      <c r="J815" s="5">
        <v>46105</v>
      </c>
      <c r="K815" s="5">
        <v>46106</v>
      </c>
      <c r="L815" s="2" t="s">
        <v>865</v>
      </c>
      <c r="M815" s="5">
        <v>45754</v>
      </c>
      <c r="N815" s="3">
        <f>VLOOKUP(NavDataRegion[[#This Row],[Spool No]],[1]Sheet2!$B:$U,20,0)</f>
        <v>9.3615600000000008</v>
      </c>
      <c r="O815" s="2">
        <v>6</v>
      </c>
      <c r="P815" s="2">
        <v>1</v>
      </c>
      <c r="Q815" s="2"/>
    </row>
    <row r="816" spans="1:17" ht="20.100000000000001" customHeight="1">
      <c r="A816" s="2" t="s">
        <v>9</v>
      </c>
      <c r="B816" s="2" t="s">
        <v>1191</v>
      </c>
      <c r="C816" s="2" t="s">
        <v>1567</v>
      </c>
      <c r="D816" s="2" t="e">
        <f>VLOOKUP(C:C,Vlookup!A:A,1,0)</f>
        <v>#N/A</v>
      </c>
      <c r="E816" s="2">
        <v>14</v>
      </c>
      <c r="F816" s="17" t="s">
        <v>10</v>
      </c>
      <c r="G816" s="17" t="s">
        <v>25</v>
      </c>
      <c r="H816" s="2" t="s">
        <v>11</v>
      </c>
      <c r="I816" s="2">
        <v>1</v>
      </c>
      <c r="J816" s="5">
        <v>46098</v>
      </c>
      <c r="K816" s="5">
        <v>46099</v>
      </c>
      <c r="L816" s="2" t="s">
        <v>865</v>
      </c>
      <c r="M816" s="5">
        <v>45754</v>
      </c>
      <c r="N816" s="3">
        <f>VLOOKUP(NavDataRegion[[#This Row],[Spool No]],[1]Sheet2!$B:$U,20,0)</f>
        <v>10.77744</v>
      </c>
      <c r="O816" s="2">
        <v>4</v>
      </c>
      <c r="P816" s="2">
        <v>1</v>
      </c>
      <c r="Q816" s="2"/>
    </row>
    <row r="817" spans="1:17" ht="20.100000000000001" customHeight="1">
      <c r="A817" s="2" t="s">
        <v>9</v>
      </c>
      <c r="B817" s="2" t="s">
        <v>1191</v>
      </c>
      <c r="C817" s="2" t="s">
        <v>1724</v>
      </c>
      <c r="D817" s="2" t="e">
        <f>VLOOKUP(C:C,Vlookup!A:A,1,0)</f>
        <v>#N/A</v>
      </c>
      <c r="E817" s="2">
        <v>14</v>
      </c>
      <c r="F817" s="17" t="s">
        <v>10</v>
      </c>
      <c r="G817" s="17" t="s">
        <v>25</v>
      </c>
      <c r="H817" s="2" t="s">
        <v>11</v>
      </c>
      <c r="I817" s="2">
        <v>1</v>
      </c>
      <c r="J817" s="5">
        <v>46098</v>
      </c>
      <c r="K817" s="5">
        <v>46099</v>
      </c>
      <c r="L817" s="2" t="s">
        <v>865</v>
      </c>
      <c r="M817" s="5">
        <v>45754</v>
      </c>
      <c r="N817" s="3">
        <f>VLOOKUP(NavDataRegion[[#This Row],[Spool No]],[1]Sheet2!$B:$U,20,0)</f>
        <v>8.0551200000000005</v>
      </c>
      <c r="O817" s="2">
        <v>1</v>
      </c>
      <c r="P817" s="2">
        <v>1</v>
      </c>
      <c r="Q817" s="2"/>
    </row>
    <row r="818" spans="1:17" ht="20.100000000000001" customHeight="1">
      <c r="A818" s="2" t="s">
        <v>9</v>
      </c>
      <c r="B818" s="2" t="s">
        <v>1193</v>
      </c>
      <c r="C818" s="2" t="s">
        <v>1194</v>
      </c>
      <c r="D818" s="2" t="e">
        <f>VLOOKUP(C:C,Vlookup!A:A,1,0)</f>
        <v>#N/A</v>
      </c>
      <c r="E818" s="2">
        <v>14</v>
      </c>
      <c r="F818" s="17" t="s">
        <v>10</v>
      </c>
      <c r="G818" s="17" t="s">
        <v>25</v>
      </c>
      <c r="H818" s="2" t="s">
        <v>11</v>
      </c>
      <c r="I818" s="2">
        <v>1</v>
      </c>
      <c r="J818" s="5">
        <v>46098</v>
      </c>
      <c r="K818" s="5">
        <v>46099</v>
      </c>
      <c r="L818" s="2" t="s">
        <v>865</v>
      </c>
      <c r="M818" s="5">
        <v>45754</v>
      </c>
      <c r="N818" s="3">
        <f>VLOOKUP(NavDataRegion[[#This Row],[Spool No]],[1]Sheet2!$B:$U,20,0)</f>
        <v>5.84328</v>
      </c>
      <c r="O818" s="2">
        <v>3</v>
      </c>
      <c r="P818" s="2">
        <v>1</v>
      </c>
      <c r="Q818" s="2"/>
    </row>
    <row r="819" spans="1:17" ht="20.100000000000001" customHeight="1">
      <c r="A819" s="2" t="s">
        <v>9</v>
      </c>
      <c r="B819" s="2" t="s">
        <v>1193</v>
      </c>
      <c r="C819" s="2" t="s">
        <v>1568</v>
      </c>
      <c r="D819" s="2" t="e">
        <f>VLOOKUP(C:C,Vlookup!A:A,1,0)</f>
        <v>#N/A</v>
      </c>
      <c r="E819" s="2">
        <v>14</v>
      </c>
      <c r="F819" s="17" t="s">
        <v>10</v>
      </c>
      <c r="G819" s="17" t="s">
        <v>25</v>
      </c>
      <c r="H819" s="2" t="s">
        <v>11</v>
      </c>
      <c r="I819" s="2">
        <v>1</v>
      </c>
      <c r="J819" s="5">
        <v>46098</v>
      </c>
      <c r="K819" s="5">
        <v>46099</v>
      </c>
      <c r="L819" s="2" t="s">
        <v>865</v>
      </c>
      <c r="M819" s="5">
        <v>45754</v>
      </c>
      <c r="N819" s="3">
        <f>VLOOKUP(NavDataRegion[[#This Row],[Spool No]],[1]Sheet2!$B:$U,20,0)</f>
        <v>13.08108</v>
      </c>
      <c r="O819" s="2">
        <v>4</v>
      </c>
      <c r="P819" s="2">
        <v>1</v>
      </c>
      <c r="Q819" s="2"/>
    </row>
    <row r="820" spans="1:17" ht="20.100000000000001" customHeight="1">
      <c r="A820" s="2" t="s">
        <v>9</v>
      </c>
      <c r="B820" s="2" t="s">
        <v>1195</v>
      </c>
      <c r="C820" s="2" t="s">
        <v>1196</v>
      </c>
      <c r="D820" s="2" t="e">
        <f>VLOOKUP(C:C,Vlookup!A:A,1,0)</f>
        <v>#N/A</v>
      </c>
      <c r="E820" s="2">
        <v>14</v>
      </c>
      <c r="F820" s="17" t="s">
        <v>10</v>
      </c>
      <c r="G820" s="17" t="s">
        <v>25</v>
      </c>
      <c r="H820" s="2" t="s">
        <v>11</v>
      </c>
      <c r="I820" s="2">
        <v>1</v>
      </c>
      <c r="J820" s="5">
        <v>46098</v>
      </c>
      <c r="K820" s="5">
        <v>46099</v>
      </c>
      <c r="L820" s="2" t="s">
        <v>865</v>
      </c>
      <c r="M820" s="5">
        <v>45754</v>
      </c>
      <c r="N820" s="3">
        <f>VLOOKUP(NavDataRegion[[#This Row],[Spool No]],[1]Sheet2!$B:$U,20,0)</f>
        <v>8.4297599999999999</v>
      </c>
      <c r="O820" s="2">
        <v>7</v>
      </c>
      <c r="P820" s="2">
        <v>1</v>
      </c>
      <c r="Q820" s="2"/>
    </row>
    <row r="821" spans="1:17" ht="20.100000000000001" customHeight="1">
      <c r="A821" s="13" t="s">
        <v>9</v>
      </c>
      <c r="B821" s="13" t="s">
        <v>1237</v>
      </c>
      <c r="C821" s="13" t="s">
        <v>1238</v>
      </c>
      <c r="D821" s="13" t="e">
        <f>VLOOKUP(C:C,Vlookup!A:A,1,0)</f>
        <v>#N/A</v>
      </c>
      <c r="E821" s="2">
        <v>16</v>
      </c>
      <c r="F821" s="17" t="s">
        <v>10</v>
      </c>
      <c r="G821" s="17" t="s">
        <v>25</v>
      </c>
      <c r="H821" s="2" t="s">
        <v>11</v>
      </c>
      <c r="I821" s="2">
        <v>1</v>
      </c>
      <c r="J821" s="5">
        <v>46113</v>
      </c>
      <c r="K821" s="5">
        <v>46118</v>
      </c>
      <c r="L821" s="2" t="s">
        <v>865</v>
      </c>
      <c r="M821" s="5">
        <v>46167</v>
      </c>
      <c r="N821" s="3">
        <f>VLOOKUP(NavDataRegion[[#This Row],[Spool No]],[1]Sheet2!$B:$U,20,0)</f>
        <v>40.709960000000002</v>
      </c>
      <c r="O821" s="2">
        <v>10</v>
      </c>
      <c r="P821" s="2">
        <v>1</v>
      </c>
      <c r="Q821" s="2"/>
    </row>
    <row r="822" spans="1:17" ht="20.100000000000001" customHeight="1">
      <c r="A822" s="2" t="s">
        <v>9</v>
      </c>
      <c r="B822" s="2" t="s">
        <v>1035</v>
      </c>
      <c r="C822" s="2" t="s">
        <v>1509</v>
      </c>
      <c r="D822" s="2" t="e">
        <f>VLOOKUP(C:C,Vlookup!A:A,1,0)</f>
        <v>#N/A</v>
      </c>
      <c r="E822" s="2">
        <v>14</v>
      </c>
      <c r="F822" s="17" t="s">
        <v>10</v>
      </c>
      <c r="G822" s="17" t="s">
        <v>25</v>
      </c>
      <c r="H822" s="2" t="s">
        <v>11</v>
      </c>
      <c r="I822" s="2">
        <v>1</v>
      </c>
      <c r="J822" s="5">
        <v>46105</v>
      </c>
      <c r="K822" s="5">
        <v>46107</v>
      </c>
      <c r="L822" s="2" t="s">
        <v>865</v>
      </c>
      <c r="M822" s="5">
        <v>45754</v>
      </c>
      <c r="N822" s="3">
        <f>VLOOKUP(NavDataRegion[[#This Row],[Spool No]],[1]Sheet2!$B:$U,20,0)</f>
        <v>12.51484</v>
      </c>
      <c r="O822" s="2">
        <v>18.5</v>
      </c>
      <c r="P822" s="2">
        <v>1.5</v>
      </c>
      <c r="Q822" s="2"/>
    </row>
    <row r="823" spans="1:17" ht="20.100000000000001" customHeight="1">
      <c r="A823" s="2" t="s">
        <v>9</v>
      </c>
      <c r="B823" s="2" t="s">
        <v>933</v>
      </c>
      <c r="C823" s="2" t="s">
        <v>1473</v>
      </c>
      <c r="D823" s="2" t="e">
        <f>VLOOKUP(C:C,Vlookup!A:A,1,0)</f>
        <v>#N/A</v>
      </c>
      <c r="E823" s="2">
        <v>16</v>
      </c>
      <c r="F823" s="17" t="s">
        <v>10</v>
      </c>
      <c r="G823" s="17" t="s">
        <v>25</v>
      </c>
      <c r="H823" s="2" t="s">
        <v>11</v>
      </c>
      <c r="I823" s="2">
        <v>1</v>
      </c>
      <c r="J823" s="5">
        <v>46115</v>
      </c>
      <c r="K823" s="5">
        <v>46118</v>
      </c>
      <c r="L823" s="2" t="s">
        <v>865</v>
      </c>
      <c r="M823" s="5">
        <v>46167</v>
      </c>
      <c r="N823" s="3">
        <f>VLOOKUP(NavDataRegion[[#This Row],[Spool No]],[1]Sheet2!$B:$U,20,0)</f>
        <v>39.209879999999998</v>
      </c>
      <c r="O823" s="2">
        <v>4</v>
      </c>
      <c r="P823" s="2">
        <v>1</v>
      </c>
      <c r="Q823" s="2"/>
    </row>
    <row r="824" spans="1:17" ht="20.100000000000001" customHeight="1">
      <c r="A824" s="2" t="s">
        <v>9</v>
      </c>
      <c r="B824" s="2" t="s">
        <v>991</v>
      </c>
      <c r="C824" s="2" t="s">
        <v>1501</v>
      </c>
      <c r="D824" s="2" t="e">
        <f>VLOOKUP(C:C,Vlookup!A:A,1,0)</f>
        <v>#N/A</v>
      </c>
      <c r="E824" s="2">
        <v>14</v>
      </c>
      <c r="F824" s="17" t="s">
        <v>10</v>
      </c>
      <c r="G824" s="17" t="s">
        <v>25</v>
      </c>
      <c r="H824" s="2" t="s">
        <v>11</v>
      </c>
      <c r="I824" s="2">
        <v>1</v>
      </c>
      <c r="J824" s="5">
        <v>46101</v>
      </c>
      <c r="K824" s="5">
        <v>46104</v>
      </c>
      <c r="L824" s="2" t="s">
        <v>865</v>
      </c>
      <c r="M824" s="5">
        <v>45754</v>
      </c>
      <c r="N824" s="3">
        <f>VLOOKUP(NavDataRegion[[#This Row],[Spool No]],[1]Sheet2!$B:$U,20,0)</f>
        <v>20.190000000000001</v>
      </c>
      <c r="O824" s="2">
        <v>2</v>
      </c>
      <c r="P824" s="2">
        <v>1</v>
      </c>
      <c r="Q824" s="2"/>
    </row>
    <row r="825" spans="1:17" ht="20.100000000000001" customHeight="1">
      <c r="A825" s="13" t="s">
        <v>9</v>
      </c>
      <c r="B825" s="13" t="s">
        <v>937</v>
      </c>
      <c r="C825" s="13" t="s">
        <v>1475</v>
      </c>
      <c r="D825" s="13" t="e">
        <f>VLOOKUP(C:C,Vlookup!A:A,1,0)</f>
        <v>#N/A</v>
      </c>
      <c r="E825" s="2">
        <v>16</v>
      </c>
      <c r="F825" s="17" t="s">
        <v>10</v>
      </c>
      <c r="G825" s="17" t="s">
        <v>25</v>
      </c>
      <c r="H825" s="2" t="s">
        <v>11</v>
      </c>
      <c r="I825" s="2">
        <v>1</v>
      </c>
      <c r="J825" s="5">
        <v>46115</v>
      </c>
      <c r="K825" s="5">
        <v>46118</v>
      </c>
      <c r="L825" s="2" t="s">
        <v>865</v>
      </c>
      <c r="M825" s="5">
        <v>46167</v>
      </c>
      <c r="N825" s="3">
        <f>VLOOKUP(NavDataRegion[[#This Row],[Spool No]],[1]Sheet2!$B:$U,20,0)</f>
        <v>39.167760000000001</v>
      </c>
      <c r="O825" s="2">
        <v>4</v>
      </c>
      <c r="P825" s="2">
        <v>1</v>
      </c>
      <c r="Q825" s="2"/>
    </row>
    <row r="826" spans="1:17" ht="20.100000000000001" customHeight="1">
      <c r="A826" s="2" t="s">
        <v>9</v>
      </c>
      <c r="B826" s="2" t="s">
        <v>991</v>
      </c>
      <c r="C826" s="2" t="s">
        <v>1875</v>
      </c>
      <c r="D826" s="2" t="e">
        <f>VLOOKUP(C:C,Vlookup!A:A,1,0)</f>
        <v>#N/A</v>
      </c>
      <c r="E826" s="2">
        <v>14</v>
      </c>
      <c r="F826" s="17" t="s">
        <v>10</v>
      </c>
      <c r="G826" s="17" t="s">
        <v>25</v>
      </c>
      <c r="H826" s="2" t="s">
        <v>11</v>
      </c>
      <c r="I826" s="2">
        <v>1</v>
      </c>
      <c r="J826" s="5">
        <v>46101</v>
      </c>
      <c r="K826" s="5">
        <v>46104</v>
      </c>
      <c r="L826" s="2" t="s">
        <v>865</v>
      </c>
      <c r="M826" s="5">
        <v>45754</v>
      </c>
      <c r="N826" s="3">
        <f>VLOOKUP(NavDataRegion[[#This Row],[Spool No]],[1]Sheet2!$B:$U,20,0)</f>
        <v>36.373800000000003</v>
      </c>
      <c r="O826" s="2">
        <v>4</v>
      </c>
      <c r="P826" s="2">
        <v>1</v>
      </c>
      <c r="Q826" s="2"/>
    </row>
    <row r="827" spans="1:17" ht="20.100000000000001" customHeight="1">
      <c r="A827" s="2" t="s">
        <v>9</v>
      </c>
      <c r="B827" s="2" t="s">
        <v>1361</v>
      </c>
      <c r="C827" s="2" t="s">
        <v>1362</v>
      </c>
      <c r="D827" s="2" t="e">
        <f>VLOOKUP(C:C,Vlookup!A:A,1,0)</f>
        <v>#N/A</v>
      </c>
      <c r="E827" s="2">
        <v>16</v>
      </c>
      <c r="F827" s="17" t="s">
        <v>10</v>
      </c>
      <c r="G827" s="17" t="s">
        <v>25</v>
      </c>
      <c r="H827" s="2" t="s">
        <v>11</v>
      </c>
      <c r="I827" s="2">
        <v>1</v>
      </c>
      <c r="J827" s="5">
        <v>46113</v>
      </c>
      <c r="K827" s="5">
        <v>46118</v>
      </c>
      <c r="L827" s="2" t="s">
        <v>865</v>
      </c>
      <c r="M827" s="5">
        <v>46167</v>
      </c>
      <c r="N827" s="3">
        <f>VLOOKUP(NavDataRegion[[#This Row],[Spool No]],[1]Sheet2!$B:$U,20,0)</f>
        <v>13.760759999999999</v>
      </c>
      <c r="O827" s="2">
        <v>10</v>
      </c>
      <c r="P827" s="2">
        <v>1</v>
      </c>
      <c r="Q827" s="2"/>
    </row>
    <row r="828" spans="1:17" ht="20.100000000000001" customHeight="1">
      <c r="A828" s="2" t="s">
        <v>9</v>
      </c>
      <c r="B828" s="2" t="s">
        <v>1009</v>
      </c>
      <c r="C828" s="2" t="s">
        <v>1010</v>
      </c>
      <c r="D828" s="2" t="e">
        <f>VLOOKUP(C:C,Vlookup!A:A,1,0)</f>
        <v>#N/A</v>
      </c>
      <c r="E828" s="2">
        <v>14</v>
      </c>
      <c r="F828" s="17" t="s">
        <v>10</v>
      </c>
      <c r="G828" s="17" t="s">
        <v>25</v>
      </c>
      <c r="H828" s="2" t="s">
        <v>11</v>
      </c>
      <c r="I828" s="2">
        <v>1</v>
      </c>
      <c r="J828" s="5">
        <v>46101</v>
      </c>
      <c r="K828" s="5">
        <v>46104</v>
      </c>
      <c r="L828" s="2" t="s">
        <v>865</v>
      </c>
      <c r="M828" s="5">
        <v>45754</v>
      </c>
      <c r="N828" s="3">
        <f>VLOOKUP(NavDataRegion[[#This Row],[Spool No]],[1]Sheet2!$B:$U,20,0)</f>
        <v>18.22636</v>
      </c>
      <c r="O828" s="2">
        <v>5</v>
      </c>
      <c r="P828" s="2">
        <v>1</v>
      </c>
      <c r="Q828" s="2"/>
    </row>
    <row r="829" spans="1:17" ht="20.100000000000001" customHeight="1">
      <c r="A829" s="2" t="s">
        <v>9</v>
      </c>
      <c r="B829" s="2" t="s">
        <v>1019</v>
      </c>
      <c r="C829" s="2" t="s">
        <v>1689</v>
      </c>
      <c r="D829" s="2" t="e">
        <f>VLOOKUP(C:C,Vlookup!A:A,1,0)</f>
        <v>#N/A</v>
      </c>
      <c r="E829" s="2">
        <v>16</v>
      </c>
      <c r="F829" s="17" t="s">
        <v>10</v>
      </c>
      <c r="G829" s="17" t="s">
        <v>25</v>
      </c>
      <c r="H829" s="2" t="s">
        <v>11</v>
      </c>
      <c r="I829" s="2">
        <v>1</v>
      </c>
      <c r="J829" s="5">
        <v>46105</v>
      </c>
      <c r="K829" s="5">
        <v>46108</v>
      </c>
      <c r="L829" s="2" t="s">
        <v>865</v>
      </c>
      <c r="M829" s="5">
        <v>46167</v>
      </c>
      <c r="N829" s="3">
        <f>VLOOKUP(NavDataRegion[[#This Row],[Spool No]],[1]Sheet2!$B:$U,20,0)</f>
        <v>16.38888</v>
      </c>
      <c r="O829" s="2">
        <v>3</v>
      </c>
      <c r="P829" s="2">
        <v>1</v>
      </c>
      <c r="Q829" s="2"/>
    </row>
    <row r="830" spans="1:17" ht="20.100000000000001" customHeight="1">
      <c r="A830" s="2" t="s">
        <v>9</v>
      </c>
      <c r="B830" s="2" t="s">
        <v>1047</v>
      </c>
      <c r="C830" s="2" t="s">
        <v>1515</v>
      </c>
      <c r="D830" s="2" t="e">
        <f>VLOOKUP(C:C,Vlookup!A:A,1,0)</f>
        <v>#N/A</v>
      </c>
      <c r="E830" s="2">
        <v>14</v>
      </c>
      <c r="F830" s="17" t="s">
        <v>10</v>
      </c>
      <c r="G830" s="17" t="s">
        <v>25</v>
      </c>
      <c r="H830" s="2" t="s">
        <v>11</v>
      </c>
      <c r="I830" s="2">
        <v>1</v>
      </c>
      <c r="J830" s="5">
        <v>46101</v>
      </c>
      <c r="K830" s="5">
        <v>46104</v>
      </c>
      <c r="L830" s="2" t="s">
        <v>865</v>
      </c>
      <c r="M830" s="5">
        <v>45754</v>
      </c>
      <c r="N830" s="3">
        <f>VLOOKUP(NavDataRegion[[#This Row],[Spool No]],[1]Sheet2!$B:$U,20,0)</f>
        <v>15.075559999999999</v>
      </c>
      <c r="O830" s="2">
        <v>3</v>
      </c>
      <c r="P830" s="2">
        <v>1</v>
      </c>
      <c r="Q830" s="2"/>
    </row>
    <row r="831" spans="1:17" ht="20.100000000000001" customHeight="1">
      <c r="A831" s="2" t="s">
        <v>9</v>
      </c>
      <c r="B831" s="2" t="s">
        <v>1061</v>
      </c>
      <c r="C831" s="2" t="s">
        <v>1520</v>
      </c>
      <c r="D831" s="2" t="e">
        <f>VLOOKUP(C:C,Vlookup!A:A,1,0)</f>
        <v>#N/A</v>
      </c>
      <c r="E831" s="2">
        <v>14</v>
      </c>
      <c r="F831" s="17" t="s">
        <v>10</v>
      </c>
      <c r="G831" s="17" t="s">
        <v>25</v>
      </c>
      <c r="H831" s="2" t="s">
        <v>11</v>
      </c>
      <c r="I831" s="2">
        <v>1</v>
      </c>
      <c r="J831" s="5">
        <v>46101</v>
      </c>
      <c r="K831" s="5">
        <v>46104</v>
      </c>
      <c r="L831" s="2" t="s">
        <v>865</v>
      </c>
      <c r="M831" s="5">
        <v>45754</v>
      </c>
      <c r="N831" s="3">
        <f>VLOOKUP(NavDataRegion[[#This Row],[Spool No]],[1]Sheet2!$B:$U,20,0)</f>
        <v>32.26896</v>
      </c>
      <c r="O831" s="2">
        <v>6</v>
      </c>
      <c r="P831" s="2">
        <v>1</v>
      </c>
      <c r="Q831" s="2"/>
    </row>
    <row r="832" spans="1:17" ht="20.100000000000001" customHeight="1">
      <c r="A832" s="2" t="s">
        <v>9</v>
      </c>
      <c r="B832" s="2" t="s">
        <v>971</v>
      </c>
      <c r="C832" s="2" t="s">
        <v>1491</v>
      </c>
      <c r="D832" s="2" t="e">
        <f>VLOOKUP(C:C,Vlookup!A:A,1,0)</f>
        <v>#N/A</v>
      </c>
      <c r="E832" s="2">
        <v>16</v>
      </c>
      <c r="F832" s="17" t="s">
        <v>10</v>
      </c>
      <c r="G832" s="17" t="s">
        <v>25</v>
      </c>
      <c r="H832" s="2" t="s">
        <v>11</v>
      </c>
      <c r="I832" s="2">
        <v>1</v>
      </c>
      <c r="J832" s="5">
        <v>46107</v>
      </c>
      <c r="K832" s="5">
        <v>46111</v>
      </c>
      <c r="L832" s="2" t="s">
        <v>865</v>
      </c>
      <c r="M832" s="5">
        <v>46167</v>
      </c>
      <c r="N832" s="3">
        <f>VLOOKUP(NavDataRegion[[#This Row],[Spool No]],[1]Sheet2!$B:$U,20,0)</f>
        <v>21.896879999999999</v>
      </c>
      <c r="O832" s="2">
        <v>3</v>
      </c>
      <c r="P832" s="2">
        <v>1</v>
      </c>
      <c r="Q832" s="2"/>
    </row>
    <row r="833" spans="1:17" ht="20.100000000000001" customHeight="1">
      <c r="A833" s="2" t="s">
        <v>9</v>
      </c>
      <c r="B833" s="2" t="s">
        <v>1019</v>
      </c>
      <c r="C833" s="2" t="s">
        <v>1801</v>
      </c>
      <c r="D833" s="2" t="e">
        <f>VLOOKUP(C:C,Vlookup!A:A,1,0)</f>
        <v>#N/A</v>
      </c>
      <c r="E833" s="2">
        <v>16</v>
      </c>
      <c r="F833" s="17" t="s">
        <v>10</v>
      </c>
      <c r="G833" s="17" t="s">
        <v>25</v>
      </c>
      <c r="H833" s="2" t="s">
        <v>11</v>
      </c>
      <c r="I833" s="2">
        <v>1</v>
      </c>
      <c r="J833" s="5">
        <v>46105</v>
      </c>
      <c r="K833" s="5">
        <v>46108</v>
      </c>
      <c r="L833" s="2" t="s">
        <v>865</v>
      </c>
      <c r="M833" s="5">
        <v>46167</v>
      </c>
      <c r="N833" s="3">
        <f>VLOOKUP(NavDataRegion[[#This Row],[Spool No]],[1]Sheet2!$B:$U,20,0)</f>
        <v>18.511559999999999</v>
      </c>
      <c r="O833" s="2">
        <v>4</v>
      </c>
      <c r="P833" s="2">
        <v>1</v>
      </c>
      <c r="Q833" s="2"/>
    </row>
    <row r="834" spans="1:17" ht="20.100000000000001" customHeight="1">
      <c r="A834" s="2" t="s">
        <v>9</v>
      </c>
      <c r="B834" s="2" t="s">
        <v>989</v>
      </c>
      <c r="C834" s="2" t="s">
        <v>1500</v>
      </c>
      <c r="D834" s="2" t="e">
        <f>VLOOKUP(C:C,Vlookup!A:A,1,0)</f>
        <v>#N/A</v>
      </c>
      <c r="E834" s="2">
        <v>14</v>
      </c>
      <c r="F834" s="17" t="s">
        <v>10</v>
      </c>
      <c r="G834" s="17" t="s">
        <v>25</v>
      </c>
      <c r="H834" s="2" t="s">
        <v>11</v>
      </c>
      <c r="I834" s="2">
        <v>1</v>
      </c>
      <c r="J834" s="5">
        <v>46105</v>
      </c>
      <c r="K834" s="5">
        <v>46106</v>
      </c>
      <c r="L834" s="2" t="s">
        <v>865</v>
      </c>
      <c r="M834" s="5">
        <v>45754</v>
      </c>
      <c r="N834" s="3">
        <f>VLOOKUP(NavDataRegion[[#This Row],[Spool No]],[1]Sheet2!$B:$U,20,0)</f>
        <v>25.615400000000001</v>
      </c>
      <c r="O834" s="2">
        <v>6</v>
      </c>
      <c r="P834" s="2">
        <v>1</v>
      </c>
      <c r="Q834" s="2"/>
    </row>
    <row r="835" spans="1:17" ht="20.100000000000001" customHeight="1">
      <c r="A835" s="2" t="s">
        <v>9</v>
      </c>
      <c r="B835" s="2" t="s">
        <v>1061</v>
      </c>
      <c r="C835" s="2" t="s">
        <v>1878</v>
      </c>
      <c r="D835" s="2" t="e">
        <f>VLOOKUP(C:C,Vlookup!A:A,1,0)</f>
        <v>#N/A</v>
      </c>
      <c r="E835" s="2">
        <v>14</v>
      </c>
      <c r="F835" s="17" t="s">
        <v>10</v>
      </c>
      <c r="G835" s="17" t="s">
        <v>25</v>
      </c>
      <c r="H835" s="2" t="s">
        <v>11</v>
      </c>
      <c r="I835" s="2">
        <v>1</v>
      </c>
      <c r="J835" s="5">
        <v>46101</v>
      </c>
      <c r="K835" s="5">
        <v>46104</v>
      </c>
      <c r="L835" s="2" t="s">
        <v>865</v>
      </c>
      <c r="M835" s="5">
        <v>45754</v>
      </c>
      <c r="N835" s="3">
        <f>VLOOKUP(NavDataRegion[[#This Row],[Spool No]],[1]Sheet2!$B:$U,20,0)</f>
        <v>20.24568</v>
      </c>
      <c r="O835" s="2">
        <v>3</v>
      </c>
      <c r="P835" s="2">
        <v>1</v>
      </c>
      <c r="Q835" s="2"/>
    </row>
    <row r="836" spans="1:17" ht="20.100000000000001" customHeight="1">
      <c r="A836" s="2" t="s">
        <v>9</v>
      </c>
      <c r="B836" s="2" t="s">
        <v>1017</v>
      </c>
      <c r="C836" s="2" t="s">
        <v>1505</v>
      </c>
      <c r="D836" s="2" t="e">
        <f>VLOOKUP(C:C,Vlookup!A:A,1,0)</f>
        <v>#N/A</v>
      </c>
      <c r="E836" s="2">
        <v>23</v>
      </c>
      <c r="F836" s="17" t="s">
        <v>10</v>
      </c>
      <c r="G836" s="17" t="s">
        <v>25</v>
      </c>
      <c r="H836" s="2" t="s">
        <v>11</v>
      </c>
      <c r="I836" s="2">
        <v>1</v>
      </c>
      <c r="J836" s="5">
        <v>46170</v>
      </c>
      <c r="K836" s="5">
        <v>46175</v>
      </c>
      <c r="L836" s="2" t="s">
        <v>865</v>
      </c>
      <c r="M836" s="5">
        <v>46185</v>
      </c>
      <c r="N836" s="3">
        <f>VLOOKUP(NavDataRegion[[#This Row],[Spool No]],[1]Sheet2!$B:$U,20,0)</f>
        <v>94.396000000000001</v>
      </c>
      <c r="O836" s="2">
        <v>7</v>
      </c>
      <c r="P836" s="2">
        <v>1</v>
      </c>
      <c r="Q836" s="2"/>
    </row>
    <row r="837" spans="1:17" ht="20.100000000000001" customHeight="1">
      <c r="A837" s="2" t="s">
        <v>9</v>
      </c>
      <c r="B837" s="2" t="s">
        <v>1019</v>
      </c>
      <c r="C837" s="2" t="s">
        <v>1506</v>
      </c>
      <c r="D837" s="2" t="e">
        <f>VLOOKUP(C:C,Vlookup!A:A,1,0)</f>
        <v>#N/A</v>
      </c>
      <c r="E837" s="2">
        <v>14</v>
      </c>
      <c r="F837" s="17" t="s">
        <v>10</v>
      </c>
      <c r="G837" s="17" t="s">
        <v>25</v>
      </c>
      <c r="H837" s="2" t="s">
        <v>11</v>
      </c>
      <c r="I837" s="2">
        <v>1</v>
      </c>
      <c r="J837" s="5">
        <v>46105</v>
      </c>
      <c r="K837" s="5">
        <v>46106</v>
      </c>
      <c r="L837" s="2" t="s">
        <v>865</v>
      </c>
      <c r="M837" s="5">
        <v>45754</v>
      </c>
      <c r="N837" s="3">
        <f>VLOOKUP(NavDataRegion[[#This Row],[Spool No]],[1]Sheet2!$B:$U,20,0)</f>
        <v>8.2111199999999993</v>
      </c>
      <c r="O837" s="2">
        <v>3</v>
      </c>
      <c r="P837" s="2">
        <v>1</v>
      </c>
      <c r="Q837" s="2"/>
    </row>
    <row r="838" spans="1:17" ht="20.100000000000001" customHeight="1">
      <c r="A838" s="2" t="s">
        <v>9</v>
      </c>
      <c r="B838" s="2" t="s">
        <v>1027</v>
      </c>
      <c r="C838" s="2" t="s">
        <v>1508</v>
      </c>
      <c r="D838" s="2" t="e">
        <f>VLOOKUP(C:C,Vlookup!A:A,1,0)</f>
        <v>#N/A</v>
      </c>
      <c r="E838" s="2">
        <v>16</v>
      </c>
      <c r="F838" s="17" t="s">
        <v>10</v>
      </c>
      <c r="G838" s="17" t="s">
        <v>25</v>
      </c>
      <c r="H838" s="2" t="s">
        <v>11</v>
      </c>
      <c r="I838" s="2">
        <v>1</v>
      </c>
      <c r="J838" s="5">
        <v>46118</v>
      </c>
      <c r="K838" s="5">
        <v>46120</v>
      </c>
      <c r="L838" s="2" t="s">
        <v>865</v>
      </c>
      <c r="M838" s="5">
        <v>46167</v>
      </c>
      <c r="N838" s="3">
        <f>VLOOKUP(NavDataRegion[[#This Row],[Spool No]],[1]Sheet2!$B:$U,20,0)</f>
        <v>34.424759999999999</v>
      </c>
      <c r="O838" s="2">
        <v>18</v>
      </c>
      <c r="P838" s="2">
        <v>1</v>
      </c>
      <c r="Q838" s="2"/>
    </row>
    <row r="839" spans="1:17" ht="20.100000000000001" customHeight="1">
      <c r="A839" s="2" t="s">
        <v>9</v>
      </c>
      <c r="B839" s="2" t="s">
        <v>987</v>
      </c>
      <c r="C839" s="2" t="s">
        <v>1499</v>
      </c>
      <c r="D839" s="2" t="e">
        <f>VLOOKUP(C:C,Vlookup!A:A,1,0)</f>
        <v>#N/A</v>
      </c>
      <c r="E839" s="2">
        <v>14</v>
      </c>
      <c r="F839" s="17" t="s">
        <v>10</v>
      </c>
      <c r="G839" s="17" t="s">
        <v>25</v>
      </c>
      <c r="H839" s="2" t="s">
        <v>11</v>
      </c>
      <c r="I839" s="2">
        <v>1</v>
      </c>
      <c r="J839" s="5">
        <v>46093</v>
      </c>
      <c r="K839" s="5">
        <v>46094</v>
      </c>
      <c r="L839" s="2" t="s">
        <v>865</v>
      </c>
      <c r="M839" s="5">
        <v>45754</v>
      </c>
      <c r="N839" s="3">
        <f>VLOOKUP(NavDataRegion[[#This Row],[Spool No]],[1]Sheet2!$B:$U,20,0)</f>
        <v>26.489719999999998</v>
      </c>
      <c r="O839" s="2">
        <v>4</v>
      </c>
      <c r="P839" s="2">
        <v>1</v>
      </c>
      <c r="Q839" s="2"/>
    </row>
    <row r="840" spans="1:17" ht="20.100000000000001" customHeight="1">
      <c r="A840" s="2" t="s">
        <v>9</v>
      </c>
      <c r="B840" s="2" t="s">
        <v>989</v>
      </c>
      <c r="C840" s="2" t="s">
        <v>990</v>
      </c>
      <c r="D840" s="2" t="e">
        <f>VLOOKUP(C:C,Vlookup!A:A,1,0)</f>
        <v>#N/A</v>
      </c>
      <c r="E840" s="2">
        <v>14</v>
      </c>
      <c r="F840" s="17" t="s">
        <v>10</v>
      </c>
      <c r="G840" s="17" t="s">
        <v>25</v>
      </c>
      <c r="H840" s="2" t="s">
        <v>11</v>
      </c>
      <c r="I840" s="2">
        <v>1</v>
      </c>
      <c r="J840" s="5">
        <v>46093</v>
      </c>
      <c r="K840" s="5">
        <v>46094</v>
      </c>
      <c r="L840" s="2" t="s">
        <v>865</v>
      </c>
      <c r="M840" s="5">
        <v>45754</v>
      </c>
      <c r="N840" s="3">
        <f>VLOOKUP(NavDataRegion[[#This Row],[Spool No]],[1]Sheet2!$B:$U,20,0)</f>
        <v>2.5540799999999999</v>
      </c>
      <c r="O840" s="2">
        <v>3</v>
      </c>
      <c r="P840" s="2">
        <v>1</v>
      </c>
      <c r="Q840" s="2"/>
    </row>
    <row r="841" spans="1:17" ht="20.100000000000001" customHeight="1">
      <c r="A841" s="2" t="s">
        <v>9</v>
      </c>
      <c r="B841" s="2" t="s">
        <v>1037</v>
      </c>
      <c r="C841" s="2" t="s">
        <v>1510</v>
      </c>
      <c r="D841" s="2" t="str">
        <f>VLOOKUP(C:C,Vlookup!A:A,1,0)</f>
        <v>V17551-PIND-0372-02</v>
      </c>
      <c r="E841" s="2">
        <v>25</v>
      </c>
      <c r="F841" s="17" t="s">
        <v>10</v>
      </c>
      <c r="G841" s="17" t="s">
        <v>25</v>
      </c>
      <c r="H841" s="2" t="s">
        <v>11</v>
      </c>
      <c r="I841" s="2">
        <v>1</v>
      </c>
      <c r="J841" s="5">
        <v>46216</v>
      </c>
      <c r="K841" s="5">
        <v>46216</v>
      </c>
      <c r="L841" s="2" t="s">
        <v>865</v>
      </c>
      <c r="M841" s="5">
        <v>46227</v>
      </c>
      <c r="N841" s="3">
        <f>VLOOKUP(NavDataRegion[[#This Row],[Spool No]],[1]Sheet2!$B:$U,20,0)</f>
        <v>114.55668</v>
      </c>
      <c r="O841" s="2">
        <v>6</v>
      </c>
      <c r="P841" s="2">
        <v>1</v>
      </c>
      <c r="Q841" s="2"/>
    </row>
    <row r="842" spans="1:17" ht="20.100000000000001" customHeight="1">
      <c r="A842" s="2" t="s">
        <v>9</v>
      </c>
      <c r="B842" s="2" t="s">
        <v>1039</v>
      </c>
      <c r="C842" s="2" t="s">
        <v>1511</v>
      </c>
      <c r="D842" s="2" t="e">
        <f>VLOOKUP(C:C,Vlookup!A:A,1,0)</f>
        <v>#N/A</v>
      </c>
      <c r="E842" s="2">
        <v>16</v>
      </c>
      <c r="F842" s="17" t="s">
        <v>10</v>
      </c>
      <c r="G842" s="17" t="s">
        <v>25</v>
      </c>
      <c r="H842" s="2" t="s">
        <v>11</v>
      </c>
      <c r="I842" s="2">
        <v>1</v>
      </c>
      <c r="J842" s="5">
        <v>46108</v>
      </c>
      <c r="K842" s="5">
        <v>46111</v>
      </c>
      <c r="L842" s="2" t="s">
        <v>865</v>
      </c>
      <c r="M842" s="5">
        <v>46167</v>
      </c>
      <c r="N842" s="3">
        <f>VLOOKUP(NavDataRegion[[#This Row],[Spool No]],[1]Sheet2!$B:$U,20,0)</f>
        <v>18.004439999999999</v>
      </c>
      <c r="O842" s="2">
        <v>5</v>
      </c>
      <c r="P842" s="2">
        <v>1</v>
      </c>
      <c r="Q842" s="2"/>
    </row>
    <row r="843" spans="1:17" ht="20.100000000000001" customHeight="1">
      <c r="A843" s="2" t="s">
        <v>9</v>
      </c>
      <c r="B843" s="2" t="s">
        <v>1041</v>
      </c>
      <c r="C843" s="2" t="s">
        <v>1512</v>
      </c>
      <c r="D843" s="2" t="e">
        <f>VLOOKUP(C:C,Vlookup!A:A,1,0)</f>
        <v>#N/A</v>
      </c>
      <c r="E843" s="2">
        <v>14</v>
      </c>
      <c r="F843" s="17" t="s">
        <v>10</v>
      </c>
      <c r="G843" s="17" t="s">
        <v>25</v>
      </c>
      <c r="H843" s="2" t="s">
        <v>11</v>
      </c>
      <c r="I843" s="2">
        <v>1</v>
      </c>
      <c r="J843" s="5">
        <v>46105</v>
      </c>
      <c r="K843" s="5">
        <v>46106</v>
      </c>
      <c r="L843" s="2" t="s">
        <v>865</v>
      </c>
      <c r="M843" s="5">
        <v>45754</v>
      </c>
      <c r="N843" s="3">
        <f>VLOOKUP(NavDataRegion[[#This Row],[Spool No]],[1]Sheet2!$B:$U,20,0)</f>
        <v>7.7051999999999996</v>
      </c>
      <c r="O843" s="2">
        <v>1</v>
      </c>
      <c r="P843" s="2">
        <v>1</v>
      </c>
      <c r="Q843" s="2"/>
    </row>
    <row r="844" spans="1:17" ht="20.100000000000001" customHeight="1">
      <c r="A844" s="2" t="s">
        <v>9</v>
      </c>
      <c r="B844" s="2" t="s">
        <v>1045</v>
      </c>
      <c r="C844" s="2" t="s">
        <v>1514</v>
      </c>
      <c r="D844" s="2" t="e">
        <f>VLOOKUP(C:C,Vlookup!A:A,1,0)</f>
        <v>#N/A</v>
      </c>
      <c r="E844" s="2">
        <v>14</v>
      </c>
      <c r="F844" s="17" t="s">
        <v>10</v>
      </c>
      <c r="G844" s="17" t="s">
        <v>25</v>
      </c>
      <c r="H844" s="2" t="s">
        <v>11</v>
      </c>
      <c r="I844" s="2">
        <v>1</v>
      </c>
      <c r="J844" s="5">
        <v>46105</v>
      </c>
      <c r="K844" s="5">
        <v>46106</v>
      </c>
      <c r="L844" s="2" t="s">
        <v>865</v>
      </c>
      <c r="M844" s="5">
        <v>45754</v>
      </c>
      <c r="N844" s="3">
        <f>VLOOKUP(NavDataRegion[[#This Row],[Spool No]],[1]Sheet2!$B:$U,20,0)</f>
        <v>23.869039999999998</v>
      </c>
      <c r="O844" s="2">
        <v>6</v>
      </c>
      <c r="P844" s="2">
        <v>1</v>
      </c>
      <c r="Q844" s="2"/>
    </row>
    <row r="845" spans="1:17" ht="20.100000000000001" customHeight="1">
      <c r="A845" s="2" t="s">
        <v>9</v>
      </c>
      <c r="B845" s="2" t="s">
        <v>1063</v>
      </c>
      <c r="C845" s="2" t="s">
        <v>1064</v>
      </c>
      <c r="D845" s="2" t="e">
        <f>VLOOKUP(C:C,Vlookup!A:A,1,0)</f>
        <v>#N/A</v>
      </c>
      <c r="E845" s="2">
        <v>14</v>
      </c>
      <c r="F845" s="17" t="s">
        <v>10</v>
      </c>
      <c r="G845" s="17" t="s">
        <v>25</v>
      </c>
      <c r="H845" s="2" t="s">
        <v>11</v>
      </c>
      <c r="I845" s="2">
        <v>1</v>
      </c>
      <c r="J845" s="5">
        <v>46101</v>
      </c>
      <c r="K845" s="5">
        <v>46104</v>
      </c>
      <c r="L845" s="2" t="s">
        <v>865</v>
      </c>
      <c r="M845" s="5">
        <v>45754</v>
      </c>
      <c r="N845" s="3">
        <f>VLOOKUP(NavDataRegion[[#This Row],[Spool No]],[1]Sheet2!$B:$U,20,0)</f>
        <v>46.655279999999998</v>
      </c>
      <c r="O845" s="2">
        <v>7</v>
      </c>
      <c r="P845" s="2">
        <v>1</v>
      </c>
      <c r="Q845" s="2"/>
    </row>
    <row r="846" spans="1:17" ht="20.100000000000001" customHeight="1">
      <c r="A846" s="2" t="s">
        <v>9</v>
      </c>
      <c r="B846" s="2" t="s">
        <v>1195</v>
      </c>
      <c r="C846" s="2" t="s">
        <v>1569</v>
      </c>
      <c r="D846" s="2" t="e">
        <f>VLOOKUP(C:C,Vlookup!A:A,1,0)</f>
        <v>#N/A</v>
      </c>
      <c r="E846" s="2">
        <v>14</v>
      </c>
      <c r="F846" s="17" t="s">
        <v>10</v>
      </c>
      <c r="G846" s="17" t="s">
        <v>25</v>
      </c>
      <c r="H846" s="2" t="s">
        <v>11</v>
      </c>
      <c r="I846" s="2">
        <v>1</v>
      </c>
      <c r="J846" s="5">
        <v>46098</v>
      </c>
      <c r="K846" s="5">
        <v>46099</v>
      </c>
      <c r="L846" s="2" t="s">
        <v>865</v>
      </c>
      <c r="M846" s="5">
        <v>45754</v>
      </c>
      <c r="N846" s="3">
        <f>VLOOKUP(NavDataRegion[[#This Row],[Spool No]],[1]Sheet2!$B:$U,20,0)</f>
        <v>8.8852799999999998</v>
      </c>
      <c r="O846" s="2">
        <v>4</v>
      </c>
      <c r="P846" s="2">
        <v>1</v>
      </c>
      <c r="Q846" s="2"/>
    </row>
    <row r="847" spans="1:17" ht="20.100000000000001" customHeight="1">
      <c r="A847" s="2" t="s">
        <v>9</v>
      </c>
      <c r="B847" s="2" t="s">
        <v>1197</v>
      </c>
      <c r="C847" s="2" t="s">
        <v>1570</v>
      </c>
      <c r="D847" s="2" t="e">
        <f>VLOOKUP(C:C,Vlookup!A:A,1,0)</f>
        <v>#N/A</v>
      </c>
      <c r="E847" s="2">
        <v>14</v>
      </c>
      <c r="F847" s="17" t="s">
        <v>10</v>
      </c>
      <c r="G847" s="17" t="s">
        <v>25</v>
      </c>
      <c r="H847" s="2" t="s">
        <v>11</v>
      </c>
      <c r="I847" s="2">
        <v>1</v>
      </c>
      <c r="J847" s="5">
        <v>46098</v>
      </c>
      <c r="K847" s="5">
        <v>46099</v>
      </c>
      <c r="L847" s="2" t="s">
        <v>865</v>
      </c>
      <c r="M847" s="5">
        <v>45754</v>
      </c>
      <c r="N847" s="3">
        <f>VLOOKUP(NavDataRegion[[#This Row],[Spool No]],[1]Sheet2!$B:$U,20,0)</f>
        <v>5.8556400000000002</v>
      </c>
      <c r="O847" s="2">
        <v>3</v>
      </c>
      <c r="P847" s="2">
        <v>1</v>
      </c>
      <c r="Q847" s="2"/>
    </row>
    <row r="848" spans="1:17" ht="20.100000000000001" customHeight="1">
      <c r="A848" s="2" t="s">
        <v>9</v>
      </c>
      <c r="B848" s="2" t="s">
        <v>991</v>
      </c>
      <c r="C848" s="2" t="s">
        <v>1687</v>
      </c>
      <c r="D848" s="2" t="e">
        <f>VLOOKUP(C:C,Vlookup!A:A,1,0)</f>
        <v>#N/A</v>
      </c>
      <c r="E848" s="2">
        <v>14</v>
      </c>
      <c r="F848" s="17" t="s">
        <v>10</v>
      </c>
      <c r="G848" s="17" t="s">
        <v>25</v>
      </c>
      <c r="H848" s="2" t="s">
        <v>11</v>
      </c>
      <c r="I848" s="2">
        <v>1</v>
      </c>
      <c r="J848" s="5">
        <v>46093</v>
      </c>
      <c r="K848" s="5">
        <v>46094</v>
      </c>
      <c r="L848" s="2" t="s">
        <v>865</v>
      </c>
      <c r="M848" s="5">
        <v>45754</v>
      </c>
      <c r="N848" s="3">
        <f>VLOOKUP(NavDataRegion[[#This Row],[Spool No]],[1]Sheet2!$B:$U,20,0)</f>
        <v>11.531639999999999</v>
      </c>
      <c r="O848" s="2">
        <v>2</v>
      </c>
      <c r="P848" s="2">
        <v>1</v>
      </c>
      <c r="Q848" s="2"/>
    </row>
    <row r="849" spans="1:17" ht="20.100000000000001" customHeight="1">
      <c r="A849" s="2" t="s">
        <v>9</v>
      </c>
      <c r="B849" s="2" t="s">
        <v>1197</v>
      </c>
      <c r="C849" s="2" t="s">
        <v>1727</v>
      </c>
      <c r="D849" s="2" t="e">
        <f>VLOOKUP(C:C,Vlookup!A:A,1,0)</f>
        <v>#N/A</v>
      </c>
      <c r="E849" s="2">
        <v>14</v>
      </c>
      <c r="F849" s="17" t="s">
        <v>10</v>
      </c>
      <c r="G849" s="17" t="s">
        <v>25</v>
      </c>
      <c r="H849" s="2" t="s">
        <v>11</v>
      </c>
      <c r="I849" s="2">
        <v>1</v>
      </c>
      <c r="J849" s="5">
        <v>46098</v>
      </c>
      <c r="K849" s="5">
        <v>46099</v>
      </c>
      <c r="L849" s="2" t="s">
        <v>865</v>
      </c>
      <c r="M849" s="5">
        <v>45754</v>
      </c>
      <c r="N849" s="3">
        <f>VLOOKUP(NavDataRegion[[#This Row],[Spool No]],[1]Sheet2!$B:$U,20,0)</f>
        <v>6.9931200000000002</v>
      </c>
      <c r="O849" s="2">
        <v>4</v>
      </c>
      <c r="P849" s="2">
        <v>1</v>
      </c>
      <c r="Q849" s="2"/>
    </row>
    <row r="850" spans="1:17" ht="20.100000000000001" customHeight="1">
      <c r="A850" s="2" t="s">
        <v>9</v>
      </c>
      <c r="B850" s="2" t="s">
        <v>1003</v>
      </c>
      <c r="C850" s="2" t="s">
        <v>1502</v>
      </c>
      <c r="D850" s="2" t="e">
        <f>VLOOKUP(C:C,Vlookup!A:A,1,0)</f>
        <v>#N/A</v>
      </c>
      <c r="E850" s="2">
        <v>14</v>
      </c>
      <c r="F850" s="17" t="s">
        <v>10</v>
      </c>
      <c r="G850" s="17" t="s">
        <v>25</v>
      </c>
      <c r="H850" s="2" t="s">
        <v>11</v>
      </c>
      <c r="I850" s="2">
        <v>1</v>
      </c>
      <c r="J850" s="5">
        <v>46093</v>
      </c>
      <c r="K850" s="5">
        <v>46094</v>
      </c>
      <c r="L850" s="2" t="s">
        <v>865</v>
      </c>
      <c r="M850" s="5">
        <v>45754</v>
      </c>
      <c r="N850" s="3">
        <f>VLOOKUP(NavDataRegion[[#This Row],[Spool No]],[1]Sheet2!$B:$U,20,0)</f>
        <v>4.5132000000000003</v>
      </c>
      <c r="O850" s="2">
        <v>5</v>
      </c>
      <c r="P850" s="2">
        <v>1</v>
      </c>
      <c r="Q850" s="2"/>
    </row>
    <row r="851" spans="1:17" ht="20.100000000000001" customHeight="1">
      <c r="A851" s="2" t="s">
        <v>9</v>
      </c>
      <c r="B851" s="2" t="s">
        <v>1067</v>
      </c>
      <c r="C851" s="2" t="s">
        <v>1068</v>
      </c>
      <c r="D851" s="2" t="e">
        <f>VLOOKUP(C:C,Vlookup!A:A,1,0)</f>
        <v>#N/A</v>
      </c>
      <c r="E851" s="2">
        <v>14</v>
      </c>
      <c r="F851" s="17" t="s">
        <v>10</v>
      </c>
      <c r="G851" s="17" t="s">
        <v>25</v>
      </c>
      <c r="H851" s="2" t="s">
        <v>11</v>
      </c>
      <c r="I851" s="2">
        <v>1</v>
      </c>
      <c r="J851" s="5">
        <v>46101</v>
      </c>
      <c r="K851" s="5">
        <v>46104</v>
      </c>
      <c r="L851" s="2" t="s">
        <v>865</v>
      </c>
      <c r="M851" s="5">
        <v>45754</v>
      </c>
      <c r="N851" s="3">
        <f>VLOOKUP(NavDataRegion[[#This Row],[Spool No]],[1]Sheet2!$B:$U,20,0)</f>
        <v>66.152159999999995</v>
      </c>
      <c r="O851" s="2">
        <v>14</v>
      </c>
      <c r="P851" s="2">
        <v>2</v>
      </c>
      <c r="Q851" s="2"/>
    </row>
    <row r="852" spans="1:17" ht="20.100000000000001" customHeight="1">
      <c r="A852" s="2" t="s">
        <v>9</v>
      </c>
      <c r="B852" s="2" t="s">
        <v>1005</v>
      </c>
      <c r="C852" s="2" t="s">
        <v>1503</v>
      </c>
      <c r="D852" s="2" t="e">
        <f>VLOOKUP(C:C,Vlookup!A:A,1,0)</f>
        <v>#N/A</v>
      </c>
      <c r="E852" s="2">
        <v>14</v>
      </c>
      <c r="F852" s="17" t="s">
        <v>10</v>
      </c>
      <c r="G852" s="17" t="s">
        <v>25</v>
      </c>
      <c r="H852" s="2" t="s">
        <v>11</v>
      </c>
      <c r="I852" s="2">
        <v>1</v>
      </c>
      <c r="J852" s="5">
        <v>46093</v>
      </c>
      <c r="K852" s="5">
        <v>46094</v>
      </c>
      <c r="L852" s="2" t="s">
        <v>865</v>
      </c>
      <c r="M852" s="5">
        <v>45754</v>
      </c>
      <c r="N852" s="3">
        <f>VLOOKUP(NavDataRegion[[#This Row],[Spool No]],[1]Sheet2!$B:$U,20,0)</f>
        <v>4.5132000000000003</v>
      </c>
      <c r="O852" s="2">
        <v>5</v>
      </c>
      <c r="P852" s="2">
        <v>1</v>
      </c>
      <c r="Q852" s="2"/>
    </row>
    <row r="853" spans="1:17" ht="20.100000000000001" customHeight="1">
      <c r="A853" s="2" t="s">
        <v>9</v>
      </c>
      <c r="B853" s="2" t="s">
        <v>1011</v>
      </c>
      <c r="C853" s="2" t="s">
        <v>1012</v>
      </c>
      <c r="D853" s="2" t="e">
        <f>VLOOKUP(C:C,Vlookup!A:A,1,0)</f>
        <v>#N/A</v>
      </c>
      <c r="E853" s="2">
        <v>14</v>
      </c>
      <c r="F853" s="17" t="s">
        <v>10</v>
      </c>
      <c r="G853" s="17" t="s">
        <v>25</v>
      </c>
      <c r="H853" s="2" t="s">
        <v>11</v>
      </c>
      <c r="I853" s="2">
        <v>1</v>
      </c>
      <c r="J853" s="5">
        <v>46093</v>
      </c>
      <c r="K853" s="5">
        <v>46094</v>
      </c>
      <c r="L853" s="2" t="s">
        <v>865</v>
      </c>
      <c r="M853" s="5">
        <v>45754</v>
      </c>
      <c r="N853" s="3">
        <f>VLOOKUP(NavDataRegion[[#This Row],[Spool No]],[1]Sheet2!$B:$U,20,0)</f>
        <v>20.572120000000002</v>
      </c>
      <c r="O853" s="2">
        <v>6</v>
      </c>
      <c r="P853" s="2">
        <v>1</v>
      </c>
      <c r="Q853" s="2"/>
    </row>
    <row r="854" spans="1:17" ht="20.100000000000001" customHeight="1">
      <c r="A854" s="2" t="s">
        <v>9</v>
      </c>
      <c r="B854" s="2" t="s">
        <v>1019</v>
      </c>
      <c r="C854" s="2" t="s">
        <v>1876</v>
      </c>
      <c r="D854" s="2" t="e">
        <f>VLOOKUP(C:C,Vlookup!A:A,1,0)</f>
        <v>#N/A</v>
      </c>
      <c r="E854" s="2">
        <v>16</v>
      </c>
      <c r="F854" s="17" t="s">
        <v>10</v>
      </c>
      <c r="G854" s="17" t="s">
        <v>25</v>
      </c>
      <c r="H854" s="2" t="s">
        <v>11</v>
      </c>
      <c r="I854" s="2">
        <v>1</v>
      </c>
      <c r="J854" s="5">
        <v>46105</v>
      </c>
      <c r="K854" s="5">
        <v>46108</v>
      </c>
      <c r="L854" s="2" t="s">
        <v>865</v>
      </c>
      <c r="M854" s="5">
        <v>46167</v>
      </c>
      <c r="N854" s="3">
        <f>VLOOKUP(NavDataRegion[[#This Row],[Spool No]],[1]Sheet2!$B:$U,20,0)</f>
        <v>17.37012</v>
      </c>
      <c r="O854" s="2">
        <v>1</v>
      </c>
      <c r="P854" s="2">
        <v>1</v>
      </c>
      <c r="Q854" s="2"/>
    </row>
    <row r="855" spans="1:17" ht="20.100000000000001" customHeight="1">
      <c r="A855" s="2" t="s">
        <v>9</v>
      </c>
      <c r="B855" s="2" t="s">
        <v>1085</v>
      </c>
      <c r="C855" s="2" t="s">
        <v>1527</v>
      </c>
      <c r="D855" s="2" t="e">
        <f>VLOOKUP(C:C,Vlookup!A:A,1,0)</f>
        <v>#N/A</v>
      </c>
      <c r="E855" s="2">
        <v>14</v>
      </c>
      <c r="F855" s="17" t="s">
        <v>10</v>
      </c>
      <c r="G855" s="17" t="s">
        <v>25</v>
      </c>
      <c r="H855" s="2" t="s">
        <v>11</v>
      </c>
      <c r="I855" s="2">
        <v>1</v>
      </c>
      <c r="J855" s="5">
        <v>46105</v>
      </c>
      <c r="K855" s="5">
        <v>46106</v>
      </c>
      <c r="L855" s="2" t="s">
        <v>865</v>
      </c>
      <c r="M855" s="5">
        <v>45754</v>
      </c>
      <c r="N855" s="3">
        <f>VLOOKUP(NavDataRegion[[#This Row],[Spool No]],[1]Sheet2!$B:$U,20,0)</f>
        <v>9.5098800000000008</v>
      </c>
      <c r="O855" s="2">
        <v>2</v>
      </c>
      <c r="P855" s="2">
        <v>1</v>
      </c>
      <c r="Q855" s="2"/>
    </row>
    <row r="856" spans="1:17" ht="20.100000000000001" customHeight="1">
      <c r="A856" s="2" t="s">
        <v>9</v>
      </c>
      <c r="B856" s="2" t="s">
        <v>1017</v>
      </c>
      <c r="C856" s="2" t="s">
        <v>1018</v>
      </c>
      <c r="D856" s="2" t="e">
        <f>VLOOKUP(C:C,Vlookup!A:A,1,0)</f>
        <v>#N/A</v>
      </c>
      <c r="E856" s="2">
        <v>14</v>
      </c>
      <c r="F856" s="17" t="s">
        <v>10</v>
      </c>
      <c r="G856" s="17" t="s">
        <v>25</v>
      </c>
      <c r="H856" s="2" t="s">
        <v>11</v>
      </c>
      <c r="I856" s="2">
        <v>1</v>
      </c>
      <c r="J856" s="5">
        <v>46093</v>
      </c>
      <c r="K856" s="5">
        <v>46094</v>
      </c>
      <c r="L856" s="2" t="s">
        <v>865</v>
      </c>
      <c r="M856" s="5">
        <v>45754</v>
      </c>
      <c r="N856" s="3">
        <f>VLOOKUP(NavDataRegion[[#This Row],[Spool No]],[1]Sheet2!$B:$U,20,0)</f>
        <v>6.0796799999999998</v>
      </c>
      <c r="O856" s="2">
        <v>5</v>
      </c>
      <c r="P856" s="2">
        <v>1</v>
      </c>
      <c r="Q856" s="2"/>
    </row>
    <row r="857" spans="1:17" ht="20.100000000000001" customHeight="1">
      <c r="A857" s="2" t="s">
        <v>9</v>
      </c>
      <c r="B857" s="2" t="s">
        <v>1019</v>
      </c>
      <c r="C857" s="2" t="s">
        <v>1937</v>
      </c>
      <c r="D857" s="2" t="e">
        <f>VLOOKUP(C:C,Vlookup!A:A,1,0)</f>
        <v>#N/A</v>
      </c>
      <c r="E857" s="2">
        <v>14</v>
      </c>
      <c r="F857" s="17" t="s">
        <v>10</v>
      </c>
      <c r="G857" s="17" t="s">
        <v>25</v>
      </c>
      <c r="H857" s="2" t="s">
        <v>11</v>
      </c>
      <c r="I857" s="2">
        <v>1</v>
      </c>
      <c r="J857" s="5">
        <v>46093</v>
      </c>
      <c r="K857" s="5">
        <v>46094</v>
      </c>
      <c r="L857" s="2" t="s">
        <v>865</v>
      </c>
      <c r="M857" s="5">
        <v>45754</v>
      </c>
      <c r="N857" s="3">
        <f>VLOOKUP(NavDataRegion[[#This Row],[Spool No]],[1]Sheet2!$B:$U,20,0)</f>
        <v>17.744759999999999</v>
      </c>
      <c r="O857" s="2">
        <v>6</v>
      </c>
      <c r="P857" s="2">
        <v>1</v>
      </c>
      <c r="Q857" s="2"/>
    </row>
    <row r="858" spans="1:17" ht="20.100000000000001" customHeight="1">
      <c r="A858" s="2" t="s">
        <v>9</v>
      </c>
      <c r="B858" s="2" t="s">
        <v>1025</v>
      </c>
      <c r="C858" s="2" t="s">
        <v>1507</v>
      </c>
      <c r="D858" s="2" t="e">
        <f>VLOOKUP(C:C,Vlookup!A:A,1,0)</f>
        <v>#N/A</v>
      </c>
      <c r="E858" s="2">
        <v>14</v>
      </c>
      <c r="F858" s="17" t="s">
        <v>10</v>
      </c>
      <c r="G858" s="17" t="s">
        <v>25</v>
      </c>
      <c r="H858" s="2" t="s">
        <v>11</v>
      </c>
      <c r="I858" s="2">
        <v>1</v>
      </c>
      <c r="J858" s="5">
        <v>46093</v>
      </c>
      <c r="K858" s="5">
        <v>46094</v>
      </c>
      <c r="L858" s="2" t="s">
        <v>865</v>
      </c>
      <c r="M858" s="5">
        <v>45754</v>
      </c>
      <c r="N858" s="3">
        <f>VLOOKUP(NavDataRegion[[#This Row],[Spool No]],[1]Sheet2!$B:$U,20,0)</f>
        <v>8.4179999999999993</v>
      </c>
      <c r="O858" s="2">
        <v>0.75</v>
      </c>
      <c r="P858" s="2">
        <v>0.75</v>
      </c>
      <c r="Q858" s="2"/>
    </row>
    <row r="859" spans="1:17" ht="20.100000000000001" customHeight="1">
      <c r="A859" s="2" t="s">
        <v>9</v>
      </c>
      <c r="B859" s="2" t="s">
        <v>1025</v>
      </c>
      <c r="C859" s="2" t="s">
        <v>1690</v>
      </c>
      <c r="D859" s="2" t="e">
        <f>VLOOKUP(C:C,Vlookup!A:A,1,0)</f>
        <v>#N/A</v>
      </c>
      <c r="E859" s="2">
        <v>14</v>
      </c>
      <c r="F859" s="17" t="s">
        <v>10</v>
      </c>
      <c r="G859" s="17" t="s">
        <v>25</v>
      </c>
      <c r="H859" s="2" t="s">
        <v>11</v>
      </c>
      <c r="I859" s="2">
        <v>1</v>
      </c>
      <c r="J859" s="5">
        <v>46093</v>
      </c>
      <c r="K859" s="5">
        <v>46094</v>
      </c>
      <c r="L859" s="2" t="s">
        <v>865</v>
      </c>
      <c r="M859" s="5">
        <v>45754</v>
      </c>
      <c r="N859" s="3">
        <f>VLOOKUP(NavDataRegion[[#This Row],[Spool No]],[1]Sheet2!$B:$U,20,0)</f>
        <v>8.4179999999999993</v>
      </c>
      <c r="O859" s="2">
        <v>0.75</v>
      </c>
      <c r="P859" s="2">
        <v>0.75</v>
      </c>
      <c r="Q859" s="2"/>
    </row>
    <row r="860" spans="1:17" ht="20.100000000000001" customHeight="1">
      <c r="A860" s="2" t="s">
        <v>9</v>
      </c>
      <c r="B860" s="2" t="s">
        <v>1089</v>
      </c>
      <c r="C860" s="2" t="s">
        <v>1529</v>
      </c>
      <c r="D860" s="2" t="e">
        <f>VLOOKUP(C:C,Vlookup!A:A,1,0)</f>
        <v>#N/A</v>
      </c>
      <c r="E860" s="2">
        <v>14</v>
      </c>
      <c r="F860" s="17" t="s">
        <v>10</v>
      </c>
      <c r="G860" s="17" t="s">
        <v>25</v>
      </c>
      <c r="H860" s="2" t="s">
        <v>11</v>
      </c>
      <c r="I860" s="2">
        <v>1</v>
      </c>
      <c r="J860" s="5">
        <v>46105</v>
      </c>
      <c r="K860" s="5">
        <v>46106</v>
      </c>
      <c r="L860" s="2" t="s">
        <v>865</v>
      </c>
      <c r="M860" s="5">
        <v>45754</v>
      </c>
      <c r="N860" s="3">
        <f>VLOOKUP(NavDataRegion[[#This Row],[Spool No]],[1]Sheet2!$B:$U,20,0)</f>
        <v>10.27824</v>
      </c>
      <c r="O860" s="2">
        <v>3</v>
      </c>
      <c r="P860" s="2">
        <v>1</v>
      </c>
      <c r="Q860" s="2"/>
    </row>
    <row r="861" spans="1:17" ht="20.100000000000001" customHeight="1">
      <c r="A861" s="2" t="s">
        <v>9</v>
      </c>
      <c r="B861" s="2" t="s">
        <v>1099</v>
      </c>
      <c r="C861" s="2" t="s">
        <v>1921</v>
      </c>
      <c r="D861" s="2" t="e">
        <f>VLOOKUP(C:C,Vlookup!A:A,1,0)</f>
        <v>#N/A</v>
      </c>
      <c r="E861" s="2">
        <v>14</v>
      </c>
      <c r="F861" s="17" t="s">
        <v>10</v>
      </c>
      <c r="G861" s="17" t="s">
        <v>25</v>
      </c>
      <c r="H861" s="2" t="s">
        <v>11</v>
      </c>
      <c r="I861" s="2">
        <v>1</v>
      </c>
      <c r="J861" s="5">
        <v>46100</v>
      </c>
      <c r="K861" s="5">
        <v>46101</v>
      </c>
      <c r="L861" s="2" t="s">
        <v>865</v>
      </c>
      <c r="M861" s="5">
        <v>45754</v>
      </c>
      <c r="N861" s="3">
        <f>VLOOKUP(NavDataRegion[[#This Row],[Spool No]],[1]Sheet2!$B:$U,20,0)</f>
        <v>3.8979200000000001</v>
      </c>
      <c r="O861" s="2">
        <v>5</v>
      </c>
      <c r="P861" s="2">
        <v>1</v>
      </c>
      <c r="Q861" s="2"/>
    </row>
    <row r="862" spans="1:17" ht="20.100000000000001" customHeight="1">
      <c r="A862" s="2" t="s">
        <v>9</v>
      </c>
      <c r="B862" s="2" t="s">
        <v>1035</v>
      </c>
      <c r="C862" s="2" t="s">
        <v>1036</v>
      </c>
      <c r="D862" s="2" t="e">
        <f>VLOOKUP(C:C,Vlookup!A:A,1,0)</f>
        <v>#N/A</v>
      </c>
      <c r="E862" s="2">
        <v>14</v>
      </c>
      <c r="F862" s="17" t="s">
        <v>10</v>
      </c>
      <c r="G862" s="17" t="s">
        <v>25</v>
      </c>
      <c r="H862" s="2" t="s">
        <v>11</v>
      </c>
      <c r="I862" s="2">
        <v>1</v>
      </c>
      <c r="J862" s="5">
        <v>46093</v>
      </c>
      <c r="K862" s="5">
        <v>46094</v>
      </c>
      <c r="L862" s="2" t="s">
        <v>865</v>
      </c>
      <c r="M862" s="5">
        <v>45754</v>
      </c>
      <c r="N862" s="3">
        <f>VLOOKUP(NavDataRegion[[#This Row],[Spool No]],[1]Sheet2!$B:$U,20,0)</f>
        <v>7.5359999999999996</v>
      </c>
      <c r="O862" s="2">
        <v>4</v>
      </c>
      <c r="P862" s="2">
        <v>1</v>
      </c>
      <c r="Q862" s="2"/>
    </row>
    <row r="863" spans="1:17" ht="20.100000000000001" customHeight="1">
      <c r="A863" s="2" t="s">
        <v>9</v>
      </c>
      <c r="B863" s="2" t="s">
        <v>1035</v>
      </c>
      <c r="C863" s="2" t="s">
        <v>1802</v>
      </c>
      <c r="D863" s="2" t="e">
        <f>VLOOKUP(C:C,Vlookup!A:A,1,0)</f>
        <v>#N/A</v>
      </c>
      <c r="E863" s="2">
        <v>14</v>
      </c>
      <c r="F863" s="17" t="s">
        <v>10</v>
      </c>
      <c r="G863" s="17" t="s">
        <v>25</v>
      </c>
      <c r="H863" s="2" t="s">
        <v>11</v>
      </c>
      <c r="I863" s="2">
        <v>1</v>
      </c>
      <c r="J863" s="5">
        <v>46093</v>
      </c>
      <c r="K863" s="5">
        <v>46094</v>
      </c>
      <c r="L863" s="2" t="s">
        <v>865</v>
      </c>
      <c r="M863" s="5">
        <v>45754</v>
      </c>
      <c r="N863" s="3">
        <f>VLOOKUP(NavDataRegion[[#This Row],[Spool No]],[1]Sheet2!$B:$U,20,0)</f>
        <v>5.9489200000000002</v>
      </c>
      <c r="O863" s="2">
        <v>4</v>
      </c>
      <c r="P863" s="2">
        <v>1</v>
      </c>
      <c r="Q863" s="2"/>
    </row>
    <row r="864" spans="1:17" ht="20.100000000000001" customHeight="1">
      <c r="A864" s="2" t="s">
        <v>9</v>
      </c>
      <c r="B864" s="2" t="s">
        <v>1093</v>
      </c>
      <c r="C864" s="2" t="s">
        <v>1881</v>
      </c>
      <c r="D864" s="2" t="e">
        <f>VLOOKUP(C:C,Vlookup!A:A,1,0)</f>
        <v>#N/A</v>
      </c>
      <c r="E864" s="2">
        <v>16</v>
      </c>
      <c r="F864" s="17" t="s">
        <v>10</v>
      </c>
      <c r="G864" s="17" t="s">
        <v>25</v>
      </c>
      <c r="H864" s="2" t="s">
        <v>11</v>
      </c>
      <c r="I864" s="2">
        <v>1</v>
      </c>
      <c r="J864" s="5">
        <v>46115</v>
      </c>
      <c r="K864" s="5">
        <v>46118</v>
      </c>
      <c r="L864" s="2" t="s">
        <v>865</v>
      </c>
      <c r="M864" s="5">
        <v>46167</v>
      </c>
      <c r="N864" s="3">
        <f>VLOOKUP(NavDataRegion[[#This Row],[Spool No]],[1]Sheet2!$B:$U,20,0)</f>
        <v>60.518680000000003</v>
      </c>
      <c r="O864" s="2">
        <v>5</v>
      </c>
      <c r="P864" s="2">
        <v>1</v>
      </c>
      <c r="Q864" s="2"/>
    </row>
    <row r="865" spans="1:17" ht="20.100000000000001" customHeight="1">
      <c r="A865" s="2" t="s">
        <v>9</v>
      </c>
      <c r="B865" s="2" t="s">
        <v>1037</v>
      </c>
      <c r="C865" s="2" t="s">
        <v>1692</v>
      </c>
      <c r="D865" s="2" t="e">
        <f>VLOOKUP(C:C,Vlookup!A:A,1,0)</f>
        <v>#N/A</v>
      </c>
      <c r="E865" s="2">
        <v>16</v>
      </c>
      <c r="F865" s="17" t="s">
        <v>10</v>
      </c>
      <c r="G865" s="17" t="s">
        <v>25</v>
      </c>
      <c r="H865" s="2" t="s">
        <v>11</v>
      </c>
      <c r="I865" s="2">
        <v>1</v>
      </c>
      <c r="J865" s="5">
        <v>46105</v>
      </c>
      <c r="K865" s="5">
        <v>46108</v>
      </c>
      <c r="L865" s="2" t="s">
        <v>865</v>
      </c>
      <c r="M865" s="5">
        <v>46167</v>
      </c>
      <c r="N865" s="3">
        <f>VLOOKUP(NavDataRegion[[#This Row],[Spool No]],[1]Sheet2!$B:$U,20,0)</f>
        <v>28.862919999999999</v>
      </c>
      <c r="O865" s="2">
        <v>4</v>
      </c>
      <c r="P865" s="2">
        <v>1</v>
      </c>
      <c r="Q865" s="2"/>
    </row>
    <row r="866" spans="1:17" ht="20.100000000000001" customHeight="1">
      <c r="A866" s="2" t="s">
        <v>9</v>
      </c>
      <c r="B866" s="2" t="s">
        <v>1037</v>
      </c>
      <c r="C866" s="2" t="s">
        <v>1038</v>
      </c>
      <c r="D866" s="2" t="e">
        <f>VLOOKUP(C:C,Vlookup!A:A,1,0)</f>
        <v>#N/A</v>
      </c>
      <c r="E866" s="2">
        <v>14</v>
      </c>
      <c r="F866" s="17" t="s">
        <v>10</v>
      </c>
      <c r="G866" s="17" t="s">
        <v>25</v>
      </c>
      <c r="H866" s="2" t="s">
        <v>11</v>
      </c>
      <c r="I866" s="2">
        <v>1</v>
      </c>
      <c r="J866" s="5">
        <v>46093</v>
      </c>
      <c r="K866" s="5">
        <v>46094</v>
      </c>
      <c r="L866" s="2" t="s">
        <v>865</v>
      </c>
      <c r="M866" s="5">
        <v>45754</v>
      </c>
      <c r="N866" s="3">
        <f>VLOOKUP(NavDataRegion[[#This Row],[Spool No]],[1]Sheet2!$B:$U,20,0)</f>
        <v>6.5803599999999998</v>
      </c>
      <c r="O866" s="2">
        <v>2</v>
      </c>
      <c r="P866" s="2">
        <v>1</v>
      </c>
      <c r="Q866" s="2"/>
    </row>
    <row r="867" spans="1:17" ht="20.100000000000001" customHeight="1">
      <c r="A867" s="2" t="s">
        <v>9</v>
      </c>
      <c r="B867" s="2" t="s">
        <v>1113</v>
      </c>
      <c r="C867" s="2" t="s">
        <v>1539</v>
      </c>
      <c r="D867" s="2" t="e">
        <f>VLOOKUP(C:C,Vlookup!A:A,1,0)</f>
        <v>#N/A</v>
      </c>
      <c r="E867" s="2">
        <v>14</v>
      </c>
      <c r="F867" s="17" t="s">
        <v>10</v>
      </c>
      <c r="G867" s="17" t="s">
        <v>25</v>
      </c>
      <c r="H867" s="2" t="s">
        <v>11</v>
      </c>
      <c r="I867" s="2">
        <v>1</v>
      </c>
      <c r="J867" s="5">
        <v>46100</v>
      </c>
      <c r="K867" s="5">
        <v>46101</v>
      </c>
      <c r="L867" s="2" t="s">
        <v>865</v>
      </c>
      <c r="M867" s="5">
        <v>45754</v>
      </c>
      <c r="N867" s="3">
        <f>VLOOKUP(NavDataRegion[[#This Row],[Spool No]],[1]Sheet2!$B:$U,20,0)</f>
        <v>4.6006799999999997</v>
      </c>
      <c r="O867" s="2">
        <v>5</v>
      </c>
      <c r="P867" s="2">
        <v>1</v>
      </c>
      <c r="Q867" s="2"/>
    </row>
    <row r="868" spans="1:17" ht="20.100000000000001" customHeight="1">
      <c r="A868" s="2" t="s">
        <v>9</v>
      </c>
      <c r="B868" s="2" t="s">
        <v>1037</v>
      </c>
      <c r="C868" s="2" t="s">
        <v>1803</v>
      </c>
      <c r="D868" s="2" t="e">
        <f>VLOOKUP(C:C,Vlookup!A:A,1,0)</f>
        <v>#N/A</v>
      </c>
      <c r="E868" s="2">
        <v>14</v>
      </c>
      <c r="F868" s="17" t="s">
        <v>10</v>
      </c>
      <c r="G868" s="17" t="s">
        <v>25</v>
      </c>
      <c r="H868" s="2" t="s">
        <v>11</v>
      </c>
      <c r="I868" s="2">
        <v>1</v>
      </c>
      <c r="J868" s="5">
        <v>46093</v>
      </c>
      <c r="K868" s="5">
        <v>46094</v>
      </c>
      <c r="L868" s="2" t="s">
        <v>865</v>
      </c>
      <c r="M868" s="5">
        <v>45754</v>
      </c>
      <c r="N868" s="3">
        <f>VLOOKUP(NavDataRegion[[#This Row],[Spool No]],[1]Sheet2!$B:$U,20,0)</f>
        <v>1.77904</v>
      </c>
      <c r="O868" s="2">
        <v>3</v>
      </c>
      <c r="P868" s="2">
        <v>1</v>
      </c>
      <c r="Q868" s="2"/>
    </row>
    <row r="869" spans="1:17" ht="20.100000000000001" customHeight="1">
      <c r="A869" s="2" t="s">
        <v>9</v>
      </c>
      <c r="B869" s="2" t="s">
        <v>1061</v>
      </c>
      <c r="C869" s="2" t="s">
        <v>1698</v>
      </c>
      <c r="D869" s="2" t="e">
        <f>VLOOKUP(C:C,Vlookup!A:A,1,0)</f>
        <v>#N/A</v>
      </c>
      <c r="E869" s="2">
        <v>16</v>
      </c>
      <c r="F869" s="17" t="s">
        <v>10</v>
      </c>
      <c r="G869" s="17" t="s">
        <v>25</v>
      </c>
      <c r="H869" s="2" t="s">
        <v>11</v>
      </c>
      <c r="I869" s="2">
        <v>1</v>
      </c>
      <c r="J869" s="5">
        <v>46105</v>
      </c>
      <c r="K869" s="5">
        <v>46108</v>
      </c>
      <c r="L869" s="2" t="s">
        <v>865</v>
      </c>
      <c r="M869" s="5">
        <v>46167</v>
      </c>
      <c r="N869" s="3">
        <f>VLOOKUP(NavDataRegion[[#This Row],[Spool No]],[1]Sheet2!$B:$U,20,0)</f>
        <v>13.141920000000001</v>
      </c>
      <c r="O869" s="2">
        <v>1</v>
      </c>
      <c r="P869" s="2">
        <v>1</v>
      </c>
      <c r="Q869" s="2"/>
    </row>
    <row r="870" spans="1:17" ht="20.100000000000001" customHeight="1">
      <c r="A870" s="2" t="s">
        <v>9</v>
      </c>
      <c r="B870" s="2" t="s">
        <v>1127</v>
      </c>
      <c r="C870" s="2" t="s">
        <v>1543</v>
      </c>
      <c r="D870" s="2" t="e">
        <f>VLOOKUP(C:C,Vlookup!A:A,1,0)</f>
        <v>#N/A</v>
      </c>
      <c r="E870" s="2">
        <v>23</v>
      </c>
      <c r="F870" s="17" t="s">
        <v>10</v>
      </c>
      <c r="G870" s="17" t="s">
        <v>25</v>
      </c>
      <c r="H870" s="2" t="s">
        <v>11</v>
      </c>
      <c r="I870" s="2">
        <v>1</v>
      </c>
      <c r="J870" s="5">
        <v>46170</v>
      </c>
      <c r="K870" s="5">
        <v>46175</v>
      </c>
      <c r="L870" s="2" t="s">
        <v>865</v>
      </c>
      <c r="M870" s="5">
        <v>46185</v>
      </c>
      <c r="N870" s="3">
        <f>VLOOKUP(NavDataRegion[[#This Row],[Spool No]],[1]Sheet2!$B:$U,20,0)</f>
        <v>61.122039999999998</v>
      </c>
      <c r="O870" s="2">
        <v>11</v>
      </c>
      <c r="P870" s="2">
        <v>1</v>
      </c>
      <c r="Q870" s="2"/>
    </row>
    <row r="871" spans="1:17" ht="20.100000000000001" customHeight="1">
      <c r="A871" s="2" t="s">
        <v>9</v>
      </c>
      <c r="B871" s="2" t="s">
        <v>1039</v>
      </c>
      <c r="C871" s="2" t="s">
        <v>1804</v>
      </c>
      <c r="D871" s="2" t="e">
        <f>VLOOKUP(C:C,Vlookup!A:A,1,0)</f>
        <v>#N/A</v>
      </c>
      <c r="E871" s="2">
        <v>14</v>
      </c>
      <c r="F871" s="17" t="s">
        <v>10</v>
      </c>
      <c r="G871" s="17" t="s">
        <v>25</v>
      </c>
      <c r="H871" s="2" t="s">
        <v>11</v>
      </c>
      <c r="I871" s="2">
        <v>1</v>
      </c>
      <c r="J871" s="5">
        <v>46093</v>
      </c>
      <c r="K871" s="5">
        <v>46094</v>
      </c>
      <c r="L871" s="2" t="s">
        <v>865</v>
      </c>
      <c r="M871" s="5">
        <v>45754</v>
      </c>
      <c r="N871" s="3">
        <f>VLOOKUP(NavDataRegion[[#This Row],[Spool No]],[1]Sheet2!$B:$U,20,0)</f>
        <v>1.7532000000000001</v>
      </c>
      <c r="O871" s="2">
        <v>2</v>
      </c>
      <c r="P871" s="2">
        <v>1</v>
      </c>
      <c r="Q871" s="2"/>
    </row>
    <row r="872" spans="1:17" ht="20.100000000000001" customHeight="1">
      <c r="A872" s="2" t="s">
        <v>9</v>
      </c>
      <c r="B872" s="2" t="s">
        <v>1043</v>
      </c>
      <c r="C872" s="2" t="s">
        <v>1513</v>
      </c>
      <c r="D872" s="2" t="e">
        <f>VLOOKUP(C:C,Vlookup!A:A,1,0)</f>
        <v>#N/A</v>
      </c>
      <c r="E872" s="2">
        <v>14</v>
      </c>
      <c r="F872" s="17" t="s">
        <v>10</v>
      </c>
      <c r="G872" s="17" t="s">
        <v>25</v>
      </c>
      <c r="H872" s="2" t="s">
        <v>11</v>
      </c>
      <c r="I872" s="2">
        <v>1</v>
      </c>
      <c r="J872" s="5">
        <v>46093</v>
      </c>
      <c r="K872" s="5">
        <v>46094</v>
      </c>
      <c r="L872" s="2" t="s">
        <v>865</v>
      </c>
      <c r="M872" s="5">
        <v>45754</v>
      </c>
      <c r="N872" s="3">
        <f>VLOOKUP(NavDataRegion[[#This Row],[Spool No]],[1]Sheet2!$B:$U,20,0)</f>
        <v>3.5417999999999998</v>
      </c>
      <c r="O872" s="2">
        <v>1</v>
      </c>
      <c r="P872" s="2">
        <v>1</v>
      </c>
      <c r="Q872" s="2"/>
    </row>
    <row r="873" spans="1:17" ht="20.100000000000001" customHeight="1">
      <c r="A873" s="2" t="s">
        <v>9</v>
      </c>
      <c r="B873" s="2" t="s">
        <v>1199</v>
      </c>
      <c r="C873" s="2" t="s">
        <v>1200</v>
      </c>
      <c r="D873" s="2" t="e">
        <f>VLOOKUP(C:C,Vlookup!A:A,1,0)</f>
        <v>#N/A</v>
      </c>
      <c r="E873" s="2">
        <v>14</v>
      </c>
      <c r="F873" s="17" t="s">
        <v>10</v>
      </c>
      <c r="G873" s="17" t="s">
        <v>25</v>
      </c>
      <c r="H873" s="2" t="s">
        <v>11</v>
      </c>
      <c r="I873" s="2">
        <v>1</v>
      </c>
      <c r="J873" s="5">
        <v>46098</v>
      </c>
      <c r="K873" s="5">
        <v>46099</v>
      </c>
      <c r="L873" s="2" t="s">
        <v>865</v>
      </c>
      <c r="M873" s="5">
        <v>45754</v>
      </c>
      <c r="N873" s="3">
        <f>VLOOKUP(NavDataRegion[[#This Row],[Spool No]],[1]Sheet2!$B:$U,20,0)</f>
        <v>5.6785199999999998</v>
      </c>
      <c r="O873" s="2">
        <v>5</v>
      </c>
      <c r="P873" s="2">
        <v>1</v>
      </c>
      <c r="Q873" s="2"/>
    </row>
    <row r="874" spans="1:17" ht="20.100000000000001" customHeight="1">
      <c r="A874" s="2" t="s">
        <v>9</v>
      </c>
      <c r="B874" s="2" t="s">
        <v>1199</v>
      </c>
      <c r="C874" s="2" t="s">
        <v>1571</v>
      </c>
      <c r="D874" s="2" t="e">
        <f>VLOOKUP(C:C,Vlookup!A:A,1,0)</f>
        <v>#N/A</v>
      </c>
      <c r="E874" s="2">
        <v>14</v>
      </c>
      <c r="F874" s="17" t="s">
        <v>10</v>
      </c>
      <c r="G874" s="17" t="s">
        <v>25</v>
      </c>
      <c r="H874" s="2" t="s">
        <v>11</v>
      </c>
      <c r="I874" s="2">
        <v>1</v>
      </c>
      <c r="J874" s="5">
        <v>46098</v>
      </c>
      <c r="K874" s="5">
        <v>46099</v>
      </c>
      <c r="L874" s="2" t="s">
        <v>865</v>
      </c>
      <c r="M874" s="5">
        <v>45754</v>
      </c>
      <c r="N874" s="3">
        <f>VLOOKUP(NavDataRegion[[#This Row],[Spool No]],[1]Sheet2!$B:$U,20,0)</f>
        <v>5.8588800000000001</v>
      </c>
      <c r="O874" s="2">
        <v>3</v>
      </c>
      <c r="P874" s="2">
        <v>1</v>
      </c>
      <c r="Q874" s="2"/>
    </row>
    <row r="875" spans="1:17" ht="20.100000000000001" customHeight="1">
      <c r="A875" s="2" t="s">
        <v>9</v>
      </c>
      <c r="B875" s="2" t="s">
        <v>1199</v>
      </c>
      <c r="C875" s="2" t="s">
        <v>1728</v>
      </c>
      <c r="D875" s="2" t="e">
        <f>VLOOKUP(C:C,Vlookup!A:A,1,0)</f>
        <v>#N/A</v>
      </c>
      <c r="E875" s="2">
        <v>14</v>
      </c>
      <c r="F875" s="17" t="s">
        <v>10</v>
      </c>
      <c r="G875" s="17" t="s">
        <v>25</v>
      </c>
      <c r="H875" s="2" t="s">
        <v>11</v>
      </c>
      <c r="I875" s="2">
        <v>1</v>
      </c>
      <c r="J875" s="5">
        <v>46098</v>
      </c>
      <c r="K875" s="5">
        <v>46099</v>
      </c>
      <c r="L875" s="2" t="s">
        <v>865</v>
      </c>
      <c r="M875" s="5">
        <v>45754</v>
      </c>
      <c r="N875" s="3">
        <f>VLOOKUP(NavDataRegion[[#This Row],[Spool No]],[1]Sheet2!$B:$U,20,0)</f>
        <v>5.1009599999999997</v>
      </c>
      <c r="O875" s="2">
        <v>4</v>
      </c>
      <c r="P875" s="2">
        <v>1</v>
      </c>
      <c r="Q875" s="2"/>
    </row>
    <row r="876" spans="1:17" ht="20.100000000000001" customHeight="1">
      <c r="A876" s="2" t="s">
        <v>9</v>
      </c>
      <c r="B876" s="2" t="s">
        <v>1047</v>
      </c>
      <c r="C876" s="2" t="s">
        <v>1048</v>
      </c>
      <c r="D876" s="2" t="e">
        <f>VLOOKUP(C:C,Vlookup!A:A,1,0)</f>
        <v>#N/A</v>
      </c>
      <c r="E876" s="2">
        <v>14</v>
      </c>
      <c r="F876" s="17" t="s">
        <v>10</v>
      </c>
      <c r="G876" s="17" t="s">
        <v>25</v>
      </c>
      <c r="H876" s="2" t="s">
        <v>11</v>
      </c>
      <c r="I876" s="2">
        <v>1</v>
      </c>
      <c r="J876" s="5">
        <v>46093</v>
      </c>
      <c r="K876" s="5">
        <v>46094</v>
      </c>
      <c r="L876" s="2" t="s">
        <v>865</v>
      </c>
      <c r="M876" s="5">
        <v>45754</v>
      </c>
      <c r="N876" s="3">
        <f>VLOOKUP(NavDataRegion[[#This Row],[Spool No]],[1]Sheet2!$B:$U,20,0)</f>
        <v>3.6428400000000001</v>
      </c>
      <c r="O876" s="2">
        <v>1</v>
      </c>
      <c r="P876" s="2">
        <v>1</v>
      </c>
      <c r="Q876" s="2"/>
    </row>
    <row r="877" spans="1:17" ht="20.100000000000001" customHeight="1">
      <c r="A877" s="2" t="s">
        <v>9</v>
      </c>
      <c r="B877" s="2" t="s">
        <v>264</v>
      </c>
      <c r="C877" s="2" t="s">
        <v>1655</v>
      </c>
      <c r="D877" s="2" t="e">
        <f>VLOOKUP(C:C,Vlookup!A:A,1,0)</f>
        <v>#N/A</v>
      </c>
      <c r="E877" s="2">
        <v>18</v>
      </c>
      <c r="F877" s="17" t="s">
        <v>10</v>
      </c>
      <c r="G877" s="17" t="s">
        <v>16</v>
      </c>
      <c r="H877" s="2" t="s">
        <v>11</v>
      </c>
      <c r="I877" s="2">
        <v>1</v>
      </c>
      <c r="J877" s="5">
        <v>46108</v>
      </c>
      <c r="K877" s="5">
        <v>46113</v>
      </c>
      <c r="L877" s="2" t="s">
        <v>865</v>
      </c>
      <c r="M877" s="5">
        <v>45754</v>
      </c>
      <c r="N877" s="3">
        <f>VLOOKUP(NavDataRegion[[#This Row],[Spool No]],[1]Sheet2!$B:$U,20,0)</f>
        <v>195.41145</v>
      </c>
      <c r="O877" s="2">
        <v>23</v>
      </c>
      <c r="P877" s="2">
        <v>8</v>
      </c>
      <c r="Q877" s="2"/>
    </row>
    <row r="878" spans="1:17" ht="20.100000000000001" customHeight="1">
      <c r="A878" s="2" t="s">
        <v>9</v>
      </c>
      <c r="B878" s="2" t="s">
        <v>1207</v>
      </c>
      <c r="C878" s="2" t="s">
        <v>1208</v>
      </c>
      <c r="D878" s="2" t="e">
        <f>VLOOKUP(C:C,Vlookup!A:A,1,0)</f>
        <v>#N/A</v>
      </c>
      <c r="E878" s="2">
        <v>14</v>
      </c>
      <c r="F878" s="17" t="s">
        <v>10</v>
      </c>
      <c r="G878" s="17" t="s">
        <v>25</v>
      </c>
      <c r="H878" s="2" t="s">
        <v>11</v>
      </c>
      <c r="I878" s="2">
        <v>1</v>
      </c>
      <c r="J878" s="5">
        <v>46098</v>
      </c>
      <c r="K878" s="5">
        <v>46099</v>
      </c>
      <c r="L878" s="2" t="s">
        <v>865</v>
      </c>
      <c r="M878" s="5">
        <v>45754</v>
      </c>
      <c r="N878" s="3">
        <f>VLOOKUP(NavDataRegion[[#This Row],[Spool No]],[1]Sheet2!$B:$U,20,0)</f>
        <v>9.4296000000000006</v>
      </c>
      <c r="O878" s="2">
        <v>6</v>
      </c>
      <c r="P878" s="2">
        <v>1</v>
      </c>
      <c r="Q878" s="2"/>
    </row>
    <row r="879" spans="1:17" ht="20.100000000000001" customHeight="1">
      <c r="A879" s="2" t="s">
        <v>9</v>
      </c>
      <c r="B879" s="2" t="s">
        <v>1161</v>
      </c>
      <c r="C879" s="2" t="s">
        <v>1557</v>
      </c>
      <c r="D879" s="2" t="e">
        <f>VLOOKUP(C:C,Vlookup!A:A,1,0)</f>
        <v>#N/A</v>
      </c>
      <c r="E879" s="2">
        <v>14</v>
      </c>
      <c r="F879" s="17" t="s">
        <v>10</v>
      </c>
      <c r="G879" s="17" t="s">
        <v>25</v>
      </c>
      <c r="H879" s="2" t="s">
        <v>11</v>
      </c>
      <c r="I879" s="2">
        <v>1</v>
      </c>
      <c r="J879" s="5">
        <v>46105</v>
      </c>
      <c r="K879" s="5">
        <v>46106</v>
      </c>
      <c r="L879" s="2" t="s">
        <v>865</v>
      </c>
      <c r="M879" s="5">
        <v>45754</v>
      </c>
      <c r="N879" s="3">
        <f>VLOOKUP(NavDataRegion[[#This Row],[Spool No]],[1]Sheet2!$B:$U,20,0)</f>
        <v>8.8352400000000006</v>
      </c>
      <c r="O879" s="2">
        <v>7</v>
      </c>
      <c r="P879" s="2">
        <v>1</v>
      </c>
      <c r="Q879" s="2"/>
    </row>
    <row r="880" spans="1:17" ht="20.100000000000001" customHeight="1">
      <c r="A880" s="2" t="s">
        <v>9</v>
      </c>
      <c r="B880" s="2" t="s">
        <v>1215</v>
      </c>
      <c r="C880" s="2" t="s">
        <v>1216</v>
      </c>
      <c r="D880" s="2" t="e">
        <f>VLOOKUP(C:C,Vlookup!A:A,1,0)</f>
        <v>#N/A</v>
      </c>
      <c r="E880" s="2">
        <v>14</v>
      </c>
      <c r="F880" s="17" t="s">
        <v>10</v>
      </c>
      <c r="G880" s="17" t="s">
        <v>25</v>
      </c>
      <c r="H880" s="2" t="s">
        <v>11</v>
      </c>
      <c r="I880" s="2">
        <v>1</v>
      </c>
      <c r="J880" s="5">
        <v>46098</v>
      </c>
      <c r="K880" s="5">
        <v>46099</v>
      </c>
      <c r="L880" s="2" t="s">
        <v>865</v>
      </c>
      <c r="M880" s="5">
        <v>45754</v>
      </c>
      <c r="N880" s="3">
        <f>VLOOKUP(NavDataRegion[[#This Row],[Spool No]],[1]Sheet2!$B:$U,20,0)</f>
        <v>19.648800000000001</v>
      </c>
      <c r="O880" s="2">
        <v>3.75</v>
      </c>
      <c r="P880" s="2">
        <v>0.75</v>
      </c>
      <c r="Q880" s="2"/>
    </row>
    <row r="881" spans="1:17" ht="20.100000000000001" customHeight="1">
      <c r="A881" s="2" t="s">
        <v>9</v>
      </c>
      <c r="B881" s="2" t="s">
        <v>1217</v>
      </c>
      <c r="C881" s="2" t="s">
        <v>1573</v>
      </c>
      <c r="D881" s="2" t="e">
        <f>VLOOKUP(C:C,Vlookup!A:A,1,0)</f>
        <v>#N/A</v>
      </c>
      <c r="E881" s="2">
        <v>14</v>
      </c>
      <c r="F881" s="17" t="s">
        <v>10</v>
      </c>
      <c r="G881" s="17" t="s">
        <v>25</v>
      </c>
      <c r="H881" s="2" t="s">
        <v>11</v>
      </c>
      <c r="I881" s="2">
        <v>1</v>
      </c>
      <c r="J881" s="5">
        <v>46098</v>
      </c>
      <c r="K881" s="5">
        <v>46099</v>
      </c>
      <c r="L881" s="2" t="s">
        <v>865</v>
      </c>
      <c r="M881" s="5">
        <v>45754</v>
      </c>
      <c r="N881" s="3">
        <f>VLOOKUP(NavDataRegion[[#This Row],[Spool No]],[1]Sheet2!$B:$U,20,0)</f>
        <v>2.1291600000000002</v>
      </c>
      <c r="O881" s="2">
        <v>2</v>
      </c>
      <c r="P881" s="2">
        <v>1</v>
      </c>
      <c r="Q881" s="2"/>
    </row>
    <row r="882" spans="1:17" ht="20.100000000000001" customHeight="1">
      <c r="A882" s="2" t="s">
        <v>9</v>
      </c>
      <c r="B882" s="2" t="s">
        <v>1065</v>
      </c>
      <c r="C882" s="2" t="s">
        <v>1066</v>
      </c>
      <c r="D882" s="2" t="e">
        <f>VLOOKUP(C:C,Vlookup!A:A,1,0)</f>
        <v>#N/A</v>
      </c>
      <c r="E882" s="2">
        <v>14</v>
      </c>
      <c r="F882" s="17" t="s">
        <v>10</v>
      </c>
      <c r="G882" s="17" t="s">
        <v>25</v>
      </c>
      <c r="H882" s="2" t="s">
        <v>11</v>
      </c>
      <c r="I882" s="2">
        <v>1</v>
      </c>
      <c r="J882" s="5">
        <v>46093</v>
      </c>
      <c r="K882" s="5">
        <v>46094</v>
      </c>
      <c r="L882" s="2" t="s">
        <v>865</v>
      </c>
      <c r="M882" s="5">
        <v>45754</v>
      </c>
      <c r="N882" s="3">
        <f>VLOOKUP(NavDataRegion[[#This Row],[Spool No]],[1]Sheet2!$B:$U,20,0)</f>
        <v>9.08568</v>
      </c>
      <c r="O882" s="2">
        <v>4</v>
      </c>
      <c r="P882" s="2">
        <v>1</v>
      </c>
      <c r="Q882" s="2"/>
    </row>
    <row r="883" spans="1:17" ht="20.100000000000001" customHeight="1">
      <c r="A883" s="2" t="s">
        <v>9</v>
      </c>
      <c r="B883" s="2" t="s">
        <v>941</v>
      </c>
      <c r="C883" s="2" t="s">
        <v>1477</v>
      </c>
      <c r="D883" s="2" t="e">
        <f>VLOOKUP(C:C,Vlookup!A:A,1,0)</f>
        <v>#N/A</v>
      </c>
      <c r="E883" s="2">
        <v>16</v>
      </c>
      <c r="F883" s="17" t="s">
        <v>10</v>
      </c>
      <c r="G883" s="17" t="s">
        <v>25</v>
      </c>
      <c r="H883" s="2" t="s">
        <v>11</v>
      </c>
      <c r="I883" s="2">
        <v>1</v>
      </c>
      <c r="J883" s="5">
        <v>46113</v>
      </c>
      <c r="K883" s="5">
        <v>46118</v>
      </c>
      <c r="L883" s="2" t="s">
        <v>865</v>
      </c>
      <c r="M883" s="5">
        <v>46167</v>
      </c>
      <c r="N883" s="3">
        <f>VLOOKUP(NavDataRegion[[#This Row],[Spool No]],[1]Sheet2!$B:$U,20,0)</f>
        <v>32.615400000000001</v>
      </c>
      <c r="O883" s="2">
        <v>3</v>
      </c>
      <c r="P883" s="2">
        <v>1</v>
      </c>
      <c r="Q883" s="2"/>
    </row>
    <row r="884" spans="1:17" ht="20.100000000000001" customHeight="1">
      <c r="A884" s="2" t="s">
        <v>9</v>
      </c>
      <c r="B884" s="2" t="s">
        <v>1169</v>
      </c>
      <c r="C884" s="2" t="s">
        <v>1170</v>
      </c>
      <c r="D884" s="2" t="e">
        <f>VLOOKUP(C:C,Vlookup!A:A,1,0)</f>
        <v>#N/A</v>
      </c>
      <c r="E884" s="2">
        <v>14</v>
      </c>
      <c r="F884" s="17" t="s">
        <v>10</v>
      </c>
      <c r="G884" s="17" t="s">
        <v>25</v>
      </c>
      <c r="H884" s="2" t="s">
        <v>11</v>
      </c>
      <c r="I884" s="2">
        <v>1</v>
      </c>
      <c r="J884" s="5">
        <v>46100</v>
      </c>
      <c r="K884" s="5">
        <v>46101</v>
      </c>
      <c r="L884" s="2" t="s">
        <v>865</v>
      </c>
      <c r="M884" s="5">
        <v>45754</v>
      </c>
      <c r="N884" s="3">
        <f>VLOOKUP(NavDataRegion[[#This Row],[Spool No]],[1]Sheet2!$B:$U,20,0)</f>
        <v>1.64316</v>
      </c>
      <c r="O884" s="2">
        <v>1</v>
      </c>
      <c r="P884" s="2">
        <v>1</v>
      </c>
      <c r="Q884" s="2"/>
    </row>
    <row r="885" spans="1:17" ht="20.100000000000001" customHeight="1">
      <c r="A885" s="2" t="s">
        <v>9</v>
      </c>
      <c r="B885" s="2" t="s">
        <v>1217</v>
      </c>
      <c r="C885" s="2" t="s">
        <v>1730</v>
      </c>
      <c r="D885" s="2" t="e">
        <f>VLOOKUP(C:C,Vlookup!A:A,1,0)</f>
        <v>#N/A</v>
      </c>
      <c r="E885" s="2">
        <v>14</v>
      </c>
      <c r="F885" s="17" t="s">
        <v>10</v>
      </c>
      <c r="G885" s="17" t="s">
        <v>25</v>
      </c>
      <c r="H885" s="2" t="s">
        <v>11</v>
      </c>
      <c r="I885" s="2">
        <v>1</v>
      </c>
      <c r="J885" s="5">
        <v>46098</v>
      </c>
      <c r="K885" s="5">
        <v>46099</v>
      </c>
      <c r="L885" s="2" t="s">
        <v>865</v>
      </c>
      <c r="M885" s="5">
        <v>45754</v>
      </c>
      <c r="N885" s="3">
        <f>VLOOKUP(NavDataRegion[[#This Row],[Spool No]],[1]Sheet2!$B:$U,20,0)</f>
        <v>10.10976</v>
      </c>
      <c r="O885" s="2">
        <v>8</v>
      </c>
      <c r="P885" s="2">
        <v>1</v>
      </c>
      <c r="Q885" s="2"/>
    </row>
    <row r="886" spans="1:17" ht="20.100000000000001" customHeight="1">
      <c r="A886" s="2" t="s">
        <v>9</v>
      </c>
      <c r="B886" s="2" t="s">
        <v>1221</v>
      </c>
      <c r="C886" s="2" t="s">
        <v>1222</v>
      </c>
      <c r="D886" s="2" t="e">
        <f>VLOOKUP(C:C,Vlookup!A:A,1,0)</f>
        <v>#N/A</v>
      </c>
      <c r="E886" s="2">
        <v>14</v>
      </c>
      <c r="F886" s="17" t="s">
        <v>10</v>
      </c>
      <c r="G886" s="17" t="s">
        <v>25</v>
      </c>
      <c r="H886" s="2" t="s">
        <v>11</v>
      </c>
      <c r="I886" s="2">
        <v>1</v>
      </c>
      <c r="J886" s="5">
        <v>46098</v>
      </c>
      <c r="K886" s="5">
        <v>46099</v>
      </c>
      <c r="L886" s="2" t="s">
        <v>865</v>
      </c>
      <c r="M886" s="5">
        <v>45754</v>
      </c>
      <c r="N886" s="3">
        <f>VLOOKUP(NavDataRegion[[#This Row],[Spool No]],[1]Sheet2!$B:$U,20,0)</f>
        <v>22.705880000000001</v>
      </c>
      <c r="O886" s="2">
        <v>6</v>
      </c>
      <c r="P886" s="2">
        <v>1</v>
      </c>
      <c r="Q886" s="2"/>
    </row>
    <row r="887" spans="1:17" ht="20.100000000000001" customHeight="1">
      <c r="A887" s="2" t="s">
        <v>9</v>
      </c>
      <c r="B887" s="2" t="s">
        <v>1225</v>
      </c>
      <c r="C887" s="2" t="s">
        <v>1731</v>
      </c>
      <c r="D887" s="2" t="e">
        <f>VLOOKUP(C:C,Vlookup!A:A,1,0)</f>
        <v>#N/A</v>
      </c>
      <c r="E887" s="2">
        <v>14</v>
      </c>
      <c r="F887" s="17" t="s">
        <v>10</v>
      </c>
      <c r="G887" s="17" t="s">
        <v>25</v>
      </c>
      <c r="H887" s="2" t="s">
        <v>11</v>
      </c>
      <c r="I887" s="2">
        <v>1</v>
      </c>
      <c r="J887" s="5">
        <v>46098</v>
      </c>
      <c r="K887" s="5">
        <v>46099</v>
      </c>
      <c r="L887" s="2" t="s">
        <v>865</v>
      </c>
      <c r="M887" s="5">
        <v>45754</v>
      </c>
      <c r="N887" s="3">
        <f>VLOOKUP(NavDataRegion[[#This Row],[Spool No]],[1]Sheet2!$B:$U,20,0)</f>
        <v>2.1658599999999999</v>
      </c>
      <c r="O887" s="2">
        <v>2</v>
      </c>
      <c r="P887" s="2">
        <v>0.5</v>
      </c>
      <c r="Q887" s="2"/>
    </row>
    <row r="888" spans="1:17" ht="20.100000000000001" customHeight="1">
      <c r="A888" s="2" t="s">
        <v>9</v>
      </c>
      <c r="B888" s="2" t="s">
        <v>1227</v>
      </c>
      <c r="C888" s="2" t="s">
        <v>1575</v>
      </c>
      <c r="D888" s="2" t="e">
        <f>VLOOKUP(C:C,Vlookup!A:A,1,0)</f>
        <v>#N/A</v>
      </c>
      <c r="E888" s="2">
        <v>14</v>
      </c>
      <c r="F888" s="17" t="s">
        <v>10</v>
      </c>
      <c r="G888" s="17" t="s">
        <v>25</v>
      </c>
      <c r="H888" s="2" t="s">
        <v>11</v>
      </c>
      <c r="I888" s="2">
        <v>1</v>
      </c>
      <c r="J888" s="5">
        <v>46098</v>
      </c>
      <c r="K888" s="5">
        <v>46099</v>
      </c>
      <c r="L888" s="2" t="s">
        <v>865</v>
      </c>
      <c r="M888" s="5">
        <v>45754</v>
      </c>
      <c r="N888" s="3">
        <f>VLOOKUP(NavDataRegion[[#This Row],[Spool No]],[1]Sheet2!$B:$U,20,0)</f>
        <v>1.5696399999999999</v>
      </c>
      <c r="O888" s="2">
        <v>1.5</v>
      </c>
      <c r="P888" s="2">
        <v>0.5</v>
      </c>
      <c r="Q888" s="2"/>
    </row>
    <row r="889" spans="1:17" ht="20.100000000000001" customHeight="1">
      <c r="A889" s="2" t="s">
        <v>9</v>
      </c>
      <c r="B889" s="2" t="s">
        <v>1227</v>
      </c>
      <c r="C889" s="2" t="s">
        <v>1834</v>
      </c>
      <c r="D889" s="2" t="e">
        <f>VLOOKUP(C:C,Vlookup!A:A,1,0)</f>
        <v>#N/A</v>
      </c>
      <c r="E889" s="2">
        <v>14</v>
      </c>
      <c r="F889" s="17" t="s">
        <v>10</v>
      </c>
      <c r="G889" s="17" t="s">
        <v>25</v>
      </c>
      <c r="H889" s="2" t="s">
        <v>11</v>
      </c>
      <c r="I889" s="2">
        <v>1</v>
      </c>
      <c r="J889" s="5">
        <v>46098</v>
      </c>
      <c r="K889" s="5">
        <v>46099</v>
      </c>
      <c r="L889" s="2" t="s">
        <v>865</v>
      </c>
      <c r="M889" s="5">
        <v>45754</v>
      </c>
      <c r="N889" s="3">
        <f>VLOOKUP(NavDataRegion[[#This Row],[Spool No]],[1]Sheet2!$B:$U,20,0)</f>
        <v>5.9064800000000002</v>
      </c>
      <c r="O889" s="2">
        <v>0.5</v>
      </c>
      <c r="P889" s="2">
        <v>0.5</v>
      </c>
      <c r="Q889" s="2"/>
    </row>
    <row r="890" spans="1:17" ht="20.100000000000001" customHeight="1">
      <c r="A890" s="2" t="s">
        <v>9</v>
      </c>
      <c r="B890" s="2" t="s">
        <v>1229</v>
      </c>
      <c r="C890" s="2" t="s">
        <v>1576</v>
      </c>
      <c r="D890" s="2" t="e">
        <f>VLOOKUP(C:C,Vlookup!A:A,1,0)</f>
        <v>#N/A</v>
      </c>
      <c r="E890" s="2">
        <v>14</v>
      </c>
      <c r="F890" s="17" t="s">
        <v>10</v>
      </c>
      <c r="G890" s="17" t="s">
        <v>25</v>
      </c>
      <c r="H890" s="2" t="s">
        <v>11</v>
      </c>
      <c r="I890" s="2">
        <v>1</v>
      </c>
      <c r="J890" s="5">
        <v>46098</v>
      </c>
      <c r="K890" s="5">
        <v>46099</v>
      </c>
      <c r="L890" s="2" t="s">
        <v>865</v>
      </c>
      <c r="M890" s="5">
        <v>45754</v>
      </c>
      <c r="N890" s="3">
        <f>VLOOKUP(NavDataRegion[[#This Row],[Spool No]],[1]Sheet2!$B:$U,20,0)</f>
        <v>2.8866999999999998</v>
      </c>
      <c r="O890" s="2">
        <v>1.5</v>
      </c>
      <c r="P890" s="2">
        <v>0.5</v>
      </c>
      <c r="Q890" s="2"/>
    </row>
    <row r="891" spans="1:17" ht="20.100000000000001" customHeight="1">
      <c r="A891" s="2" t="s">
        <v>9</v>
      </c>
      <c r="B891" s="2" t="s">
        <v>1071</v>
      </c>
      <c r="C891" s="2" t="s">
        <v>1522</v>
      </c>
      <c r="D891" s="2" t="e">
        <f>VLOOKUP(C:C,Vlookup!A:A,1,0)</f>
        <v>#N/A</v>
      </c>
      <c r="E891" s="2">
        <v>14</v>
      </c>
      <c r="F891" s="17" t="s">
        <v>10</v>
      </c>
      <c r="G891" s="17" t="s">
        <v>25</v>
      </c>
      <c r="H891" s="2" t="s">
        <v>11</v>
      </c>
      <c r="I891" s="2">
        <v>1</v>
      </c>
      <c r="J891" s="5">
        <v>46093</v>
      </c>
      <c r="K891" s="5">
        <v>46094</v>
      </c>
      <c r="L891" s="2" t="s">
        <v>865</v>
      </c>
      <c r="M891" s="5">
        <v>45754</v>
      </c>
      <c r="N891" s="3">
        <f>VLOOKUP(NavDataRegion[[#This Row],[Spool No]],[1]Sheet2!$B:$U,20,0)</f>
        <v>10.473000000000001</v>
      </c>
      <c r="O891" s="2">
        <v>0.75</v>
      </c>
      <c r="P891" s="2">
        <v>0.75</v>
      </c>
      <c r="Q891" s="2"/>
    </row>
    <row r="892" spans="1:17" ht="20.100000000000001" customHeight="1">
      <c r="A892" s="2" t="s">
        <v>9</v>
      </c>
      <c r="B892" s="2" t="s">
        <v>1173</v>
      </c>
      <c r="C892" s="2" t="s">
        <v>1562</v>
      </c>
      <c r="D892" s="2" t="e">
        <f>VLOOKUP(C:C,Vlookup!A:A,1,0)</f>
        <v>#N/A</v>
      </c>
      <c r="E892" s="2">
        <v>14</v>
      </c>
      <c r="F892" s="17" t="s">
        <v>10</v>
      </c>
      <c r="G892" s="17" t="s">
        <v>25</v>
      </c>
      <c r="H892" s="2" t="s">
        <v>11</v>
      </c>
      <c r="I892" s="2">
        <v>1</v>
      </c>
      <c r="J892" s="5">
        <v>46100</v>
      </c>
      <c r="K892" s="5">
        <v>46101</v>
      </c>
      <c r="L892" s="2" t="s">
        <v>865</v>
      </c>
      <c r="M892" s="5">
        <v>45754</v>
      </c>
      <c r="N892" s="3">
        <f>VLOOKUP(NavDataRegion[[#This Row],[Spool No]],[1]Sheet2!$B:$U,20,0)</f>
        <v>8.9857200000000006</v>
      </c>
      <c r="O892" s="2">
        <v>5</v>
      </c>
      <c r="P892" s="2">
        <v>1</v>
      </c>
      <c r="Q892" s="2"/>
    </row>
    <row r="893" spans="1:17" ht="20.100000000000001" customHeight="1">
      <c r="A893" s="2" t="s">
        <v>9</v>
      </c>
      <c r="B893" s="2" t="s">
        <v>1245</v>
      </c>
      <c r="C893" s="2" t="s">
        <v>1581</v>
      </c>
      <c r="D893" s="2" t="e">
        <f>VLOOKUP(C:C,Vlookup!A:A,1,0)</f>
        <v>#N/A</v>
      </c>
      <c r="E893" s="2">
        <v>23</v>
      </c>
      <c r="F893" s="17" t="s">
        <v>10</v>
      </c>
      <c r="G893" s="17" t="s">
        <v>25</v>
      </c>
      <c r="H893" s="2" t="s">
        <v>11</v>
      </c>
      <c r="I893" s="2">
        <v>1</v>
      </c>
      <c r="J893" s="5">
        <v>46169</v>
      </c>
      <c r="K893" s="5">
        <v>46170</v>
      </c>
      <c r="L893" s="2" t="s">
        <v>865</v>
      </c>
      <c r="M893" s="5">
        <v>46185</v>
      </c>
      <c r="N893" s="3">
        <f>VLOOKUP(NavDataRegion[[#This Row],[Spool No]],[1]Sheet2!$B:$U,20,0)</f>
        <v>97.15616</v>
      </c>
      <c r="O893" s="2">
        <v>5</v>
      </c>
      <c r="P893" s="2">
        <v>1</v>
      </c>
      <c r="Q893" s="2"/>
    </row>
    <row r="894" spans="1:17" ht="20.100000000000001" customHeight="1">
      <c r="A894" s="2" t="s">
        <v>9</v>
      </c>
      <c r="B894" s="2" t="s">
        <v>1247</v>
      </c>
      <c r="C894" s="2" t="s">
        <v>1582</v>
      </c>
      <c r="D894" s="2" t="e">
        <f>VLOOKUP(C:C,Vlookup!A:A,1,0)</f>
        <v>#N/A</v>
      </c>
      <c r="E894" s="2">
        <v>16</v>
      </c>
      <c r="F894" s="17" t="s">
        <v>10</v>
      </c>
      <c r="G894" s="17" t="s">
        <v>25</v>
      </c>
      <c r="H894" s="2" t="s">
        <v>11</v>
      </c>
      <c r="I894" s="2">
        <v>1</v>
      </c>
      <c r="J894" s="5">
        <v>46107</v>
      </c>
      <c r="K894" s="5">
        <v>46111</v>
      </c>
      <c r="L894" s="2" t="s">
        <v>865</v>
      </c>
      <c r="M894" s="5">
        <v>46167</v>
      </c>
      <c r="N894" s="3">
        <f>VLOOKUP(NavDataRegion[[#This Row],[Spool No]],[1]Sheet2!$B:$U,20,0)</f>
        <v>20.875959999999999</v>
      </c>
      <c r="O894" s="2">
        <v>5</v>
      </c>
      <c r="P894" s="2">
        <v>1</v>
      </c>
      <c r="Q894" s="2"/>
    </row>
    <row r="895" spans="1:17" ht="20.100000000000001" customHeight="1">
      <c r="A895" s="2" t="s">
        <v>9</v>
      </c>
      <c r="B895" s="2" t="s">
        <v>1253</v>
      </c>
      <c r="C895" s="2" t="s">
        <v>1584</v>
      </c>
      <c r="D895" s="2" t="e">
        <f>VLOOKUP(C:C,Vlookup!A:A,1,0)</f>
        <v>#N/A</v>
      </c>
      <c r="E895" s="2">
        <v>14</v>
      </c>
      <c r="F895" s="17" t="s">
        <v>10</v>
      </c>
      <c r="G895" s="17" t="s">
        <v>25</v>
      </c>
      <c r="H895" s="2" t="s">
        <v>11</v>
      </c>
      <c r="I895" s="2">
        <v>1</v>
      </c>
      <c r="J895" s="5">
        <v>46105</v>
      </c>
      <c r="K895" s="5">
        <v>46106</v>
      </c>
      <c r="L895" s="2" t="s">
        <v>865</v>
      </c>
      <c r="M895" s="5">
        <v>45754</v>
      </c>
      <c r="N895" s="3">
        <f>VLOOKUP(NavDataRegion[[#This Row],[Spool No]],[1]Sheet2!$B:$U,20,0)</f>
        <v>9.3579600000000003</v>
      </c>
      <c r="O895" s="2">
        <v>3</v>
      </c>
      <c r="P895" s="2">
        <v>1</v>
      </c>
      <c r="Q895" s="2"/>
    </row>
    <row r="896" spans="1:17" ht="20.100000000000001" customHeight="1">
      <c r="A896" s="2" t="s">
        <v>9</v>
      </c>
      <c r="B896" s="2" t="s">
        <v>1229</v>
      </c>
      <c r="C896" s="2" t="s">
        <v>1835</v>
      </c>
      <c r="D896" s="2" t="e">
        <f>VLOOKUP(C:C,Vlookup!A:A,1,0)</f>
        <v>#N/A</v>
      </c>
      <c r="E896" s="2">
        <v>14</v>
      </c>
      <c r="F896" s="17" t="s">
        <v>10</v>
      </c>
      <c r="G896" s="17" t="s">
        <v>25</v>
      </c>
      <c r="H896" s="2" t="s">
        <v>11</v>
      </c>
      <c r="I896" s="2">
        <v>1</v>
      </c>
      <c r="J896" s="5">
        <v>46098</v>
      </c>
      <c r="K896" s="5">
        <v>46099</v>
      </c>
      <c r="L896" s="2" t="s">
        <v>865</v>
      </c>
      <c r="M896" s="5">
        <v>45754</v>
      </c>
      <c r="N896" s="3">
        <f>VLOOKUP(NavDataRegion[[#This Row],[Spool No]],[1]Sheet2!$B:$U,20,0)</f>
        <v>5.7833600000000001</v>
      </c>
      <c r="O896" s="2">
        <v>0.5</v>
      </c>
      <c r="P896" s="2">
        <v>0.5</v>
      </c>
      <c r="Q896" s="2"/>
    </row>
    <row r="897" spans="1:17" ht="20.100000000000001" customHeight="1">
      <c r="A897" s="2" t="s">
        <v>9</v>
      </c>
      <c r="B897" s="2" t="s">
        <v>1231</v>
      </c>
      <c r="C897" s="2" t="s">
        <v>1232</v>
      </c>
      <c r="D897" s="2" t="e">
        <f>VLOOKUP(C:C,Vlookup!A:A,1,0)</f>
        <v>#N/A</v>
      </c>
      <c r="E897" s="2">
        <v>14</v>
      </c>
      <c r="F897" s="17" t="s">
        <v>10</v>
      </c>
      <c r="G897" s="17" t="s">
        <v>25</v>
      </c>
      <c r="H897" s="2" t="s">
        <v>11</v>
      </c>
      <c r="I897" s="2">
        <v>1</v>
      </c>
      <c r="J897" s="5">
        <v>46098</v>
      </c>
      <c r="K897" s="5">
        <v>46099</v>
      </c>
      <c r="L897" s="2" t="s">
        <v>865</v>
      </c>
      <c r="M897" s="5">
        <v>45754</v>
      </c>
      <c r="N897" s="3">
        <f>VLOOKUP(NavDataRegion[[#This Row],[Spool No]],[1]Sheet2!$B:$U,20,0)</f>
        <v>3.74702</v>
      </c>
      <c r="O897" s="2">
        <v>1</v>
      </c>
      <c r="P897" s="2">
        <v>0.5</v>
      </c>
      <c r="Q897" s="2"/>
    </row>
    <row r="898" spans="1:17" ht="20.100000000000001" customHeight="1">
      <c r="A898" s="2" t="s">
        <v>9</v>
      </c>
      <c r="B898" s="2" t="s">
        <v>1197</v>
      </c>
      <c r="C898" s="2" t="s">
        <v>1198</v>
      </c>
      <c r="D898" s="2" t="e">
        <f>VLOOKUP(C:C,Vlookup!A:A,1,0)</f>
        <v>#N/A</v>
      </c>
      <c r="E898" s="2">
        <v>14</v>
      </c>
      <c r="F898" s="17" t="s">
        <v>10</v>
      </c>
      <c r="G898" s="17" t="s">
        <v>25</v>
      </c>
      <c r="H898" s="2" t="s">
        <v>11</v>
      </c>
      <c r="I898" s="2">
        <v>1</v>
      </c>
      <c r="J898" s="5">
        <v>46100</v>
      </c>
      <c r="K898" s="5">
        <v>46101</v>
      </c>
      <c r="L898" s="2" t="s">
        <v>865</v>
      </c>
      <c r="M898" s="5">
        <v>45754</v>
      </c>
      <c r="N898" s="3">
        <f>VLOOKUP(NavDataRegion[[#This Row],[Spool No]],[1]Sheet2!$B:$U,20,0)</f>
        <v>4.6093200000000003</v>
      </c>
      <c r="O898" s="2">
        <v>5</v>
      </c>
      <c r="P898" s="2">
        <v>1</v>
      </c>
      <c r="Q898" s="2"/>
    </row>
    <row r="899" spans="1:17" ht="20.100000000000001" customHeight="1">
      <c r="A899" s="2" t="s">
        <v>9</v>
      </c>
      <c r="B899" s="2" t="s">
        <v>1231</v>
      </c>
      <c r="C899" s="2" t="s">
        <v>1577</v>
      </c>
      <c r="D899" s="2" t="e">
        <f>VLOOKUP(C:C,Vlookup!A:A,1,0)</f>
        <v>#N/A</v>
      </c>
      <c r="E899" s="2">
        <v>14</v>
      </c>
      <c r="F899" s="17" t="s">
        <v>10</v>
      </c>
      <c r="G899" s="17" t="s">
        <v>25</v>
      </c>
      <c r="H899" s="2" t="s">
        <v>11</v>
      </c>
      <c r="I899" s="2">
        <v>1</v>
      </c>
      <c r="J899" s="5">
        <v>46098</v>
      </c>
      <c r="K899" s="5">
        <v>46099</v>
      </c>
      <c r="L899" s="2" t="s">
        <v>865</v>
      </c>
      <c r="M899" s="5">
        <v>45754</v>
      </c>
      <c r="N899" s="3">
        <f>VLOOKUP(NavDataRegion[[#This Row],[Spool No]],[1]Sheet2!$B:$U,20,0)</f>
        <v>6.2110000000000003</v>
      </c>
      <c r="O899" s="2">
        <v>1.5</v>
      </c>
      <c r="P899" s="2">
        <v>0.5</v>
      </c>
      <c r="Q899" s="2"/>
    </row>
    <row r="900" spans="1:17" ht="20.100000000000001" customHeight="1">
      <c r="A900" s="2" t="s">
        <v>9</v>
      </c>
      <c r="B900" s="2" t="s">
        <v>1213</v>
      </c>
      <c r="C900" s="2" t="s">
        <v>1214</v>
      </c>
      <c r="D900" s="2" t="e">
        <f>VLOOKUP(C:C,Vlookup!A:A,1,0)</f>
        <v>#N/A</v>
      </c>
      <c r="E900" s="2">
        <v>14</v>
      </c>
      <c r="F900" s="17" t="s">
        <v>10</v>
      </c>
      <c r="G900" s="17" t="s">
        <v>25</v>
      </c>
      <c r="H900" s="2" t="s">
        <v>11</v>
      </c>
      <c r="I900" s="2">
        <v>1</v>
      </c>
      <c r="J900" s="5">
        <v>46100</v>
      </c>
      <c r="K900" s="5">
        <v>46101</v>
      </c>
      <c r="L900" s="2" t="s">
        <v>865</v>
      </c>
      <c r="M900" s="5">
        <v>45754</v>
      </c>
      <c r="N900" s="3">
        <f>VLOOKUP(NavDataRegion[[#This Row],[Spool No]],[1]Sheet2!$B:$U,20,0)</f>
        <v>29.768799999999999</v>
      </c>
      <c r="O900" s="2">
        <v>4</v>
      </c>
      <c r="P900" s="2">
        <v>1</v>
      </c>
      <c r="Q900" s="2"/>
    </row>
    <row r="901" spans="1:17" ht="20.100000000000001" customHeight="1">
      <c r="A901" s="2" t="s">
        <v>9</v>
      </c>
      <c r="B901" s="2" t="s">
        <v>1061</v>
      </c>
      <c r="C901" s="2" t="s">
        <v>1807</v>
      </c>
      <c r="D901" s="2" t="e">
        <f>VLOOKUP(C:C,Vlookup!A:A,1,0)</f>
        <v>#N/A</v>
      </c>
      <c r="E901" s="2">
        <v>16</v>
      </c>
      <c r="F901" s="17" t="s">
        <v>10</v>
      </c>
      <c r="G901" s="17" t="s">
        <v>25</v>
      </c>
      <c r="H901" s="2" t="s">
        <v>11</v>
      </c>
      <c r="I901" s="2">
        <v>1</v>
      </c>
      <c r="J901" s="5">
        <v>46105</v>
      </c>
      <c r="K901" s="5">
        <v>46108</v>
      </c>
      <c r="L901" s="2" t="s">
        <v>865</v>
      </c>
      <c r="M901" s="5">
        <v>46167</v>
      </c>
      <c r="N901" s="3">
        <f>VLOOKUP(NavDataRegion[[#This Row],[Spool No]],[1]Sheet2!$B:$U,20,0)</f>
        <v>20.725680000000001</v>
      </c>
      <c r="O901" s="2">
        <v>4</v>
      </c>
      <c r="P901" s="2">
        <v>1</v>
      </c>
      <c r="Q901" s="2"/>
    </row>
    <row r="902" spans="1:17" ht="20.100000000000001" customHeight="1">
      <c r="A902" s="2" t="s">
        <v>9</v>
      </c>
      <c r="B902" s="2" t="s">
        <v>1321</v>
      </c>
      <c r="C902" s="2" t="s">
        <v>1616</v>
      </c>
      <c r="D902" s="2" t="e">
        <f>VLOOKUP(C:C,Vlookup!A:A,1,0)</f>
        <v>#N/A</v>
      </c>
      <c r="E902" s="2">
        <v>23</v>
      </c>
      <c r="F902" s="17" t="s">
        <v>10</v>
      </c>
      <c r="G902" s="17" t="s">
        <v>25</v>
      </c>
      <c r="H902" s="2" t="s">
        <v>11</v>
      </c>
      <c r="I902" s="2">
        <v>1</v>
      </c>
      <c r="J902" s="5">
        <v>46169</v>
      </c>
      <c r="K902" s="5">
        <v>46170</v>
      </c>
      <c r="L902" s="2" t="s">
        <v>865</v>
      </c>
      <c r="M902" s="5">
        <v>46185</v>
      </c>
      <c r="N902" s="3">
        <f>VLOOKUP(NavDataRegion[[#This Row],[Spool No]],[1]Sheet2!$B:$U,20,0)</f>
        <v>38.475079999999998</v>
      </c>
      <c r="O902" s="2">
        <v>5</v>
      </c>
      <c r="P902" s="2">
        <v>1</v>
      </c>
      <c r="Q902" s="2"/>
    </row>
    <row r="903" spans="1:17" ht="20.100000000000001" customHeight="1">
      <c r="A903" s="2" t="s">
        <v>9</v>
      </c>
      <c r="B903" s="2" t="s">
        <v>1233</v>
      </c>
      <c r="C903" s="2" t="s">
        <v>1578</v>
      </c>
      <c r="D903" s="2" t="e">
        <f>VLOOKUP(C:C,Vlookup!A:A,1,0)</f>
        <v>#N/A</v>
      </c>
      <c r="E903" s="2">
        <v>14</v>
      </c>
      <c r="F903" s="17" t="s">
        <v>10</v>
      </c>
      <c r="G903" s="17" t="s">
        <v>25</v>
      </c>
      <c r="H903" s="2" t="s">
        <v>11</v>
      </c>
      <c r="I903" s="2">
        <v>1</v>
      </c>
      <c r="J903" s="5">
        <v>46098</v>
      </c>
      <c r="K903" s="5">
        <v>46099</v>
      </c>
      <c r="L903" s="2" t="s">
        <v>865</v>
      </c>
      <c r="M903" s="5">
        <v>45754</v>
      </c>
      <c r="N903" s="3">
        <f>VLOOKUP(NavDataRegion[[#This Row],[Spool No]],[1]Sheet2!$B:$U,20,0)</f>
        <v>6.0328400000000002</v>
      </c>
      <c r="O903" s="2">
        <v>0.5</v>
      </c>
      <c r="P903" s="2">
        <v>0.5</v>
      </c>
      <c r="Q903" s="2"/>
    </row>
    <row r="904" spans="1:17" ht="20.100000000000001" customHeight="1">
      <c r="A904" s="2" t="s">
        <v>9</v>
      </c>
      <c r="B904" s="2" t="s">
        <v>339</v>
      </c>
      <c r="C904" s="2" t="s">
        <v>340</v>
      </c>
      <c r="D904" s="2" t="e">
        <f>VLOOKUP(C:C,Vlookup!A:A,1,0)</f>
        <v>#N/A</v>
      </c>
      <c r="E904" s="2">
        <v>18</v>
      </c>
      <c r="F904" s="2" t="s">
        <v>341</v>
      </c>
      <c r="G904" s="2" t="s">
        <v>16</v>
      </c>
      <c r="H904" s="2" t="s">
        <v>11</v>
      </c>
      <c r="I904" s="2">
        <v>1</v>
      </c>
      <c r="J904" s="5">
        <v>46112</v>
      </c>
      <c r="K904" s="5">
        <v>46113</v>
      </c>
      <c r="L904" s="2" t="s">
        <v>865</v>
      </c>
      <c r="M904" s="5">
        <v>45754</v>
      </c>
      <c r="N904" s="3">
        <f>VLOOKUP(NavDataRegion[[#This Row],[Spool No]],[1]Sheet2!$B:$U,20,0)</f>
        <v>1625.5463299999999</v>
      </c>
      <c r="O904" s="2">
        <v>81</v>
      </c>
      <c r="P904" s="2">
        <v>12</v>
      </c>
      <c r="Q904" s="2"/>
    </row>
    <row r="905" spans="1:17" ht="20.100000000000001" customHeight="1">
      <c r="A905" s="2" t="s">
        <v>9</v>
      </c>
      <c r="B905" s="2" t="s">
        <v>1217</v>
      </c>
      <c r="C905" s="2" t="s">
        <v>1218</v>
      </c>
      <c r="D905" s="2" t="e">
        <f>VLOOKUP(C:C,Vlookup!A:A,1,0)</f>
        <v>#N/A</v>
      </c>
      <c r="E905" s="2">
        <v>14</v>
      </c>
      <c r="F905" s="17" t="s">
        <v>10</v>
      </c>
      <c r="G905" s="17" t="s">
        <v>25</v>
      </c>
      <c r="H905" s="2" t="s">
        <v>11</v>
      </c>
      <c r="I905" s="2">
        <v>1</v>
      </c>
      <c r="J905" s="5">
        <v>46100</v>
      </c>
      <c r="K905" s="5">
        <v>46101</v>
      </c>
      <c r="L905" s="2" t="s">
        <v>865</v>
      </c>
      <c r="M905" s="5">
        <v>45754</v>
      </c>
      <c r="N905" s="3">
        <f>VLOOKUP(NavDataRegion[[#This Row],[Spool No]],[1]Sheet2!$B:$U,20,0)</f>
        <v>5.0714399999999999</v>
      </c>
      <c r="O905" s="2">
        <v>3</v>
      </c>
      <c r="P905" s="2">
        <v>1</v>
      </c>
      <c r="Q905" s="2"/>
    </row>
    <row r="906" spans="1:17" ht="20.100000000000001" customHeight="1">
      <c r="A906" s="2" t="s">
        <v>9</v>
      </c>
      <c r="B906" s="2" t="s">
        <v>1329</v>
      </c>
      <c r="C906" s="2" t="s">
        <v>1620</v>
      </c>
      <c r="D906" s="2" t="e">
        <f>VLOOKUP(C:C,Vlookup!A:A,1,0)</f>
        <v>#N/A</v>
      </c>
      <c r="E906" s="2">
        <v>14</v>
      </c>
      <c r="F906" s="17" t="s">
        <v>10</v>
      </c>
      <c r="G906" s="17" t="s">
        <v>25</v>
      </c>
      <c r="H906" s="2" t="s">
        <v>11</v>
      </c>
      <c r="I906" s="2">
        <v>1</v>
      </c>
      <c r="J906" s="5">
        <v>46105</v>
      </c>
      <c r="K906" s="5">
        <v>46106</v>
      </c>
      <c r="L906" s="2" t="s">
        <v>865</v>
      </c>
      <c r="M906" s="5">
        <v>45754</v>
      </c>
      <c r="N906" s="3">
        <f>VLOOKUP(NavDataRegion[[#This Row],[Spool No]],[1]Sheet2!$B:$U,20,0)</f>
        <v>12.28628</v>
      </c>
      <c r="O906" s="2">
        <v>5</v>
      </c>
      <c r="P906" s="2">
        <v>1</v>
      </c>
      <c r="Q906" s="2"/>
    </row>
    <row r="907" spans="1:17" ht="20.100000000000001" customHeight="1">
      <c r="A907" s="2" t="s">
        <v>9</v>
      </c>
      <c r="B907" s="2" t="s">
        <v>1233</v>
      </c>
      <c r="C907" s="2" t="s">
        <v>1735</v>
      </c>
      <c r="D907" s="2" t="e">
        <f>VLOOKUP(C:C,Vlookup!A:A,1,0)</f>
        <v>#N/A</v>
      </c>
      <c r="E907" s="2">
        <v>14</v>
      </c>
      <c r="F907" s="17" t="s">
        <v>10</v>
      </c>
      <c r="G907" s="17" t="s">
        <v>25</v>
      </c>
      <c r="H907" s="2" t="s">
        <v>11</v>
      </c>
      <c r="I907" s="2">
        <v>1</v>
      </c>
      <c r="J907" s="5">
        <v>46098</v>
      </c>
      <c r="K907" s="5">
        <v>46099</v>
      </c>
      <c r="L907" s="2" t="s">
        <v>865</v>
      </c>
      <c r="M907" s="5">
        <v>45754</v>
      </c>
      <c r="N907" s="3">
        <f>VLOOKUP(NavDataRegion[[#This Row],[Spool No]],[1]Sheet2!$B:$U,20,0)</f>
        <v>2.9839600000000002</v>
      </c>
      <c r="O907" s="2">
        <v>1.5</v>
      </c>
      <c r="P907" s="2">
        <v>0.5</v>
      </c>
      <c r="Q907" s="2"/>
    </row>
    <row r="908" spans="1:17" ht="20.100000000000001" customHeight="1">
      <c r="A908" s="2" t="s">
        <v>9</v>
      </c>
      <c r="B908" s="2" t="s">
        <v>1393</v>
      </c>
      <c r="C908" s="2" t="s">
        <v>1634</v>
      </c>
      <c r="D908" s="2" t="e">
        <f>VLOOKUP(C:C,Vlookup!A:A,1,0)</f>
        <v>#N/A</v>
      </c>
      <c r="E908" s="2">
        <v>23</v>
      </c>
      <c r="F908" s="17" t="s">
        <v>10</v>
      </c>
      <c r="G908" s="17" t="s">
        <v>25</v>
      </c>
      <c r="H908" s="2" t="s">
        <v>11</v>
      </c>
      <c r="I908" s="2">
        <v>1</v>
      </c>
      <c r="J908" s="5">
        <v>46169</v>
      </c>
      <c r="K908" s="5">
        <v>46170</v>
      </c>
      <c r="L908" s="2" t="s">
        <v>865</v>
      </c>
      <c r="M908" s="5">
        <v>46185</v>
      </c>
      <c r="N908" s="3">
        <f>VLOOKUP(NavDataRegion[[#This Row],[Spool No]],[1]Sheet2!$B:$U,20,0)</f>
        <v>64.264840000000007</v>
      </c>
      <c r="O908" s="2">
        <v>11</v>
      </c>
      <c r="P908" s="2">
        <v>1</v>
      </c>
      <c r="Q908" s="2"/>
    </row>
    <row r="909" spans="1:17" ht="20.100000000000001" customHeight="1">
      <c r="A909" s="2" t="s">
        <v>9</v>
      </c>
      <c r="B909" s="2" t="s">
        <v>1089</v>
      </c>
      <c r="C909" s="2" t="s">
        <v>1090</v>
      </c>
      <c r="D909" s="2" t="e">
        <f>VLOOKUP(C:C,Vlookup!A:A,1,0)</f>
        <v>#N/A</v>
      </c>
      <c r="E909" s="2">
        <v>14</v>
      </c>
      <c r="F909" s="17" t="s">
        <v>10</v>
      </c>
      <c r="G909" s="17" t="s">
        <v>25</v>
      </c>
      <c r="H909" s="2" t="s">
        <v>11</v>
      </c>
      <c r="I909" s="2">
        <v>1</v>
      </c>
      <c r="J909" s="5">
        <v>46105</v>
      </c>
      <c r="K909" s="5">
        <v>46107</v>
      </c>
      <c r="L909" s="2" t="s">
        <v>865</v>
      </c>
      <c r="M909" s="5">
        <v>45754</v>
      </c>
      <c r="N909" s="3">
        <f>VLOOKUP(NavDataRegion[[#This Row],[Spool No]],[1]Sheet2!$B:$U,20,0)</f>
        <v>34.717680000000001</v>
      </c>
      <c r="O909" s="2">
        <v>2</v>
      </c>
      <c r="P909" s="2">
        <v>1</v>
      </c>
      <c r="Q909" s="2"/>
    </row>
    <row r="910" spans="1:17" ht="20.100000000000001" customHeight="1">
      <c r="A910" s="2" t="s">
        <v>9</v>
      </c>
      <c r="B910" s="2" t="s">
        <v>1233</v>
      </c>
      <c r="C910" s="2" t="s">
        <v>1836</v>
      </c>
      <c r="D910" s="2" t="e">
        <f>VLOOKUP(C:C,Vlookup!A:A,1,0)</f>
        <v>#N/A</v>
      </c>
      <c r="E910" s="2">
        <v>14</v>
      </c>
      <c r="F910" s="17" t="s">
        <v>10</v>
      </c>
      <c r="G910" s="17" t="s">
        <v>25</v>
      </c>
      <c r="H910" s="2" t="s">
        <v>11</v>
      </c>
      <c r="I910" s="2">
        <v>1</v>
      </c>
      <c r="J910" s="5">
        <v>46098</v>
      </c>
      <c r="K910" s="5">
        <v>46099</v>
      </c>
      <c r="L910" s="2" t="s">
        <v>865</v>
      </c>
      <c r="M910" s="5">
        <v>45754</v>
      </c>
      <c r="N910" s="3">
        <f>VLOOKUP(NavDataRegion[[#This Row],[Spool No]],[1]Sheet2!$B:$U,20,0)</f>
        <v>1.04806</v>
      </c>
      <c r="O910" s="2">
        <v>1.5</v>
      </c>
      <c r="P910" s="2">
        <v>0.5</v>
      </c>
      <c r="Q910" s="2"/>
    </row>
    <row r="911" spans="1:17" ht="20.100000000000001" customHeight="1">
      <c r="A911" s="2" t="s">
        <v>9</v>
      </c>
      <c r="B911" s="2" t="s">
        <v>1073</v>
      </c>
      <c r="C911" s="2" t="s">
        <v>1523</v>
      </c>
      <c r="D911" s="2" t="e">
        <f>VLOOKUP(C:C,Vlookup!A:A,1,0)</f>
        <v>#N/A</v>
      </c>
      <c r="E911" s="2">
        <v>14</v>
      </c>
      <c r="F911" s="17" t="s">
        <v>10</v>
      </c>
      <c r="G911" s="17" t="s">
        <v>25</v>
      </c>
      <c r="H911" s="2" t="s">
        <v>11</v>
      </c>
      <c r="I911" s="2">
        <v>1</v>
      </c>
      <c r="J911" s="5">
        <v>46101</v>
      </c>
      <c r="K911" s="5">
        <v>46104</v>
      </c>
      <c r="L911" s="2" t="s">
        <v>865</v>
      </c>
      <c r="M911" s="5">
        <v>45754</v>
      </c>
      <c r="N911" s="3">
        <f>VLOOKUP(NavDataRegion[[#This Row],[Spool No]],[1]Sheet2!$B:$U,20,0)</f>
        <v>31.038119999999999</v>
      </c>
      <c r="O911" s="2">
        <v>10</v>
      </c>
      <c r="P911" s="2">
        <v>2</v>
      </c>
      <c r="Q911" s="2"/>
    </row>
    <row r="912" spans="1:17" ht="20.100000000000001" customHeight="1">
      <c r="A912" s="2" t="s">
        <v>9</v>
      </c>
      <c r="B912" s="2" t="s">
        <v>907</v>
      </c>
      <c r="C912" s="2" t="s">
        <v>1659</v>
      </c>
      <c r="D912" s="2" t="e">
        <f>VLOOKUP(C:C,Vlookup!A:A,1,0)</f>
        <v>#N/A</v>
      </c>
      <c r="E912" s="2">
        <v>16</v>
      </c>
      <c r="F912" s="17" t="s">
        <v>10</v>
      </c>
      <c r="G912" s="17" t="s">
        <v>281</v>
      </c>
      <c r="H912" s="2" t="s">
        <v>11</v>
      </c>
      <c r="I912" s="2">
        <v>1</v>
      </c>
      <c r="J912" s="5">
        <v>46115</v>
      </c>
      <c r="K912" s="5">
        <v>46118</v>
      </c>
      <c r="L912" s="2" t="s">
        <v>865</v>
      </c>
      <c r="M912" s="5">
        <v>46167</v>
      </c>
      <c r="N912" s="3">
        <f>VLOOKUP(NavDataRegion[[#This Row],[Spool No]],[1]Sheet2!$B:$U,20,0)</f>
        <v>9.4357199999999999</v>
      </c>
      <c r="O912" s="2">
        <v>0</v>
      </c>
      <c r="P912" s="2">
        <v>1</v>
      </c>
      <c r="Q912" s="2"/>
    </row>
    <row r="913" spans="1:17" ht="20.100000000000001" customHeight="1">
      <c r="A913" s="2" t="s">
        <v>9</v>
      </c>
      <c r="B913" s="2" t="s">
        <v>939</v>
      </c>
      <c r="C913" s="2" t="s">
        <v>1667</v>
      </c>
      <c r="D913" s="2" t="e">
        <f>VLOOKUP(C:C,Vlookup!A:A,1,0)</f>
        <v>#N/A</v>
      </c>
      <c r="E913" s="2">
        <v>23</v>
      </c>
      <c r="F913" s="17" t="s">
        <v>10</v>
      </c>
      <c r="G913" s="17" t="s">
        <v>25</v>
      </c>
      <c r="H913" s="2" t="s">
        <v>11</v>
      </c>
      <c r="I913" s="2">
        <v>1</v>
      </c>
      <c r="J913" s="5">
        <v>46169</v>
      </c>
      <c r="K913" s="5">
        <v>46170</v>
      </c>
      <c r="L913" s="2" t="s">
        <v>865</v>
      </c>
      <c r="M913" s="5">
        <v>46185</v>
      </c>
      <c r="N913" s="3">
        <f>VLOOKUP(NavDataRegion[[#This Row],[Spool No]],[1]Sheet2!$B:$U,20,0)</f>
        <v>54.164360000000002</v>
      </c>
      <c r="O913" s="2">
        <v>4</v>
      </c>
      <c r="P913" s="2">
        <v>1</v>
      </c>
      <c r="Q913" s="2"/>
    </row>
    <row r="914" spans="1:17" ht="20.100000000000001" customHeight="1">
      <c r="A914" s="2" t="s">
        <v>9</v>
      </c>
      <c r="B914" s="2" t="s">
        <v>1095</v>
      </c>
      <c r="C914" s="2" t="s">
        <v>1882</v>
      </c>
      <c r="D914" s="2" t="e">
        <f>VLOOKUP(C:C,Vlookup!A:A,1,0)</f>
        <v>#N/A</v>
      </c>
      <c r="E914" s="2">
        <v>14</v>
      </c>
      <c r="F914" s="17" t="s">
        <v>10</v>
      </c>
      <c r="G914" s="17" t="s">
        <v>25</v>
      </c>
      <c r="H914" s="2" t="s">
        <v>11</v>
      </c>
      <c r="I914" s="2">
        <v>1</v>
      </c>
      <c r="J914" s="5">
        <v>46101</v>
      </c>
      <c r="K914" s="5">
        <v>46104</v>
      </c>
      <c r="L914" s="2" t="s">
        <v>865</v>
      </c>
      <c r="M914" s="5">
        <v>45754</v>
      </c>
      <c r="N914" s="3">
        <f>VLOOKUP(NavDataRegion[[#This Row],[Spool No]],[1]Sheet2!$B:$U,20,0)</f>
        <v>5.6357999999999997</v>
      </c>
      <c r="O914" s="2">
        <v>4</v>
      </c>
      <c r="P914" s="2">
        <v>1</v>
      </c>
      <c r="Q914" s="2"/>
    </row>
    <row r="915" spans="1:17" ht="20.100000000000001" customHeight="1">
      <c r="A915" s="2" t="s">
        <v>9</v>
      </c>
      <c r="B915" s="2" t="s">
        <v>1235</v>
      </c>
      <c r="C915" s="2" t="s">
        <v>1837</v>
      </c>
      <c r="D915" s="2" t="e">
        <f>VLOOKUP(C:C,Vlookup!A:A,1,0)</f>
        <v>#N/A</v>
      </c>
      <c r="E915" s="2">
        <v>14</v>
      </c>
      <c r="F915" s="17" t="s">
        <v>10</v>
      </c>
      <c r="G915" s="17" t="s">
        <v>25</v>
      </c>
      <c r="H915" s="2" t="s">
        <v>11</v>
      </c>
      <c r="I915" s="2">
        <v>1</v>
      </c>
      <c r="J915" s="5">
        <v>46098</v>
      </c>
      <c r="K915" s="5">
        <v>46099</v>
      </c>
      <c r="L915" s="2" t="s">
        <v>865</v>
      </c>
      <c r="M915" s="5">
        <v>45754</v>
      </c>
      <c r="N915" s="3">
        <f>VLOOKUP(NavDataRegion[[#This Row],[Spool No]],[1]Sheet2!$B:$U,20,0)</f>
        <v>1.9683999999999999</v>
      </c>
      <c r="O915" s="2">
        <v>2.5</v>
      </c>
      <c r="P915" s="2">
        <v>0.5</v>
      </c>
      <c r="Q915" s="2"/>
    </row>
    <row r="916" spans="1:17" ht="20.100000000000001" customHeight="1">
      <c r="A916" s="2" t="s">
        <v>9</v>
      </c>
      <c r="B916" s="2" t="s">
        <v>1097</v>
      </c>
      <c r="C916" s="2" t="s">
        <v>1533</v>
      </c>
      <c r="D916" s="2" t="e">
        <f>VLOOKUP(C:C,Vlookup!A:A,1,0)</f>
        <v>#N/A</v>
      </c>
      <c r="E916" s="2">
        <v>14</v>
      </c>
      <c r="F916" s="17" t="s">
        <v>10</v>
      </c>
      <c r="G916" s="17" t="s">
        <v>25</v>
      </c>
      <c r="H916" s="2" t="s">
        <v>11</v>
      </c>
      <c r="I916" s="2">
        <v>1</v>
      </c>
      <c r="J916" s="5">
        <v>46101</v>
      </c>
      <c r="K916" s="5">
        <v>46104</v>
      </c>
      <c r="L916" s="2" t="s">
        <v>865</v>
      </c>
      <c r="M916" s="5">
        <v>45754</v>
      </c>
      <c r="N916" s="3">
        <f>VLOOKUP(NavDataRegion[[#This Row],[Spool No]],[1]Sheet2!$B:$U,20,0)</f>
        <v>11.42984</v>
      </c>
      <c r="O916" s="2">
        <v>6</v>
      </c>
      <c r="P916" s="2">
        <v>2</v>
      </c>
      <c r="Q916" s="2"/>
    </row>
    <row r="917" spans="1:17" ht="20.100000000000001" customHeight="1">
      <c r="A917" s="2" t="s">
        <v>9</v>
      </c>
      <c r="B917" s="2" t="s">
        <v>1219</v>
      </c>
      <c r="C917" s="2" t="s">
        <v>1220</v>
      </c>
      <c r="D917" s="2" t="e">
        <f>VLOOKUP(C:C,Vlookup!A:A,1,0)</f>
        <v>#N/A</v>
      </c>
      <c r="E917" s="2">
        <v>14</v>
      </c>
      <c r="F917" s="17" t="s">
        <v>10</v>
      </c>
      <c r="G917" s="17" t="s">
        <v>25</v>
      </c>
      <c r="H917" s="2" t="s">
        <v>11</v>
      </c>
      <c r="I917" s="2">
        <v>1</v>
      </c>
      <c r="J917" s="5">
        <v>46100</v>
      </c>
      <c r="K917" s="5">
        <v>46101</v>
      </c>
      <c r="L917" s="2" t="s">
        <v>865</v>
      </c>
      <c r="M917" s="5">
        <v>45754</v>
      </c>
      <c r="N917" s="3">
        <f>VLOOKUP(NavDataRegion[[#This Row],[Spool No]],[1]Sheet2!$B:$U,20,0)</f>
        <v>22.543880000000001</v>
      </c>
      <c r="O917" s="2">
        <v>6</v>
      </c>
      <c r="P917" s="2">
        <v>1</v>
      </c>
      <c r="Q917" s="2"/>
    </row>
    <row r="918" spans="1:17" ht="20.100000000000001" customHeight="1">
      <c r="A918" s="2" t="s">
        <v>9</v>
      </c>
      <c r="B918" s="2" t="s">
        <v>1239</v>
      </c>
      <c r="C918" s="2" t="s">
        <v>1240</v>
      </c>
      <c r="D918" s="2" t="e">
        <f>VLOOKUP(C:C,Vlookup!A:A,1,0)</f>
        <v>#N/A</v>
      </c>
      <c r="E918" s="2">
        <v>14</v>
      </c>
      <c r="F918" s="17" t="s">
        <v>10</v>
      </c>
      <c r="G918" s="17" t="s">
        <v>25</v>
      </c>
      <c r="H918" s="2" t="s">
        <v>11</v>
      </c>
      <c r="I918" s="2">
        <v>1</v>
      </c>
      <c r="J918" s="5">
        <v>46100</v>
      </c>
      <c r="K918" s="5">
        <v>46101</v>
      </c>
      <c r="L918" s="2" t="s">
        <v>865</v>
      </c>
      <c r="M918" s="5">
        <v>45754</v>
      </c>
      <c r="N918" s="3">
        <f>VLOOKUP(NavDataRegion[[#This Row],[Spool No]],[1]Sheet2!$B:$U,20,0)</f>
        <v>28.773679999999999</v>
      </c>
      <c r="O918" s="2">
        <v>7</v>
      </c>
      <c r="P918" s="2">
        <v>1</v>
      </c>
      <c r="Q918" s="2"/>
    </row>
    <row r="919" spans="1:17" ht="20.100000000000001" customHeight="1">
      <c r="A919" s="2" t="s">
        <v>9</v>
      </c>
      <c r="B919" s="2" t="s">
        <v>967</v>
      </c>
      <c r="C919" s="2" t="s">
        <v>1678</v>
      </c>
      <c r="D919" s="2" t="e">
        <f>VLOOKUP(C:C,Vlookup!A:A,1,0)</f>
        <v>#N/A</v>
      </c>
      <c r="E919" s="2">
        <v>23</v>
      </c>
      <c r="F919" s="17" t="s">
        <v>10</v>
      </c>
      <c r="G919" s="17" t="s">
        <v>25</v>
      </c>
      <c r="H919" s="2" t="s">
        <v>11</v>
      </c>
      <c r="I919" s="2">
        <v>1</v>
      </c>
      <c r="J919" s="5">
        <v>46169</v>
      </c>
      <c r="K919" s="5">
        <v>46170</v>
      </c>
      <c r="L919" s="2" t="s">
        <v>865</v>
      </c>
      <c r="M919" s="5">
        <v>46185</v>
      </c>
      <c r="N919" s="3">
        <f>VLOOKUP(NavDataRegion[[#This Row],[Spool No]],[1]Sheet2!$B:$U,20,0)</f>
        <v>46.92944</v>
      </c>
      <c r="O919" s="2">
        <v>4</v>
      </c>
      <c r="P919" s="2">
        <v>1</v>
      </c>
      <c r="Q919" s="2"/>
    </row>
    <row r="920" spans="1:17" ht="20.100000000000001" customHeight="1">
      <c r="A920" s="2" t="s">
        <v>9</v>
      </c>
      <c r="B920" s="2" t="s">
        <v>1239</v>
      </c>
      <c r="C920" s="2" t="s">
        <v>1580</v>
      </c>
      <c r="D920" s="2" t="e">
        <f>VLOOKUP(C:C,Vlookup!A:A,1,0)</f>
        <v>#N/A</v>
      </c>
      <c r="E920" s="2">
        <v>14</v>
      </c>
      <c r="F920" s="17" t="s">
        <v>10</v>
      </c>
      <c r="G920" s="17" t="s">
        <v>25</v>
      </c>
      <c r="H920" s="2" t="s">
        <v>11</v>
      </c>
      <c r="I920" s="2">
        <v>1</v>
      </c>
      <c r="J920" s="5">
        <v>46100</v>
      </c>
      <c r="K920" s="5">
        <v>46101</v>
      </c>
      <c r="L920" s="2" t="s">
        <v>865</v>
      </c>
      <c r="M920" s="5">
        <v>45754</v>
      </c>
      <c r="N920" s="3">
        <f>VLOOKUP(NavDataRegion[[#This Row],[Spool No]],[1]Sheet2!$B:$U,20,0)</f>
        <v>20.190000000000001</v>
      </c>
      <c r="O920" s="2">
        <v>2</v>
      </c>
      <c r="P920" s="2">
        <v>1</v>
      </c>
      <c r="Q920" s="2"/>
    </row>
    <row r="921" spans="1:17" ht="20.100000000000001" customHeight="1">
      <c r="A921" s="2" t="s">
        <v>9</v>
      </c>
      <c r="B921" s="2" t="s">
        <v>1239</v>
      </c>
      <c r="C921" s="2" t="s">
        <v>1737</v>
      </c>
      <c r="D921" s="2" t="e">
        <f>VLOOKUP(C:C,Vlookup!A:A,1,0)</f>
        <v>#N/A</v>
      </c>
      <c r="E921" s="2">
        <v>14</v>
      </c>
      <c r="F921" s="17" t="s">
        <v>10</v>
      </c>
      <c r="G921" s="17" t="s">
        <v>25</v>
      </c>
      <c r="H921" s="2" t="s">
        <v>11</v>
      </c>
      <c r="I921" s="2">
        <v>1</v>
      </c>
      <c r="J921" s="5">
        <v>46100</v>
      </c>
      <c r="K921" s="5">
        <v>46101</v>
      </c>
      <c r="L921" s="2" t="s">
        <v>865</v>
      </c>
      <c r="M921" s="5">
        <v>45754</v>
      </c>
      <c r="N921" s="3">
        <f>VLOOKUP(NavDataRegion[[#This Row],[Spool No]],[1]Sheet2!$B:$U,20,0)</f>
        <v>19.71</v>
      </c>
      <c r="O921" s="2">
        <v>1</v>
      </c>
      <c r="P921" s="2">
        <v>1</v>
      </c>
      <c r="Q921" s="2"/>
    </row>
    <row r="922" spans="1:17" ht="20.100000000000001" customHeight="1">
      <c r="A922" s="2" t="s">
        <v>9</v>
      </c>
      <c r="B922" s="2" t="s">
        <v>1099</v>
      </c>
      <c r="C922" s="2" t="s">
        <v>1534</v>
      </c>
      <c r="D922" s="2" t="e">
        <f>VLOOKUP(C:C,Vlookup!A:A,1,0)</f>
        <v>#N/A</v>
      </c>
      <c r="E922" s="2">
        <v>16</v>
      </c>
      <c r="F922" s="17" t="s">
        <v>10</v>
      </c>
      <c r="G922" s="17" t="s">
        <v>25</v>
      </c>
      <c r="H922" s="2" t="s">
        <v>11</v>
      </c>
      <c r="I922" s="2">
        <v>1</v>
      </c>
      <c r="J922" s="5">
        <v>46113</v>
      </c>
      <c r="K922" s="5">
        <v>46118</v>
      </c>
      <c r="L922" s="2" t="s">
        <v>865</v>
      </c>
      <c r="M922" s="5">
        <v>46167</v>
      </c>
      <c r="N922" s="3">
        <f>VLOOKUP(NavDataRegion[[#This Row],[Spool No]],[1]Sheet2!$B:$U,20,0)</f>
        <v>24.360959999999999</v>
      </c>
      <c r="O922" s="2">
        <v>5</v>
      </c>
      <c r="P922" s="2">
        <v>1</v>
      </c>
      <c r="Q922" s="2"/>
    </row>
    <row r="923" spans="1:17" ht="20.100000000000001" customHeight="1">
      <c r="A923" s="2" t="s">
        <v>9</v>
      </c>
      <c r="B923" s="2" t="s">
        <v>1017</v>
      </c>
      <c r="C923" s="2" t="s">
        <v>1688</v>
      </c>
      <c r="D923" s="2" t="e">
        <f>VLOOKUP(C:C,Vlookup!A:A,1,0)</f>
        <v>#N/A</v>
      </c>
      <c r="E923" s="2">
        <v>14</v>
      </c>
      <c r="F923" s="17" t="s">
        <v>10</v>
      </c>
      <c r="G923" s="17" t="s">
        <v>25</v>
      </c>
      <c r="H923" s="2" t="s">
        <v>11</v>
      </c>
      <c r="I923" s="2">
        <v>1</v>
      </c>
      <c r="J923" s="5">
        <v>46105</v>
      </c>
      <c r="K923" s="5">
        <v>46106</v>
      </c>
      <c r="L923" s="2" t="s">
        <v>865</v>
      </c>
      <c r="M923" s="5">
        <v>45754</v>
      </c>
      <c r="N923" s="3">
        <f>VLOOKUP(NavDataRegion[[#This Row],[Spool No]],[1]Sheet2!$B:$U,20,0)</f>
        <v>8.7420000000000009</v>
      </c>
      <c r="O923" s="2">
        <v>2</v>
      </c>
      <c r="P923" s="2">
        <v>1</v>
      </c>
      <c r="Q923" s="2"/>
    </row>
    <row r="924" spans="1:17" ht="20.100000000000001" customHeight="1">
      <c r="A924" s="2" t="s">
        <v>9</v>
      </c>
      <c r="B924" s="2" t="s">
        <v>1063</v>
      </c>
      <c r="C924" s="2" t="s">
        <v>1521</v>
      </c>
      <c r="D924" s="2" t="e">
        <f>VLOOKUP(C:C,Vlookup!A:A,1,0)</f>
        <v>#N/A</v>
      </c>
      <c r="E924" s="2">
        <v>16</v>
      </c>
      <c r="F924" s="17" t="s">
        <v>10</v>
      </c>
      <c r="G924" s="17" t="s">
        <v>25</v>
      </c>
      <c r="H924" s="2" t="s">
        <v>11</v>
      </c>
      <c r="I924" s="2">
        <v>1</v>
      </c>
      <c r="J924" s="5">
        <v>46105</v>
      </c>
      <c r="K924" s="5">
        <v>46111</v>
      </c>
      <c r="L924" s="2" t="s">
        <v>865</v>
      </c>
      <c r="M924" s="5">
        <v>46167</v>
      </c>
      <c r="N924" s="3">
        <f>VLOOKUP(NavDataRegion[[#This Row],[Spool No]],[1]Sheet2!$B:$U,20,0)</f>
        <v>55.631839999999997</v>
      </c>
      <c r="O924" s="2">
        <v>6</v>
      </c>
      <c r="P924" s="2">
        <v>1</v>
      </c>
      <c r="Q924" s="2"/>
    </row>
    <row r="925" spans="1:17" ht="20.100000000000001" customHeight="1">
      <c r="A925" s="2" t="s">
        <v>9</v>
      </c>
      <c r="B925" s="2" t="s">
        <v>1035</v>
      </c>
      <c r="C925" s="2" t="s">
        <v>1691</v>
      </c>
      <c r="D925" s="2" t="e">
        <f>VLOOKUP(C:C,Vlookup!A:A,1,0)</f>
        <v>#N/A</v>
      </c>
      <c r="E925" s="2">
        <v>23</v>
      </c>
      <c r="F925" s="17" t="s">
        <v>10</v>
      </c>
      <c r="G925" s="17" t="s">
        <v>25</v>
      </c>
      <c r="H925" s="2" t="s">
        <v>11</v>
      </c>
      <c r="I925" s="2">
        <v>1</v>
      </c>
      <c r="J925" s="5">
        <v>46169</v>
      </c>
      <c r="K925" s="5">
        <v>46170</v>
      </c>
      <c r="L925" s="2" t="s">
        <v>865</v>
      </c>
      <c r="M925" s="5">
        <v>46185</v>
      </c>
      <c r="N925" s="3">
        <f>VLOOKUP(NavDataRegion[[#This Row],[Spool No]],[1]Sheet2!$B:$U,20,0)</f>
        <v>109.87179999999999</v>
      </c>
      <c r="O925" s="2">
        <v>3</v>
      </c>
      <c r="P925" s="2">
        <v>1</v>
      </c>
      <c r="Q925" s="2"/>
    </row>
    <row r="926" spans="1:17" ht="20.100000000000001" customHeight="1">
      <c r="A926" s="2" t="s">
        <v>9</v>
      </c>
      <c r="B926" s="2" t="s">
        <v>1063</v>
      </c>
      <c r="C926" s="2" t="s">
        <v>1699</v>
      </c>
      <c r="D926" s="2" t="e">
        <f>VLOOKUP(C:C,Vlookup!A:A,1,0)</f>
        <v>#N/A</v>
      </c>
      <c r="E926" s="2">
        <v>16</v>
      </c>
      <c r="F926" s="17" t="s">
        <v>10</v>
      </c>
      <c r="G926" s="17" t="s">
        <v>25</v>
      </c>
      <c r="H926" s="2" t="s">
        <v>11</v>
      </c>
      <c r="I926" s="2">
        <v>1</v>
      </c>
      <c r="J926" s="5">
        <v>46105</v>
      </c>
      <c r="K926" s="5">
        <v>46108</v>
      </c>
      <c r="L926" s="2" t="s">
        <v>865</v>
      </c>
      <c r="M926" s="5">
        <v>46167</v>
      </c>
      <c r="N926" s="3">
        <f>VLOOKUP(NavDataRegion[[#This Row],[Spool No]],[1]Sheet2!$B:$U,20,0)</f>
        <v>17.309519999999999</v>
      </c>
      <c r="O926" s="2">
        <v>5</v>
      </c>
      <c r="P926" s="2">
        <v>1</v>
      </c>
      <c r="Q926" s="2"/>
    </row>
    <row r="927" spans="1:17" ht="20.100000000000001" customHeight="1">
      <c r="A927" s="2" t="s">
        <v>9</v>
      </c>
      <c r="B927" s="2" t="s">
        <v>1039</v>
      </c>
      <c r="C927" s="2" t="s">
        <v>1693</v>
      </c>
      <c r="D927" s="2" t="str">
        <f>VLOOKUP(C:C,Vlookup!A:A,1,0)</f>
        <v>V17551-PIND-0373-03</v>
      </c>
      <c r="E927" s="2">
        <v>25</v>
      </c>
      <c r="F927" s="17" t="s">
        <v>10</v>
      </c>
      <c r="G927" s="17" t="s">
        <v>25</v>
      </c>
      <c r="H927" s="2" t="s">
        <v>11</v>
      </c>
      <c r="I927" s="2">
        <v>1</v>
      </c>
      <c r="J927" s="5">
        <v>46216</v>
      </c>
      <c r="K927" s="5">
        <v>46216</v>
      </c>
      <c r="L927" s="2" t="s">
        <v>865</v>
      </c>
      <c r="M927" s="5">
        <v>46227</v>
      </c>
      <c r="N927" s="3">
        <f>VLOOKUP(NavDataRegion[[#This Row],[Spool No]],[1]Sheet2!$B:$U,20,0)</f>
        <v>113.14404</v>
      </c>
      <c r="O927" s="2">
        <v>6</v>
      </c>
      <c r="P927" s="2">
        <v>1</v>
      </c>
      <c r="Q927" s="2"/>
    </row>
    <row r="928" spans="1:17" ht="20.100000000000001" customHeight="1">
      <c r="A928" s="2" t="s">
        <v>9</v>
      </c>
      <c r="B928" s="2" t="s">
        <v>1239</v>
      </c>
      <c r="C928" s="2" t="s">
        <v>1838</v>
      </c>
      <c r="D928" s="2" t="e">
        <f>VLOOKUP(C:C,Vlookup!A:A,1,0)</f>
        <v>#N/A</v>
      </c>
      <c r="E928" s="2">
        <v>14</v>
      </c>
      <c r="F928" s="17" t="s">
        <v>10</v>
      </c>
      <c r="G928" s="17" t="s">
        <v>25</v>
      </c>
      <c r="H928" s="2" t="s">
        <v>11</v>
      </c>
      <c r="I928" s="2">
        <v>1</v>
      </c>
      <c r="J928" s="5">
        <v>46100</v>
      </c>
      <c r="K928" s="5">
        <v>46101</v>
      </c>
      <c r="L928" s="2" t="s">
        <v>865</v>
      </c>
      <c r="M928" s="5">
        <v>45754</v>
      </c>
      <c r="N928" s="3">
        <f>VLOOKUP(NavDataRegion[[#This Row],[Spool No]],[1]Sheet2!$B:$U,20,0)</f>
        <v>19.71</v>
      </c>
      <c r="O928" s="2">
        <v>1</v>
      </c>
      <c r="P928" s="2">
        <v>1</v>
      </c>
      <c r="Q928" s="2"/>
    </row>
    <row r="929" spans="1:17" ht="20.100000000000001" customHeight="1">
      <c r="A929" s="2" t="s">
        <v>9</v>
      </c>
      <c r="B929" s="2" t="s">
        <v>1169</v>
      </c>
      <c r="C929" s="2" t="s">
        <v>1560</v>
      </c>
      <c r="D929" s="2" t="e">
        <f>VLOOKUP(C:C,Vlookup!A:A,1,0)</f>
        <v>#N/A</v>
      </c>
      <c r="E929" s="2">
        <v>16</v>
      </c>
      <c r="F929" s="17" t="s">
        <v>10</v>
      </c>
      <c r="G929" s="17" t="s">
        <v>25</v>
      </c>
      <c r="H929" s="2" t="s">
        <v>11</v>
      </c>
      <c r="I929" s="2">
        <v>1</v>
      </c>
      <c r="J929" s="5">
        <v>46113</v>
      </c>
      <c r="K929" s="5">
        <v>46118</v>
      </c>
      <c r="L929" s="2" t="s">
        <v>865</v>
      </c>
      <c r="M929" s="5">
        <v>46167</v>
      </c>
      <c r="N929" s="3">
        <f>VLOOKUP(NavDataRegion[[#This Row],[Spool No]],[1]Sheet2!$B:$U,20,0)</f>
        <v>112.06623999999999</v>
      </c>
      <c r="O929" s="2">
        <v>4</v>
      </c>
      <c r="P929" s="2">
        <v>1</v>
      </c>
      <c r="Q929" s="2"/>
    </row>
    <row r="930" spans="1:17" ht="20.100000000000001" customHeight="1">
      <c r="A930" s="2" t="s">
        <v>9</v>
      </c>
      <c r="B930" s="2" t="s">
        <v>1047</v>
      </c>
      <c r="C930" s="2" t="s">
        <v>1696</v>
      </c>
      <c r="D930" s="2" t="e">
        <f>VLOOKUP(C:C,Vlookup!A:A,1,0)</f>
        <v>#N/A</v>
      </c>
      <c r="E930" s="2">
        <v>14</v>
      </c>
      <c r="F930" s="17" t="s">
        <v>10</v>
      </c>
      <c r="G930" s="17" t="s">
        <v>25</v>
      </c>
      <c r="H930" s="2" t="s">
        <v>11</v>
      </c>
      <c r="I930" s="2">
        <v>1</v>
      </c>
      <c r="J930" s="5">
        <v>46105</v>
      </c>
      <c r="K930" s="5">
        <v>46106</v>
      </c>
      <c r="L930" s="2" t="s">
        <v>865</v>
      </c>
      <c r="M930" s="5">
        <v>45754</v>
      </c>
      <c r="N930" s="3">
        <f>VLOOKUP(NavDataRegion[[#This Row],[Spool No]],[1]Sheet2!$B:$U,20,0)</f>
        <v>22.8964</v>
      </c>
      <c r="O930" s="2">
        <v>7</v>
      </c>
      <c r="P930" s="2">
        <v>1</v>
      </c>
      <c r="Q930" s="2"/>
    </row>
    <row r="931" spans="1:17" ht="20.100000000000001" customHeight="1">
      <c r="A931" s="2" t="s">
        <v>9</v>
      </c>
      <c r="B931" s="2" t="s">
        <v>1091</v>
      </c>
      <c r="C931" s="2" t="s">
        <v>1703</v>
      </c>
      <c r="D931" s="2" t="e">
        <f>VLOOKUP(C:C,Vlookup!A:A,1,0)</f>
        <v>#N/A</v>
      </c>
      <c r="E931" s="2">
        <v>16</v>
      </c>
      <c r="F931" s="17" t="s">
        <v>10</v>
      </c>
      <c r="G931" s="17" t="s">
        <v>25</v>
      </c>
      <c r="H931" s="2" t="s">
        <v>11</v>
      </c>
      <c r="I931" s="2">
        <v>1</v>
      </c>
      <c r="J931" s="5">
        <v>46105</v>
      </c>
      <c r="K931" s="5">
        <v>46108</v>
      </c>
      <c r="L931" s="2" t="s">
        <v>865</v>
      </c>
      <c r="M931" s="5">
        <v>46167</v>
      </c>
      <c r="N931" s="3">
        <f>VLOOKUP(NavDataRegion[[#This Row],[Spool No]],[1]Sheet2!$B:$U,20,0)</f>
        <v>15.952360000000001</v>
      </c>
      <c r="O931" s="2">
        <v>4</v>
      </c>
      <c r="P931" s="2">
        <v>1</v>
      </c>
      <c r="Q931" s="2"/>
    </row>
    <row r="932" spans="1:17" ht="20.100000000000001" customHeight="1">
      <c r="A932" s="2" t="s">
        <v>9</v>
      </c>
      <c r="B932" s="2" t="s">
        <v>1095</v>
      </c>
      <c r="C932" s="2" t="s">
        <v>1920</v>
      </c>
      <c r="D932" s="2" t="e">
        <f>VLOOKUP(C:C,Vlookup!A:A,1,0)</f>
        <v>#N/A</v>
      </c>
      <c r="E932" s="2">
        <v>14</v>
      </c>
      <c r="F932" s="17" t="s">
        <v>10</v>
      </c>
      <c r="G932" s="17" t="s">
        <v>25</v>
      </c>
      <c r="H932" s="2" t="s">
        <v>11</v>
      </c>
      <c r="I932" s="2">
        <v>1</v>
      </c>
      <c r="J932" s="5">
        <v>46100</v>
      </c>
      <c r="K932" s="5">
        <v>46107</v>
      </c>
      <c r="L932" s="2" t="s">
        <v>865</v>
      </c>
      <c r="M932" s="5">
        <v>45754</v>
      </c>
      <c r="N932" s="3">
        <f>VLOOKUP(NavDataRegion[[#This Row],[Spool No]],[1]Sheet2!$B:$U,20,0)</f>
        <v>57.365679999999998</v>
      </c>
      <c r="O932" s="2">
        <v>4</v>
      </c>
      <c r="P932" s="2">
        <v>1</v>
      </c>
      <c r="Q932" s="2" t="s">
        <v>1953</v>
      </c>
    </row>
    <row r="933" spans="1:17" ht="20.100000000000001" customHeight="1">
      <c r="A933" s="2" t="s">
        <v>9</v>
      </c>
      <c r="B933" s="2" t="s">
        <v>1083</v>
      </c>
      <c r="C933" s="2" t="s">
        <v>1700</v>
      </c>
      <c r="D933" s="2" t="e">
        <f>VLOOKUP(C:C,Vlookup!A:A,1,0)</f>
        <v>#N/A</v>
      </c>
      <c r="E933" s="2">
        <v>23</v>
      </c>
      <c r="F933" s="17" t="s">
        <v>10</v>
      </c>
      <c r="G933" s="17" t="s">
        <v>25</v>
      </c>
      <c r="H933" s="2" t="s">
        <v>11</v>
      </c>
      <c r="I933" s="2">
        <v>1</v>
      </c>
      <c r="J933" s="5">
        <v>46169</v>
      </c>
      <c r="K933" s="5">
        <v>46170</v>
      </c>
      <c r="L933" s="2" t="s">
        <v>865</v>
      </c>
      <c r="M933" s="5">
        <v>46185</v>
      </c>
      <c r="N933" s="3">
        <f>VLOOKUP(NavDataRegion[[#This Row],[Spool No]],[1]Sheet2!$B:$U,20,0)</f>
        <v>57.180520000000001</v>
      </c>
      <c r="O933" s="2">
        <v>2</v>
      </c>
      <c r="P933" s="2">
        <v>1</v>
      </c>
      <c r="Q933" s="2"/>
    </row>
    <row r="934" spans="1:17" ht="20.100000000000001" customHeight="1">
      <c r="A934" s="2" t="s">
        <v>9</v>
      </c>
      <c r="B934" s="2" t="s">
        <v>1085</v>
      </c>
      <c r="C934" s="2" t="s">
        <v>1701</v>
      </c>
      <c r="D934" s="2" t="e">
        <f>VLOOKUP(C:C,Vlookup!A:A,1,0)</f>
        <v>#N/A</v>
      </c>
      <c r="E934" s="2">
        <v>23</v>
      </c>
      <c r="F934" s="17" t="s">
        <v>10</v>
      </c>
      <c r="G934" s="17" t="s">
        <v>25</v>
      </c>
      <c r="H934" s="2" t="s">
        <v>11</v>
      </c>
      <c r="I934" s="2">
        <v>1</v>
      </c>
      <c r="J934" s="5">
        <v>46169</v>
      </c>
      <c r="K934" s="5">
        <v>46170</v>
      </c>
      <c r="L934" s="2" t="s">
        <v>865</v>
      </c>
      <c r="M934" s="5">
        <v>46185</v>
      </c>
      <c r="N934" s="3">
        <f>VLOOKUP(NavDataRegion[[#This Row],[Spool No]],[1]Sheet2!$B:$U,20,0)</f>
        <v>57.414279999999998</v>
      </c>
      <c r="O934" s="2">
        <v>3</v>
      </c>
      <c r="P934" s="2">
        <v>1</v>
      </c>
      <c r="Q934" s="2"/>
    </row>
    <row r="935" spans="1:17" ht="20.100000000000001" customHeight="1">
      <c r="A935" s="2" t="s">
        <v>9</v>
      </c>
      <c r="B935" s="2" t="s">
        <v>1239</v>
      </c>
      <c r="C935" s="2" t="s">
        <v>1896</v>
      </c>
      <c r="D935" s="2" t="e">
        <f>VLOOKUP(C:C,Vlookup!A:A,1,0)</f>
        <v>#N/A</v>
      </c>
      <c r="E935" s="2">
        <v>14</v>
      </c>
      <c r="F935" s="17" t="s">
        <v>10</v>
      </c>
      <c r="G935" s="17" t="s">
        <v>25</v>
      </c>
      <c r="H935" s="2" t="s">
        <v>11</v>
      </c>
      <c r="I935" s="2">
        <v>1</v>
      </c>
      <c r="J935" s="5">
        <v>46100</v>
      </c>
      <c r="K935" s="5">
        <v>46101</v>
      </c>
      <c r="L935" s="2" t="s">
        <v>865</v>
      </c>
      <c r="M935" s="5">
        <v>45754</v>
      </c>
      <c r="N935" s="3">
        <f>VLOOKUP(NavDataRegion[[#This Row],[Spool No]],[1]Sheet2!$B:$U,20,0)</f>
        <v>28.643160000000002</v>
      </c>
      <c r="O935" s="2">
        <v>4</v>
      </c>
      <c r="P935" s="2">
        <v>1</v>
      </c>
      <c r="Q935" s="2"/>
    </row>
    <row r="936" spans="1:17" ht="20.100000000000001" customHeight="1">
      <c r="A936" s="2" t="s">
        <v>9</v>
      </c>
      <c r="B936" s="2" t="s">
        <v>1099</v>
      </c>
      <c r="C936" s="2" t="s">
        <v>1706</v>
      </c>
      <c r="D936" s="2" t="e">
        <f>VLOOKUP(C:C,Vlookup!A:A,1,0)</f>
        <v>#N/A</v>
      </c>
      <c r="E936" s="2">
        <v>16</v>
      </c>
      <c r="F936" s="17" t="s">
        <v>10</v>
      </c>
      <c r="G936" s="17" t="s">
        <v>25</v>
      </c>
      <c r="H936" s="2" t="s">
        <v>11</v>
      </c>
      <c r="I936" s="2">
        <v>1</v>
      </c>
      <c r="J936" s="5">
        <v>46105</v>
      </c>
      <c r="K936" s="5">
        <v>46108</v>
      </c>
      <c r="L936" s="2" t="s">
        <v>865</v>
      </c>
      <c r="M936" s="5">
        <v>46167</v>
      </c>
      <c r="N936" s="3">
        <f>VLOOKUP(NavDataRegion[[#This Row],[Spool No]],[1]Sheet2!$B:$U,20,0)</f>
        <v>24.356000000000002</v>
      </c>
      <c r="O936" s="2">
        <v>5</v>
      </c>
      <c r="P936" s="2">
        <v>1</v>
      </c>
      <c r="Q936" s="2"/>
    </row>
    <row r="937" spans="1:17" ht="20.100000000000001" customHeight="1">
      <c r="A937" s="2" t="s">
        <v>9</v>
      </c>
      <c r="B937" s="2" t="s">
        <v>1245</v>
      </c>
      <c r="C937" s="2" t="s">
        <v>1738</v>
      </c>
      <c r="D937" s="2" t="e">
        <f>VLOOKUP(C:C,Vlookup!A:A,1,0)</f>
        <v>#N/A</v>
      </c>
      <c r="E937" s="2">
        <v>14</v>
      </c>
      <c r="F937" s="17" t="s">
        <v>10</v>
      </c>
      <c r="G937" s="17" t="s">
        <v>25</v>
      </c>
      <c r="H937" s="2" t="s">
        <v>11</v>
      </c>
      <c r="I937" s="2">
        <v>1</v>
      </c>
      <c r="J937" s="5">
        <v>46098</v>
      </c>
      <c r="K937" s="5">
        <v>46099</v>
      </c>
      <c r="L937" s="2" t="s">
        <v>865</v>
      </c>
      <c r="M937" s="5">
        <v>45754</v>
      </c>
      <c r="N937" s="3">
        <f>VLOOKUP(NavDataRegion[[#This Row],[Spool No]],[1]Sheet2!$B:$U,20,0)</f>
        <v>2.2484799999999998</v>
      </c>
      <c r="O937" s="2">
        <v>1</v>
      </c>
      <c r="P937" s="2">
        <v>1</v>
      </c>
      <c r="Q937" s="2"/>
    </row>
    <row r="938" spans="1:17" ht="20.100000000000001" customHeight="1">
      <c r="A938" s="2" t="s">
        <v>9</v>
      </c>
      <c r="B938" s="2" t="s">
        <v>1193</v>
      </c>
      <c r="C938" s="2" t="s">
        <v>1829</v>
      </c>
      <c r="D938" s="2" t="e">
        <f>VLOOKUP(C:C,Vlookup!A:A,1,0)</f>
        <v>#N/A</v>
      </c>
      <c r="E938" s="2">
        <v>16</v>
      </c>
      <c r="F938" s="17" t="s">
        <v>10</v>
      </c>
      <c r="G938" s="17" t="s">
        <v>25</v>
      </c>
      <c r="H938" s="2" t="s">
        <v>11</v>
      </c>
      <c r="I938" s="2">
        <v>1</v>
      </c>
      <c r="J938" s="5">
        <v>46115</v>
      </c>
      <c r="K938" s="5">
        <v>46118</v>
      </c>
      <c r="L938" s="2" t="s">
        <v>865</v>
      </c>
      <c r="M938" s="5">
        <v>46167</v>
      </c>
      <c r="N938" s="3">
        <f>VLOOKUP(NavDataRegion[[#This Row],[Spool No]],[1]Sheet2!$B:$U,20,0)</f>
        <v>26.894359999999999</v>
      </c>
      <c r="O938" s="2">
        <v>5</v>
      </c>
      <c r="P938" s="2">
        <v>1</v>
      </c>
      <c r="Q938" s="2"/>
    </row>
    <row r="939" spans="1:17" ht="20.100000000000001" customHeight="1">
      <c r="A939" s="2" t="s">
        <v>9</v>
      </c>
      <c r="B939" s="2" t="s">
        <v>1099</v>
      </c>
      <c r="C939" s="2" t="s">
        <v>1813</v>
      </c>
      <c r="D939" s="2" t="e">
        <f>VLOOKUP(C:C,Vlookup!A:A,1,0)</f>
        <v>#N/A</v>
      </c>
      <c r="E939" s="2">
        <v>16</v>
      </c>
      <c r="F939" s="17" t="s">
        <v>10</v>
      </c>
      <c r="G939" s="17" t="s">
        <v>25</v>
      </c>
      <c r="H939" s="2" t="s">
        <v>11</v>
      </c>
      <c r="I939" s="2">
        <v>1</v>
      </c>
      <c r="J939" s="5">
        <v>46105</v>
      </c>
      <c r="K939" s="5">
        <v>46108</v>
      </c>
      <c r="L939" s="2" t="s">
        <v>865</v>
      </c>
      <c r="M939" s="5">
        <v>46167</v>
      </c>
      <c r="N939" s="3">
        <f>VLOOKUP(NavDataRegion[[#This Row],[Spool No]],[1]Sheet2!$B:$U,20,0)</f>
        <v>20.324280000000002</v>
      </c>
      <c r="O939" s="2">
        <v>5</v>
      </c>
      <c r="P939" s="2">
        <v>1</v>
      </c>
      <c r="Q939" s="2"/>
    </row>
    <row r="940" spans="1:17" ht="20.100000000000001" customHeight="1">
      <c r="A940" s="2" t="s">
        <v>9</v>
      </c>
      <c r="B940" s="2" t="s">
        <v>1253</v>
      </c>
      <c r="C940" s="2" t="s">
        <v>1254</v>
      </c>
      <c r="D940" s="2" t="e">
        <f>VLOOKUP(C:C,Vlookup!A:A,1,0)</f>
        <v>#N/A</v>
      </c>
      <c r="E940" s="2">
        <v>14</v>
      </c>
      <c r="F940" s="17" t="s">
        <v>10</v>
      </c>
      <c r="G940" s="17" t="s">
        <v>25</v>
      </c>
      <c r="H940" s="2" t="s">
        <v>11</v>
      </c>
      <c r="I940" s="2">
        <v>1</v>
      </c>
      <c r="J940" s="5">
        <v>46098</v>
      </c>
      <c r="K940" s="5">
        <v>46099</v>
      </c>
      <c r="L940" s="2" t="s">
        <v>865</v>
      </c>
      <c r="M940" s="5">
        <v>45754</v>
      </c>
      <c r="N940" s="3">
        <f>VLOOKUP(NavDataRegion[[#This Row],[Spool No]],[1]Sheet2!$B:$U,20,0)</f>
        <v>2.0611199999999998</v>
      </c>
      <c r="O940" s="2">
        <v>2</v>
      </c>
      <c r="P940" s="2">
        <v>1</v>
      </c>
      <c r="Q940" s="2"/>
    </row>
    <row r="941" spans="1:17" ht="20.100000000000001" customHeight="1">
      <c r="A941" s="2" t="s">
        <v>9</v>
      </c>
      <c r="B941" s="2" t="s">
        <v>1105</v>
      </c>
      <c r="C941" s="2" t="s">
        <v>1709</v>
      </c>
      <c r="D941" s="2" t="e">
        <f>VLOOKUP(C:C,Vlookup!A:A,1,0)</f>
        <v>#N/A</v>
      </c>
      <c r="E941" s="2">
        <v>16</v>
      </c>
      <c r="F941" s="17" t="s">
        <v>10</v>
      </c>
      <c r="G941" s="17" t="s">
        <v>25</v>
      </c>
      <c r="H941" s="2" t="s">
        <v>11</v>
      </c>
      <c r="I941" s="2">
        <v>1</v>
      </c>
      <c r="J941" s="5">
        <v>46115</v>
      </c>
      <c r="K941" s="5">
        <v>46118</v>
      </c>
      <c r="L941" s="2" t="s">
        <v>865</v>
      </c>
      <c r="M941" s="5">
        <v>46167</v>
      </c>
      <c r="N941" s="3">
        <f>VLOOKUP(NavDataRegion[[#This Row],[Spool No]],[1]Sheet2!$B:$U,20,0)</f>
        <v>92.520759999999996</v>
      </c>
      <c r="O941" s="2">
        <v>6</v>
      </c>
      <c r="P941" s="2">
        <v>1</v>
      </c>
      <c r="Q941" s="2"/>
    </row>
    <row r="942" spans="1:17" ht="20.100000000000001" customHeight="1">
      <c r="A942" s="2" t="s">
        <v>9</v>
      </c>
      <c r="B942" s="2" t="s">
        <v>1257</v>
      </c>
      <c r="C942" s="2" t="s">
        <v>1842</v>
      </c>
      <c r="D942" s="2" t="e">
        <f>VLOOKUP(C:C,Vlookup!A:A,1,0)</f>
        <v>#N/A</v>
      </c>
      <c r="E942" s="2">
        <v>14</v>
      </c>
      <c r="F942" s="17" t="s">
        <v>10</v>
      </c>
      <c r="G942" s="17" t="s">
        <v>25</v>
      </c>
      <c r="H942" s="2" t="s">
        <v>11</v>
      </c>
      <c r="I942" s="2">
        <v>1</v>
      </c>
      <c r="J942" s="5">
        <v>46098</v>
      </c>
      <c r="K942" s="5">
        <v>46099</v>
      </c>
      <c r="L942" s="2" t="s">
        <v>865</v>
      </c>
      <c r="M942" s="5">
        <v>45754</v>
      </c>
      <c r="N942" s="3">
        <f>VLOOKUP(NavDataRegion[[#This Row],[Spool No]],[1]Sheet2!$B:$U,20,0)</f>
        <v>1.37696</v>
      </c>
      <c r="O942" s="2">
        <v>1</v>
      </c>
      <c r="P942" s="2">
        <v>0.5</v>
      </c>
      <c r="Q942" s="2"/>
    </row>
    <row r="943" spans="1:17" ht="20.100000000000001" customHeight="1">
      <c r="A943" s="2" t="s">
        <v>9</v>
      </c>
      <c r="B943" s="2" t="s">
        <v>1261</v>
      </c>
      <c r="C943" s="2" t="s">
        <v>1588</v>
      </c>
      <c r="D943" s="2" t="e">
        <f>VLOOKUP(C:C,Vlookup!A:A,1,0)</f>
        <v>#N/A</v>
      </c>
      <c r="E943" s="2">
        <v>14</v>
      </c>
      <c r="F943" s="17" t="s">
        <v>10</v>
      </c>
      <c r="G943" s="17" t="s">
        <v>25</v>
      </c>
      <c r="H943" s="2" t="s">
        <v>11</v>
      </c>
      <c r="I943" s="2">
        <v>1</v>
      </c>
      <c r="J943" s="5">
        <v>46098</v>
      </c>
      <c r="K943" s="5">
        <v>46099</v>
      </c>
      <c r="L943" s="2" t="s">
        <v>865</v>
      </c>
      <c r="M943" s="5">
        <v>45754</v>
      </c>
      <c r="N943" s="3">
        <f>VLOOKUP(NavDataRegion[[#This Row],[Spool No]],[1]Sheet2!$B:$U,20,0)</f>
        <v>1.49356</v>
      </c>
      <c r="O943" s="2">
        <v>1.5</v>
      </c>
      <c r="P943" s="2">
        <v>0.5</v>
      </c>
      <c r="Q943" s="2"/>
    </row>
    <row r="944" spans="1:17" ht="20.100000000000001" customHeight="1">
      <c r="A944" s="2" t="s">
        <v>9</v>
      </c>
      <c r="B944" s="2" t="s">
        <v>230</v>
      </c>
      <c r="C944" s="2" t="s">
        <v>432</v>
      </c>
      <c r="D944" s="2" t="e">
        <f>VLOOKUP(C:C,Vlookup!A:A,1,0)</f>
        <v>#N/A</v>
      </c>
      <c r="E944" s="2">
        <v>18</v>
      </c>
      <c r="F944" s="2" t="s">
        <v>433</v>
      </c>
      <c r="G944" s="2" t="s">
        <v>16</v>
      </c>
      <c r="H944" s="2" t="s">
        <v>11</v>
      </c>
      <c r="I944" s="2">
        <v>1</v>
      </c>
      <c r="J944" s="5">
        <v>46112</v>
      </c>
      <c r="K944" s="5">
        <v>46113</v>
      </c>
      <c r="L944" s="2" t="s">
        <v>865</v>
      </c>
      <c r="M944" s="5">
        <v>45754</v>
      </c>
      <c r="N944" s="3">
        <f>VLOOKUP(NavDataRegion[[#This Row],[Spool No]],[1]Sheet2!$B:$U,20,0)</f>
        <v>1538.5424254239999</v>
      </c>
      <c r="O944" s="2">
        <v>98</v>
      </c>
      <c r="P944" s="2">
        <v>14</v>
      </c>
      <c r="Q944" s="2"/>
    </row>
    <row r="945" spans="1:17" ht="20.100000000000001" customHeight="1">
      <c r="A945" s="2" t="s">
        <v>9</v>
      </c>
      <c r="B945" s="2" t="s">
        <v>1099</v>
      </c>
      <c r="C945" s="2" t="s">
        <v>1883</v>
      </c>
      <c r="D945" s="2" t="e">
        <f>VLOOKUP(C:C,Vlookup!A:A,1,0)</f>
        <v>#N/A</v>
      </c>
      <c r="E945" s="2">
        <v>16</v>
      </c>
      <c r="F945" s="17" t="s">
        <v>10</v>
      </c>
      <c r="G945" s="17" t="s">
        <v>25</v>
      </c>
      <c r="H945" s="2" t="s">
        <v>11</v>
      </c>
      <c r="I945" s="2">
        <v>1</v>
      </c>
      <c r="J945" s="5">
        <v>46105</v>
      </c>
      <c r="K945" s="5">
        <v>46108</v>
      </c>
      <c r="L945" s="2" t="s">
        <v>865</v>
      </c>
      <c r="M945" s="5">
        <v>46167</v>
      </c>
      <c r="N945" s="3">
        <f>VLOOKUP(NavDataRegion[[#This Row],[Spool No]],[1]Sheet2!$B:$U,20,0)</f>
        <v>21.571840000000002</v>
      </c>
      <c r="O945" s="2">
        <v>2</v>
      </c>
      <c r="P945" s="2">
        <v>1</v>
      </c>
      <c r="Q945" s="2"/>
    </row>
    <row r="946" spans="1:17" ht="20.100000000000001" customHeight="1">
      <c r="A946" s="2" t="s">
        <v>9</v>
      </c>
      <c r="B946" s="2" t="s">
        <v>1193</v>
      </c>
      <c r="C946" s="2" t="s">
        <v>1725</v>
      </c>
      <c r="D946" s="2" t="e">
        <f>VLOOKUP(C:C,Vlookup!A:A,1,0)</f>
        <v>#N/A</v>
      </c>
      <c r="E946" s="2">
        <v>14</v>
      </c>
      <c r="F946" s="17" t="s">
        <v>10</v>
      </c>
      <c r="G946" s="17" t="s">
        <v>25</v>
      </c>
      <c r="H946" s="2" t="s">
        <v>11</v>
      </c>
      <c r="I946" s="2">
        <v>1</v>
      </c>
      <c r="J946" s="5">
        <v>46105</v>
      </c>
      <c r="K946" s="5">
        <v>46106</v>
      </c>
      <c r="L946" s="2" t="s">
        <v>865</v>
      </c>
      <c r="M946" s="5">
        <v>45754</v>
      </c>
      <c r="N946" s="3">
        <f>VLOOKUP(NavDataRegion[[#This Row],[Spool No]],[1]Sheet2!$B:$U,20,0)</f>
        <v>8.3823600000000003</v>
      </c>
      <c r="O946" s="2">
        <v>1</v>
      </c>
      <c r="P946" s="2">
        <v>1</v>
      </c>
      <c r="Q946" s="2"/>
    </row>
    <row r="947" spans="1:17" ht="20.100000000000001" customHeight="1">
      <c r="A947" s="2" t="s">
        <v>9</v>
      </c>
      <c r="B947" s="2" t="s">
        <v>1195</v>
      </c>
      <c r="C947" s="2" t="s">
        <v>1726</v>
      </c>
      <c r="D947" s="2" t="e">
        <f>VLOOKUP(C:C,Vlookup!A:A,1,0)</f>
        <v>#N/A</v>
      </c>
      <c r="E947" s="2">
        <v>14</v>
      </c>
      <c r="F947" s="17" t="s">
        <v>10</v>
      </c>
      <c r="G947" s="17" t="s">
        <v>25</v>
      </c>
      <c r="H947" s="2" t="s">
        <v>11</v>
      </c>
      <c r="I947" s="2">
        <v>1</v>
      </c>
      <c r="J947" s="5">
        <v>46105</v>
      </c>
      <c r="K947" s="5">
        <v>46106</v>
      </c>
      <c r="L947" s="2" t="s">
        <v>865</v>
      </c>
      <c r="M947" s="5">
        <v>45754</v>
      </c>
      <c r="N947" s="3">
        <f>VLOOKUP(NavDataRegion[[#This Row],[Spool No]],[1]Sheet2!$B:$U,20,0)</f>
        <v>7.72464</v>
      </c>
      <c r="O947" s="2">
        <v>1</v>
      </c>
      <c r="P947" s="2">
        <v>1</v>
      </c>
      <c r="Q947" s="2"/>
    </row>
    <row r="948" spans="1:17" ht="20.100000000000001" customHeight="1">
      <c r="A948" s="2" t="s">
        <v>9</v>
      </c>
      <c r="B948" s="2" t="s">
        <v>1247</v>
      </c>
      <c r="C948" s="2" t="s">
        <v>1739</v>
      </c>
      <c r="D948" s="2" t="e">
        <f>VLOOKUP(C:C,Vlookup!A:A,1,0)</f>
        <v>#N/A</v>
      </c>
      <c r="E948" s="2">
        <v>14</v>
      </c>
      <c r="F948" s="17" t="s">
        <v>10</v>
      </c>
      <c r="G948" s="17" t="s">
        <v>25</v>
      </c>
      <c r="H948" s="2" t="s">
        <v>11</v>
      </c>
      <c r="I948" s="2">
        <v>1</v>
      </c>
      <c r="J948" s="5">
        <v>46100</v>
      </c>
      <c r="K948" s="5">
        <v>46101</v>
      </c>
      <c r="L948" s="2" t="s">
        <v>865</v>
      </c>
      <c r="M948" s="5">
        <v>45754</v>
      </c>
      <c r="N948" s="3">
        <f>VLOOKUP(NavDataRegion[[#This Row],[Spool No]],[1]Sheet2!$B:$U,20,0)</f>
        <v>22.17116</v>
      </c>
      <c r="O948" s="2">
        <v>3</v>
      </c>
      <c r="P948" s="2">
        <v>1</v>
      </c>
      <c r="Q948" s="2"/>
    </row>
    <row r="949" spans="1:17" ht="20.100000000000001" customHeight="1">
      <c r="A949" s="2" t="s">
        <v>9</v>
      </c>
      <c r="B949" s="2" t="s">
        <v>1261</v>
      </c>
      <c r="C949" s="2" t="s">
        <v>1843</v>
      </c>
      <c r="D949" s="2" t="e">
        <f>VLOOKUP(C:C,Vlookup!A:A,1,0)</f>
        <v>#N/A</v>
      </c>
      <c r="E949" s="2">
        <v>14</v>
      </c>
      <c r="F949" s="17" t="s">
        <v>10</v>
      </c>
      <c r="G949" s="17" t="s">
        <v>25</v>
      </c>
      <c r="H949" s="2" t="s">
        <v>11</v>
      </c>
      <c r="I949" s="2">
        <v>1</v>
      </c>
      <c r="J949" s="5">
        <v>46098</v>
      </c>
      <c r="K949" s="5">
        <v>46099</v>
      </c>
      <c r="L949" s="2" t="s">
        <v>865</v>
      </c>
      <c r="M949" s="5">
        <v>45754</v>
      </c>
      <c r="N949" s="3">
        <f>VLOOKUP(NavDataRegion[[#This Row],[Spool No]],[1]Sheet2!$B:$U,20,0)</f>
        <v>1.7203599999999999</v>
      </c>
      <c r="O949" s="2">
        <v>2</v>
      </c>
      <c r="P949" s="2">
        <v>0.5</v>
      </c>
      <c r="Q949" s="2"/>
    </row>
    <row r="950" spans="1:17" ht="20.100000000000001" customHeight="1">
      <c r="A950" s="2" t="s">
        <v>9</v>
      </c>
      <c r="B950" s="2" t="s">
        <v>1283</v>
      </c>
      <c r="C950" s="2" t="s">
        <v>1598</v>
      </c>
      <c r="D950" s="2" t="e">
        <f>VLOOKUP(C:C,Vlookup!A:A,1,0)</f>
        <v>#N/A</v>
      </c>
      <c r="E950" s="2">
        <v>14</v>
      </c>
      <c r="F950" s="17" t="s">
        <v>10</v>
      </c>
      <c r="G950" s="17" t="s">
        <v>25</v>
      </c>
      <c r="H950" s="2" t="s">
        <v>11</v>
      </c>
      <c r="I950" s="2">
        <v>1</v>
      </c>
      <c r="J950" s="5">
        <v>46100</v>
      </c>
      <c r="K950" s="5">
        <v>46101</v>
      </c>
      <c r="L950" s="2" t="s">
        <v>865</v>
      </c>
      <c r="M950" s="5">
        <v>45754</v>
      </c>
      <c r="N950" s="3">
        <f>VLOOKUP(NavDataRegion[[#This Row],[Spool No]],[1]Sheet2!$B:$U,20,0)</f>
        <v>22.27908</v>
      </c>
      <c r="O950" s="2">
        <v>3</v>
      </c>
      <c r="P950" s="2">
        <v>1</v>
      </c>
      <c r="Q950" s="2"/>
    </row>
    <row r="951" spans="1:17" ht="20.100000000000001" customHeight="1">
      <c r="A951" s="2" t="s">
        <v>9</v>
      </c>
      <c r="B951" s="2" t="s">
        <v>1235</v>
      </c>
      <c r="C951" s="2" t="s">
        <v>1736</v>
      </c>
      <c r="D951" s="2" t="e">
        <f>VLOOKUP(C:C,Vlookup!A:A,1,0)</f>
        <v>#N/A</v>
      </c>
      <c r="E951" s="2">
        <v>14</v>
      </c>
      <c r="F951" s="17" t="s">
        <v>10</v>
      </c>
      <c r="G951" s="17" t="s">
        <v>25</v>
      </c>
      <c r="H951" s="2" t="s">
        <v>11</v>
      </c>
      <c r="I951" s="2">
        <v>1</v>
      </c>
      <c r="J951" s="5">
        <v>46093</v>
      </c>
      <c r="K951" s="5">
        <v>46094</v>
      </c>
      <c r="L951" s="2" t="s">
        <v>865</v>
      </c>
      <c r="M951" s="5">
        <v>45754</v>
      </c>
      <c r="N951" s="3">
        <f>VLOOKUP(NavDataRegion[[#This Row],[Spool No]],[1]Sheet2!$B:$U,20,0)</f>
        <v>2.71828</v>
      </c>
      <c r="O951" s="2">
        <v>1.5</v>
      </c>
      <c r="P951" s="2">
        <v>0.5</v>
      </c>
      <c r="Q951" s="2"/>
    </row>
    <row r="952" spans="1:17" ht="20.100000000000001" customHeight="1">
      <c r="A952" s="2" t="s">
        <v>9</v>
      </c>
      <c r="B952" s="2" t="s">
        <v>1251</v>
      </c>
      <c r="C952" s="2" t="s">
        <v>1740</v>
      </c>
      <c r="D952" s="2" t="e">
        <f>VLOOKUP(C:C,Vlookup!A:A,1,0)</f>
        <v>#N/A</v>
      </c>
      <c r="E952" s="2">
        <v>23</v>
      </c>
      <c r="F952" s="17" t="s">
        <v>10</v>
      </c>
      <c r="G952" s="17" t="s">
        <v>25</v>
      </c>
      <c r="H952" s="2" t="s">
        <v>11</v>
      </c>
      <c r="I952" s="2">
        <v>1</v>
      </c>
      <c r="J952" s="5">
        <v>46141</v>
      </c>
      <c r="K952" s="5">
        <v>46147</v>
      </c>
      <c r="L952" s="2" t="s">
        <v>865</v>
      </c>
      <c r="M952" s="5">
        <v>46185</v>
      </c>
      <c r="N952" s="3">
        <f>VLOOKUP(NavDataRegion[[#This Row],[Spool No]],[1]Sheet2!$B:$U,20,0)</f>
        <v>30.276399999999999</v>
      </c>
      <c r="O952" s="2">
        <v>3</v>
      </c>
      <c r="P952" s="2">
        <v>1</v>
      </c>
      <c r="Q952" s="2"/>
    </row>
    <row r="953" spans="1:17" ht="20.100000000000001" customHeight="1">
      <c r="A953" s="2" t="s">
        <v>9</v>
      </c>
      <c r="B953" s="2" t="s">
        <v>1243</v>
      </c>
      <c r="C953" s="2" t="s">
        <v>1244</v>
      </c>
      <c r="D953" s="2" t="e">
        <f>VLOOKUP(C:C,Vlookup!A:A,1,0)</f>
        <v>#N/A</v>
      </c>
      <c r="E953" s="2">
        <v>14</v>
      </c>
      <c r="F953" s="17" t="s">
        <v>10</v>
      </c>
      <c r="G953" s="17" t="s">
        <v>25</v>
      </c>
      <c r="H953" s="2" t="s">
        <v>11</v>
      </c>
      <c r="I953" s="2">
        <v>1</v>
      </c>
      <c r="J953" s="5">
        <v>46093</v>
      </c>
      <c r="K953" s="5">
        <v>46094</v>
      </c>
      <c r="L953" s="2" t="s">
        <v>865</v>
      </c>
      <c r="M953" s="5">
        <v>45754</v>
      </c>
      <c r="N953" s="3">
        <f>VLOOKUP(NavDataRegion[[#This Row],[Spool No]],[1]Sheet2!$B:$U,20,0)</f>
        <v>20.8748</v>
      </c>
      <c r="O953" s="2">
        <v>3</v>
      </c>
      <c r="P953" s="2">
        <v>1</v>
      </c>
      <c r="Q953" s="2"/>
    </row>
    <row r="954" spans="1:17" ht="20.100000000000001" customHeight="1">
      <c r="A954" s="2" t="s">
        <v>9</v>
      </c>
      <c r="B954" s="2" t="s">
        <v>1283</v>
      </c>
      <c r="C954" s="2" t="s">
        <v>1753</v>
      </c>
      <c r="D954" s="2" t="e">
        <f>VLOOKUP(C:C,Vlookup!A:A,1,0)</f>
        <v>#N/A</v>
      </c>
      <c r="E954" s="2">
        <v>14</v>
      </c>
      <c r="F954" s="17" t="s">
        <v>10</v>
      </c>
      <c r="G954" s="17" t="s">
        <v>25</v>
      </c>
      <c r="H954" s="2" t="s">
        <v>11</v>
      </c>
      <c r="I954" s="2">
        <v>1</v>
      </c>
      <c r="J954" s="5">
        <v>46100</v>
      </c>
      <c r="K954" s="5">
        <v>46101</v>
      </c>
      <c r="L954" s="2" t="s">
        <v>865</v>
      </c>
      <c r="M954" s="5">
        <v>45754</v>
      </c>
      <c r="N954" s="3">
        <f>VLOOKUP(NavDataRegion[[#This Row],[Spool No]],[1]Sheet2!$B:$U,20,0)</f>
        <v>20.193239999999999</v>
      </c>
      <c r="O954" s="2">
        <v>2</v>
      </c>
      <c r="P954" s="2">
        <v>1</v>
      </c>
      <c r="Q954" s="2"/>
    </row>
    <row r="955" spans="1:17" ht="20.100000000000001" customHeight="1">
      <c r="A955" s="2" t="s">
        <v>9</v>
      </c>
      <c r="B955" s="2" t="s">
        <v>1289</v>
      </c>
      <c r="C955" s="2" t="s">
        <v>1754</v>
      </c>
      <c r="D955" s="2" t="e">
        <f>VLOOKUP(C:C,Vlookup!A:A,1,0)</f>
        <v>#N/A</v>
      </c>
      <c r="E955" s="2">
        <v>14</v>
      </c>
      <c r="F955" s="17" t="s">
        <v>10</v>
      </c>
      <c r="G955" s="17" t="s">
        <v>25</v>
      </c>
      <c r="H955" s="2" t="s">
        <v>11</v>
      </c>
      <c r="I955" s="2">
        <v>1</v>
      </c>
      <c r="J955" s="5">
        <v>46105</v>
      </c>
      <c r="K955" s="5">
        <v>46106</v>
      </c>
      <c r="L955" s="2" t="s">
        <v>865</v>
      </c>
      <c r="M955" s="5">
        <v>45754</v>
      </c>
      <c r="N955" s="3">
        <f>VLOOKUP(NavDataRegion[[#This Row],[Spool No]],[1]Sheet2!$B:$U,20,0)</f>
        <v>10.75404</v>
      </c>
      <c r="O955" s="2">
        <v>2</v>
      </c>
      <c r="P955" s="2">
        <v>1</v>
      </c>
      <c r="Q955" s="2"/>
    </row>
    <row r="956" spans="1:17" ht="20.100000000000001" customHeight="1">
      <c r="A956" s="2" t="s">
        <v>9</v>
      </c>
      <c r="B956" s="2" t="s">
        <v>1105</v>
      </c>
      <c r="C956" s="2" t="s">
        <v>1537</v>
      </c>
      <c r="D956" s="2" t="e">
        <f>VLOOKUP(C:C,Vlookup!A:A,1,0)</f>
        <v>#N/A</v>
      </c>
      <c r="E956" s="2">
        <v>16</v>
      </c>
      <c r="F956" s="17" t="s">
        <v>10</v>
      </c>
      <c r="G956" s="17" t="s">
        <v>25</v>
      </c>
      <c r="H956" s="2" t="s">
        <v>11</v>
      </c>
      <c r="I956" s="2">
        <v>1</v>
      </c>
      <c r="J956" s="5">
        <v>46105</v>
      </c>
      <c r="K956" s="5">
        <v>46108</v>
      </c>
      <c r="L956" s="2" t="s">
        <v>865</v>
      </c>
      <c r="M956" s="5">
        <v>46167</v>
      </c>
      <c r="N956" s="3">
        <f>VLOOKUP(NavDataRegion[[#This Row],[Spool No]],[1]Sheet2!$B:$U,20,0)</f>
        <v>16.27872</v>
      </c>
      <c r="O956" s="2">
        <v>4</v>
      </c>
      <c r="P956" s="2">
        <v>1</v>
      </c>
      <c r="Q956" s="2"/>
    </row>
    <row r="957" spans="1:17" ht="20.100000000000001" customHeight="1">
      <c r="A957" s="2" t="s">
        <v>9</v>
      </c>
      <c r="B957" s="2" t="s">
        <v>1285</v>
      </c>
      <c r="C957" s="2" t="s">
        <v>1286</v>
      </c>
      <c r="D957" s="2" t="e">
        <f>VLOOKUP(C:C,Vlookup!A:A,1,0)</f>
        <v>#N/A</v>
      </c>
      <c r="E957" s="2">
        <v>14</v>
      </c>
      <c r="F957" s="17" t="s">
        <v>10</v>
      </c>
      <c r="G957" s="17" t="s">
        <v>25</v>
      </c>
      <c r="H957" s="2" t="s">
        <v>11</v>
      </c>
      <c r="I957" s="2">
        <v>1</v>
      </c>
      <c r="J957" s="5">
        <v>46100</v>
      </c>
      <c r="K957" s="5">
        <v>46101</v>
      </c>
      <c r="L957" s="2" t="s">
        <v>865</v>
      </c>
      <c r="M957" s="5">
        <v>45754</v>
      </c>
      <c r="N957" s="3">
        <f>VLOOKUP(NavDataRegion[[#This Row],[Spool No]],[1]Sheet2!$B:$U,20,0)</f>
        <v>4.8998400000000002</v>
      </c>
      <c r="O957" s="2">
        <v>3</v>
      </c>
      <c r="P957" s="2">
        <v>1</v>
      </c>
      <c r="Q957" s="2"/>
    </row>
    <row r="958" spans="1:17" ht="20.100000000000001" customHeight="1">
      <c r="A958" s="2" t="s">
        <v>9</v>
      </c>
      <c r="B958" s="2" t="s">
        <v>1295</v>
      </c>
      <c r="C958" s="2" t="s">
        <v>1757</v>
      </c>
      <c r="D958" s="2" t="e">
        <f>VLOOKUP(C:C,Vlookup!A:A,1,0)</f>
        <v>#N/A</v>
      </c>
      <c r="E958" s="2">
        <v>23</v>
      </c>
      <c r="F958" s="17" t="s">
        <v>10</v>
      </c>
      <c r="G958" s="17" t="s">
        <v>25</v>
      </c>
      <c r="H958" s="2" t="s">
        <v>11</v>
      </c>
      <c r="I958" s="2">
        <v>1</v>
      </c>
      <c r="J958" s="5">
        <v>46170</v>
      </c>
      <c r="K958" s="5">
        <v>46175</v>
      </c>
      <c r="L958" s="2" t="s">
        <v>865</v>
      </c>
      <c r="M958" s="5">
        <v>46185</v>
      </c>
      <c r="N958" s="3">
        <f>VLOOKUP(NavDataRegion[[#This Row],[Spool No]],[1]Sheet2!$B:$U,20,0)</f>
        <v>27.118400000000001</v>
      </c>
      <c r="O958" s="2">
        <v>4</v>
      </c>
      <c r="P958" s="2">
        <v>1</v>
      </c>
      <c r="Q958" s="2"/>
    </row>
    <row r="959" spans="1:17" ht="20.100000000000001" customHeight="1">
      <c r="A959" s="2" t="s">
        <v>9</v>
      </c>
      <c r="B959" s="2" t="s">
        <v>1297</v>
      </c>
      <c r="C959" s="2" t="s">
        <v>1758</v>
      </c>
      <c r="D959" s="2" t="e">
        <f>VLOOKUP(C:C,Vlookup!A:A,1,0)</f>
        <v>#N/A</v>
      </c>
      <c r="E959" s="2">
        <v>23</v>
      </c>
      <c r="F959" s="17" t="s">
        <v>10</v>
      </c>
      <c r="G959" s="17" t="s">
        <v>25</v>
      </c>
      <c r="H959" s="2" t="s">
        <v>11</v>
      </c>
      <c r="I959" s="2">
        <v>1</v>
      </c>
      <c r="J959" s="5">
        <v>46169</v>
      </c>
      <c r="K959" s="5">
        <v>46170</v>
      </c>
      <c r="L959" s="2" t="s">
        <v>865</v>
      </c>
      <c r="M959" s="5">
        <v>46185</v>
      </c>
      <c r="N959" s="3">
        <f>VLOOKUP(NavDataRegion[[#This Row],[Spool No]],[1]Sheet2!$B:$U,20,0)</f>
        <v>27.202639999999999</v>
      </c>
      <c r="O959" s="2">
        <v>4</v>
      </c>
      <c r="P959" s="2">
        <v>1</v>
      </c>
      <c r="Q959" s="2"/>
    </row>
    <row r="960" spans="1:17" ht="20.100000000000001" customHeight="1">
      <c r="A960" s="2" t="s">
        <v>9</v>
      </c>
      <c r="B960" s="2" t="s">
        <v>1247</v>
      </c>
      <c r="C960" s="2" t="s">
        <v>1248</v>
      </c>
      <c r="D960" s="2" t="e">
        <f>VLOOKUP(C:C,Vlookup!A:A,1,0)</f>
        <v>#N/A</v>
      </c>
      <c r="E960" s="2">
        <v>14</v>
      </c>
      <c r="F960" s="17" t="s">
        <v>10</v>
      </c>
      <c r="G960" s="17" t="s">
        <v>25</v>
      </c>
      <c r="H960" s="2" t="s">
        <v>11</v>
      </c>
      <c r="I960" s="2">
        <v>1</v>
      </c>
      <c r="J960" s="5">
        <v>46093</v>
      </c>
      <c r="K960" s="5">
        <v>46094</v>
      </c>
      <c r="L960" s="2" t="s">
        <v>865</v>
      </c>
      <c r="M960" s="5">
        <v>45754</v>
      </c>
      <c r="N960" s="3">
        <f>VLOOKUP(NavDataRegion[[#This Row],[Spool No]],[1]Sheet2!$B:$U,20,0)</f>
        <v>10.81804</v>
      </c>
      <c r="O960" s="2">
        <v>7</v>
      </c>
      <c r="P960" s="2">
        <v>1</v>
      </c>
      <c r="Q960" s="2"/>
    </row>
    <row r="961" spans="1:17" ht="20.100000000000001" customHeight="1">
      <c r="A961" s="2" t="s">
        <v>9</v>
      </c>
      <c r="B961" s="2" t="s">
        <v>1273</v>
      </c>
      <c r="C961" s="2" t="s">
        <v>1593</v>
      </c>
      <c r="D961" s="2" t="e">
        <f>VLOOKUP(C:C,Vlookup!A:A,1,0)</f>
        <v>#N/A</v>
      </c>
      <c r="E961" s="2">
        <v>14</v>
      </c>
      <c r="F961" s="17" t="s">
        <v>10</v>
      </c>
      <c r="G961" s="17" t="s">
        <v>25</v>
      </c>
      <c r="H961" s="2" t="s">
        <v>11</v>
      </c>
      <c r="I961" s="2">
        <v>1</v>
      </c>
      <c r="J961" s="5">
        <v>46098</v>
      </c>
      <c r="K961" s="5">
        <v>46099</v>
      </c>
      <c r="L961" s="2" t="s">
        <v>865</v>
      </c>
      <c r="M961" s="5">
        <v>45754</v>
      </c>
      <c r="N961" s="3">
        <f>VLOOKUP(NavDataRegion[[#This Row],[Spool No]],[1]Sheet2!$B:$U,20,0)</f>
        <v>1.3690800000000001</v>
      </c>
      <c r="O961" s="2">
        <v>0.5</v>
      </c>
      <c r="P961" s="2">
        <v>0.5</v>
      </c>
      <c r="Q961" s="2"/>
    </row>
    <row r="962" spans="1:17" ht="20.100000000000001" customHeight="1">
      <c r="A962" s="2" t="s">
        <v>9</v>
      </c>
      <c r="B962" s="2" t="s">
        <v>1301</v>
      </c>
      <c r="C962" s="2" t="s">
        <v>1760</v>
      </c>
      <c r="D962" s="2" t="e">
        <f>VLOOKUP(C:C,Vlookup!A:A,1,0)</f>
        <v>#N/A</v>
      </c>
      <c r="E962" s="2">
        <v>23</v>
      </c>
      <c r="F962" s="17" t="s">
        <v>10</v>
      </c>
      <c r="G962" s="17" t="s">
        <v>25</v>
      </c>
      <c r="H962" s="2" t="s">
        <v>11</v>
      </c>
      <c r="I962" s="2">
        <v>1</v>
      </c>
      <c r="J962" s="5">
        <v>46169</v>
      </c>
      <c r="K962" s="5">
        <v>46170</v>
      </c>
      <c r="L962" s="2" t="s">
        <v>865</v>
      </c>
      <c r="M962" s="5">
        <v>46185</v>
      </c>
      <c r="N962" s="3">
        <f>VLOOKUP(NavDataRegion[[#This Row],[Spool No]],[1]Sheet2!$B:$U,20,0)</f>
        <v>27.202639999999999</v>
      </c>
      <c r="O962" s="2">
        <v>4</v>
      </c>
      <c r="P962" s="2">
        <v>1</v>
      </c>
      <c r="Q962" s="2"/>
    </row>
    <row r="963" spans="1:17" ht="20.100000000000001" customHeight="1">
      <c r="A963" s="2" t="s">
        <v>9</v>
      </c>
      <c r="B963" s="2" t="s">
        <v>1289</v>
      </c>
      <c r="C963" s="2" t="s">
        <v>1849</v>
      </c>
      <c r="D963" s="2" t="e">
        <f>VLOOKUP(C:C,Vlookup!A:A,1,0)</f>
        <v>#N/A</v>
      </c>
      <c r="E963" s="2">
        <v>14</v>
      </c>
      <c r="F963" s="17" t="s">
        <v>10</v>
      </c>
      <c r="G963" s="17" t="s">
        <v>25</v>
      </c>
      <c r="H963" s="2" t="s">
        <v>11</v>
      </c>
      <c r="I963" s="2">
        <v>1</v>
      </c>
      <c r="J963" s="5">
        <v>46100</v>
      </c>
      <c r="K963" s="5">
        <v>46101</v>
      </c>
      <c r="L963" s="2" t="s">
        <v>865</v>
      </c>
      <c r="M963" s="5">
        <v>45754</v>
      </c>
      <c r="N963" s="3">
        <f>VLOOKUP(NavDataRegion[[#This Row],[Spool No]],[1]Sheet2!$B:$U,20,0)</f>
        <v>19.713239999999999</v>
      </c>
      <c r="O963" s="2">
        <v>1</v>
      </c>
      <c r="P963" s="2">
        <v>1</v>
      </c>
      <c r="Q963" s="2"/>
    </row>
    <row r="964" spans="1:17" ht="20.100000000000001" customHeight="1">
      <c r="A964" s="2" t="s">
        <v>9</v>
      </c>
      <c r="B964" s="2" t="s">
        <v>1103</v>
      </c>
      <c r="C964" s="2" t="s">
        <v>1815</v>
      </c>
      <c r="D964" s="2" t="e">
        <f>VLOOKUP(C:C,Vlookup!A:A,1,0)</f>
        <v>#N/A</v>
      </c>
      <c r="E964" s="2">
        <v>14</v>
      </c>
      <c r="F964" s="17" t="s">
        <v>10</v>
      </c>
      <c r="G964" s="17" t="s">
        <v>25</v>
      </c>
      <c r="H964" s="2" t="s">
        <v>11</v>
      </c>
      <c r="I964" s="2">
        <v>1</v>
      </c>
      <c r="J964" s="5">
        <v>46101</v>
      </c>
      <c r="K964" s="5">
        <v>46104</v>
      </c>
      <c r="L964" s="2" t="s">
        <v>865</v>
      </c>
      <c r="M964" s="5">
        <v>45754</v>
      </c>
      <c r="N964" s="3">
        <f>VLOOKUP(NavDataRegion[[#This Row],[Spool No]],[1]Sheet2!$B:$U,20,0)</f>
        <v>10.731</v>
      </c>
      <c r="O964" s="2">
        <v>6.75</v>
      </c>
      <c r="P964" s="2">
        <v>0.75</v>
      </c>
      <c r="Q964" s="2"/>
    </row>
    <row r="965" spans="1:17" ht="20.100000000000001" customHeight="1">
      <c r="A965" s="2" t="s">
        <v>9</v>
      </c>
      <c r="B965" s="2" t="s">
        <v>1251</v>
      </c>
      <c r="C965" s="2" t="s">
        <v>1583</v>
      </c>
      <c r="D965" s="2" t="e">
        <f>VLOOKUP(C:C,Vlookup!A:A,1,0)</f>
        <v>#N/A</v>
      </c>
      <c r="E965" s="2">
        <v>14</v>
      </c>
      <c r="F965" s="17" t="s">
        <v>10</v>
      </c>
      <c r="G965" s="17" t="s">
        <v>25</v>
      </c>
      <c r="H965" s="2" t="s">
        <v>11</v>
      </c>
      <c r="I965" s="2">
        <v>1</v>
      </c>
      <c r="J965" s="5">
        <v>46093</v>
      </c>
      <c r="K965" s="5">
        <v>46094</v>
      </c>
      <c r="L965" s="2" t="s">
        <v>865</v>
      </c>
      <c r="M965" s="5">
        <v>45754</v>
      </c>
      <c r="N965" s="3">
        <f>VLOOKUP(NavDataRegion[[#This Row],[Spool No]],[1]Sheet2!$B:$U,20,0)</f>
        <v>3.5217999999999998</v>
      </c>
      <c r="O965" s="2">
        <v>1</v>
      </c>
      <c r="P965" s="2">
        <v>1</v>
      </c>
      <c r="Q965" s="2"/>
    </row>
    <row r="966" spans="1:17" ht="20.100000000000001" customHeight="1">
      <c r="A966" s="2" t="s">
        <v>9</v>
      </c>
      <c r="B966" s="2" t="s">
        <v>1117</v>
      </c>
      <c r="C966" s="2" t="s">
        <v>1118</v>
      </c>
      <c r="D966" s="2" t="e">
        <f>VLOOKUP(C:C,Vlookup!A:A,1,0)</f>
        <v>#N/A</v>
      </c>
      <c r="E966" s="2">
        <v>16</v>
      </c>
      <c r="F966" s="17" t="s">
        <v>10</v>
      </c>
      <c r="G966" s="17" t="s">
        <v>25</v>
      </c>
      <c r="H966" s="2" t="s">
        <v>11</v>
      </c>
      <c r="I966" s="2">
        <v>1</v>
      </c>
      <c r="J966" s="5">
        <v>46106</v>
      </c>
      <c r="K966" s="5">
        <v>46111</v>
      </c>
      <c r="L966" s="2" t="s">
        <v>865</v>
      </c>
      <c r="M966" s="5">
        <v>46167</v>
      </c>
      <c r="N966" s="3">
        <f>VLOOKUP(NavDataRegion[[#This Row],[Spool No]],[1]Sheet2!$B:$U,20,0)</f>
        <v>11.4002</v>
      </c>
      <c r="O966" s="2">
        <v>4</v>
      </c>
      <c r="P966" s="2">
        <v>1</v>
      </c>
      <c r="Q966" s="2"/>
    </row>
    <row r="967" spans="1:17" ht="20.100000000000001" customHeight="1">
      <c r="A967" s="2" t="s">
        <v>9</v>
      </c>
      <c r="B967" s="2" t="s">
        <v>1255</v>
      </c>
      <c r="C967" s="2" t="s">
        <v>1585</v>
      </c>
      <c r="D967" s="2" t="e">
        <f>VLOOKUP(C:C,Vlookup!A:A,1,0)</f>
        <v>#N/A</v>
      </c>
      <c r="E967" s="2">
        <v>14</v>
      </c>
      <c r="F967" s="17" t="s">
        <v>10</v>
      </c>
      <c r="G967" s="17" t="s">
        <v>25</v>
      </c>
      <c r="H967" s="2" t="s">
        <v>11</v>
      </c>
      <c r="I967" s="2">
        <v>1</v>
      </c>
      <c r="J967" s="5">
        <v>46093</v>
      </c>
      <c r="K967" s="5">
        <v>46094</v>
      </c>
      <c r="L967" s="2" t="s">
        <v>865</v>
      </c>
      <c r="M967" s="5">
        <v>45754</v>
      </c>
      <c r="N967" s="3">
        <f>VLOOKUP(NavDataRegion[[#This Row],[Spool No]],[1]Sheet2!$B:$U,20,0)</f>
        <v>6.7237200000000001</v>
      </c>
      <c r="O967" s="2">
        <v>5</v>
      </c>
      <c r="P967" s="2">
        <v>0.5</v>
      </c>
      <c r="Q967" s="2"/>
    </row>
    <row r="968" spans="1:17" ht="20.100000000000001" customHeight="1">
      <c r="A968" s="2" t="s">
        <v>9</v>
      </c>
      <c r="B968" s="2" t="s">
        <v>1289</v>
      </c>
      <c r="C968" s="2" t="s">
        <v>1928</v>
      </c>
      <c r="D968" s="2" t="e">
        <f>VLOOKUP(C:C,Vlookup!A:A,1,0)</f>
        <v>#N/A</v>
      </c>
      <c r="E968" s="2">
        <v>14</v>
      </c>
      <c r="F968" s="17" t="s">
        <v>10</v>
      </c>
      <c r="G968" s="17" t="s">
        <v>25</v>
      </c>
      <c r="H968" s="2" t="s">
        <v>11</v>
      </c>
      <c r="I968" s="2">
        <v>1</v>
      </c>
      <c r="J968" s="5">
        <v>46100</v>
      </c>
      <c r="K968" s="5">
        <v>46101</v>
      </c>
      <c r="L968" s="2" t="s">
        <v>865</v>
      </c>
      <c r="M968" s="5">
        <v>45754</v>
      </c>
      <c r="N968" s="3">
        <f>VLOOKUP(NavDataRegion[[#This Row],[Spool No]],[1]Sheet2!$B:$U,20,0)</f>
        <v>19.713239999999999</v>
      </c>
      <c r="O968" s="2">
        <v>1</v>
      </c>
      <c r="P968" s="2">
        <v>1</v>
      </c>
      <c r="Q968" s="2"/>
    </row>
    <row r="969" spans="1:17" ht="20.100000000000001" customHeight="1">
      <c r="A969" s="2" t="s">
        <v>9</v>
      </c>
      <c r="B969" s="2" t="s">
        <v>1271</v>
      </c>
      <c r="C969" s="2" t="s">
        <v>1592</v>
      </c>
      <c r="D969" s="2" t="e">
        <f>VLOOKUP(C:C,Vlookup!A:A,1,0)</f>
        <v>#N/A</v>
      </c>
      <c r="E969" s="2">
        <v>14</v>
      </c>
      <c r="F969" s="17" t="s">
        <v>10</v>
      </c>
      <c r="G969" s="17" t="s">
        <v>25</v>
      </c>
      <c r="H969" s="2" t="s">
        <v>11</v>
      </c>
      <c r="I969" s="2">
        <v>1</v>
      </c>
      <c r="J969" s="5">
        <v>46093</v>
      </c>
      <c r="K969" s="5">
        <v>46094</v>
      </c>
      <c r="L969" s="2" t="s">
        <v>865</v>
      </c>
      <c r="M969" s="5">
        <v>45754</v>
      </c>
      <c r="N969" s="3">
        <f>VLOOKUP(NavDataRegion[[#This Row],[Spool No]],[1]Sheet2!$B:$U,20,0)</f>
        <v>2.8853599999999999</v>
      </c>
      <c r="O969" s="2">
        <v>1.5</v>
      </c>
      <c r="P969" s="2">
        <v>0.5</v>
      </c>
      <c r="Q969" s="2"/>
    </row>
    <row r="970" spans="1:17" ht="20.100000000000001" customHeight="1">
      <c r="A970" s="2" t="s">
        <v>9</v>
      </c>
      <c r="B970" s="2" t="s">
        <v>1271</v>
      </c>
      <c r="C970" s="2" t="s">
        <v>1897</v>
      </c>
      <c r="D970" s="2" t="e">
        <f>VLOOKUP(C:C,Vlookup!A:A,1,0)</f>
        <v>#N/A</v>
      </c>
      <c r="E970" s="2">
        <v>14</v>
      </c>
      <c r="F970" s="17" t="s">
        <v>10</v>
      </c>
      <c r="G970" s="17" t="s">
        <v>25</v>
      </c>
      <c r="H970" s="2" t="s">
        <v>11</v>
      </c>
      <c r="I970" s="2">
        <v>1</v>
      </c>
      <c r="J970" s="5">
        <v>46093</v>
      </c>
      <c r="K970" s="5">
        <v>46094</v>
      </c>
      <c r="L970" s="2" t="s">
        <v>865</v>
      </c>
      <c r="M970" s="5">
        <v>45754</v>
      </c>
      <c r="N970" s="3">
        <f>VLOOKUP(NavDataRegion[[#This Row],[Spool No]],[1]Sheet2!$B:$U,20,0)</f>
        <v>3.28694</v>
      </c>
      <c r="O970" s="2">
        <v>0.5</v>
      </c>
      <c r="P970" s="2">
        <v>0.5</v>
      </c>
      <c r="Q970" s="2"/>
    </row>
    <row r="971" spans="1:17" ht="20.100000000000001" customHeight="1">
      <c r="A971" s="2" t="s">
        <v>9</v>
      </c>
      <c r="B971" s="2" t="s">
        <v>1119</v>
      </c>
      <c r="C971" s="2" t="s">
        <v>1542</v>
      </c>
      <c r="D971" s="2" t="e">
        <f>VLOOKUP(C:C,Vlookup!A:A,1,0)</f>
        <v>#N/A</v>
      </c>
      <c r="E971" s="2">
        <v>16</v>
      </c>
      <c r="F971" s="17" t="s">
        <v>10</v>
      </c>
      <c r="G971" s="17" t="s">
        <v>25</v>
      </c>
      <c r="H971" s="2" t="s">
        <v>11</v>
      </c>
      <c r="I971" s="2">
        <v>1</v>
      </c>
      <c r="J971" s="5">
        <v>46106</v>
      </c>
      <c r="K971" s="5">
        <v>46108</v>
      </c>
      <c r="L971" s="2" t="s">
        <v>865</v>
      </c>
      <c r="M971" s="5">
        <v>46167</v>
      </c>
      <c r="N971" s="3">
        <f>VLOOKUP(NavDataRegion[[#This Row],[Spool No]],[1]Sheet2!$B:$U,20,0)</f>
        <v>4.5353199999999996</v>
      </c>
      <c r="O971" s="2">
        <v>2</v>
      </c>
      <c r="P971" s="2">
        <v>1</v>
      </c>
      <c r="Q971" s="2"/>
    </row>
    <row r="972" spans="1:17" ht="20.100000000000001" customHeight="1">
      <c r="A972" s="2" t="s">
        <v>9</v>
      </c>
      <c r="B972" s="2" t="s">
        <v>1277</v>
      </c>
      <c r="C972" s="2" t="s">
        <v>1750</v>
      </c>
      <c r="D972" s="2" t="e">
        <f>VLOOKUP(C:C,Vlookup!A:A,1,0)</f>
        <v>#N/A</v>
      </c>
      <c r="E972" s="2">
        <v>14</v>
      </c>
      <c r="F972" s="17" t="s">
        <v>10</v>
      </c>
      <c r="G972" s="17" t="s">
        <v>25</v>
      </c>
      <c r="H972" s="2" t="s">
        <v>11</v>
      </c>
      <c r="I972" s="2">
        <v>1</v>
      </c>
      <c r="J972" s="5">
        <v>46093</v>
      </c>
      <c r="K972" s="5">
        <v>46094</v>
      </c>
      <c r="L972" s="2" t="s">
        <v>865</v>
      </c>
      <c r="M972" s="5">
        <v>45754</v>
      </c>
      <c r="N972" s="3">
        <f>VLOOKUP(NavDataRegion[[#This Row],[Spool No]],[1]Sheet2!$B:$U,20,0)</f>
        <v>3.9803000000000002</v>
      </c>
      <c r="O972" s="2">
        <v>1</v>
      </c>
      <c r="P972" s="2">
        <v>0.5</v>
      </c>
      <c r="Q972" s="2"/>
    </row>
    <row r="973" spans="1:17" ht="20.100000000000001" customHeight="1">
      <c r="A973" s="2" t="s">
        <v>9</v>
      </c>
      <c r="B973" s="2" t="s">
        <v>1281</v>
      </c>
      <c r="C973" s="2" t="s">
        <v>1597</v>
      </c>
      <c r="D973" s="2" t="e">
        <f>VLOOKUP(C:C,Vlookup!A:A,1,0)</f>
        <v>#N/A</v>
      </c>
      <c r="E973" s="2">
        <v>14</v>
      </c>
      <c r="F973" s="17" t="s">
        <v>10</v>
      </c>
      <c r="G973" s="17" t="s">
        <v>25</v>
      </c>
      <c r="H973" s="2" t="s">
        <v>11</v>
      </c>
      <c r="I973" s="2">
        <v>1</v>
      </c>
      <c r="J973" s="5">
        <v>46093</v>
      </c>
      <c r="K973" s="5">
        <v>46094</v>
      </c>
      <c r="L973" s="2" t="s">
        <v>865</v>
      </c>
      <c r="M973" s="5">
        <v>45754</v>
      </c>
      <c r="N973" s="3">
        <f>VLOOKUP(NavDataRegion[[#This Row],[Spool No]],[1]Sheet2!$B:$U,20,0)</f>
        <v>13.4922</v>
      </c>
      <c r="O973" s="2">
        <v>3</v>
      </c>
      <c r="P973" s="2">
        <v>1</v>
      </c>
      <c r="Q973" s="2"/>
    </row>
    <row r="974" spans="1:17" ht="20.100000000000001" customHeight="1">
      <c r="A974" s="2" t="s">
        <v>9</v>
      </c>
      <c r="B974" s="2" t="s">
        <v>1281</v>
      </c>
      <c r="C974" s="2" t="s">
        <v>1752</v>
      </c>
      <c r="D974" s="2" t="e">
        <f>VLOOKUP(C:C,Vlookup!A:A,1,0)</f>
        <v>#N/A</v>
      </c>
      <c r="E974" s="2">
        <v>14</v>
      </c>
      <c r="F974" s="17" t="s">
        <v>10</v>
      </c>
      <c r="G974" s="17" t="s">
        <v>25</v>
      </c>
      <c r="H974" s="2" t="s">
        <v>11</v>
      </c>
      <c r="I974" s="2">
        <v>1</v>
      </c>
      <c r="J974" s="5">
        <v>46093</v>
      </c>
      <c r="K974" s="5">
        <v>46094</v>
      </c>
      <c r="L974" s="2" t="s">
        <v>865</v>
      </c>
      <c r="M974" s="5">
        <v>45754</v>
      </c>
      <c r="N974" s="3">
        <f>VLOOKUP(NavDataRegion[[#This Row],[Spool No]],[1]Sheet2!$B:$U,20,0)</f>
        <v>7.3293600000000003</v>
      </c>
      <c r="O974" s="2">
        <v>8</v>
      </c>
      <c r="P974" s="2">
        <v>1</v>
      </c>
      <c r="Q974" s="2"/>
    </row>
    <row r="975" spans="1:17" ht="20.100000000000001" customHeight="1">
      <c r="A975" s="2" t="s">
        <v>9</v>
      </c>
      <c r="B975" s="2" t="s">
        <v>1283</v>
      </c>
      <c r="C975" s="2" t="s">
        <v>1284</v>
      </c>
      <c r="D975" s="2" t="e">
        <f>VLOOKUP(C:C,Vlookup!A:A,1,0)</f>
        <v>#N/A</v>
      </c>
      <c r="E975" s="2">
        <v>14</v>
      </c>
      <c r="F975" s="17" t="s">
        <v>10</v>
      </c>
      <c r="G975" s="17" t="s">
        <v>25</v>
      </c>
      <c r="H975" s="2" t="s">
        <v>11</v>
      </c>
      <c r="I975" s="2">
        <v>1</v>
      </c>
      <c r="J975" s="5">
        <v>46093</v>
      </c>
      <c r="K975" s="5">
        <v>46094</v>
      </c>
      <c r="L975" s="2" t="s">
        <v>865</v>
      </c>
      <c r="M975" s="5">
        <v>45754</v>
      </c>
      <c r="N975" s="3">
        <f>VLOOKUP(NavDataRegion[[#This Row],[Spool No]],[1]Sheet2!$B:$U,20,0)</f>
        <v>7.5586799999999998</v>
      </c>
      <c r="O975" s="2">
        <v>1</v>
      </c>
      <c r="P975" s="2">
        <v>1</v>
      </c>
      <c r="Q975" s="2"/>
    </row>
    <row r="976" spans="1:17" ht="20.100000000000001" customHeight="1">
      <c r="A976" s="2" t="s">
        <v>9</v>
      </c>
      <c r="B976" s="2" t="s">
        <v>1043</v>
      </c>
      <c r="C976" s="2" t="s">
        <v>1695</v>
      </c>
      <c r="D976" s="2" t="e">
        <f>VLOOKUP(C:C,Vlookup!A:A,1,0)</f>
        <v>#N/A</v>
      </c>
      <c r="E976" s="2">
        <v>16</v>
      </c>
      <c r="F976" s="17" t="s">
        <v>10</v>
      </c>
      <c r="G976" s="17" t="s">
        <v>25</v>
      </c>
      <c r="H976" s="2" t="s">
        <v>11</v>
      </c>
      <c r="I976" s="2">
        <v>1</v>
      </c>
      <c r="J976" s="5">
        <v>46113</v>
      </c>
      <c r="K976" s="5">
        <v>46118</v>
      </c>
      <c r="L976" s="2" t="s">
        <v>865</v>
      </c>
      <c r="M976" s="5">
        <v>46167</v>
      </c>
      <c r="N976" s="3">
        <f>VLOOKUP(NavDataRegion[[#This Row],[Spool No]],[1]Sheet2!$B:$U,20,0)</f>
        <v>16.979199999999999</v>
      </c>
      <c r="O976" s="2">
        <v>6</v>
      </c>
      <c r="P976" s="2">
        <v>1</v>
      </c>
      <c r="Q976" s="2"/>
    </row>
    <row r="977" spans="1:17" ht="20.100000000000001" customHeight="1">
      <c r="A977" s="2" t="s">
        <v>9</v>
      </c>
      <c r="B977" s="2" t="s">
        <v>931</v>
      </c>
      <c r="C977" s="2" t="s">
        <v>1788</v>
      </c>
      <c r="D977" s="2" t="e">
        <f>VLOOKUP(C:C,Vlookup!A:A,1,0)</f>
        <v>#N/A</v>
      </c>
      <c r="E977" s="2">
        <v>23</v>
      </c>
      <c r="F977" s="17" t="s">
        <v>10</v>
      </c>
      <c r="G977" s="17" t="s">
        <v>25</v>
      </c>
      <c r="H977" s="2" t="s">
        <v>11</v>
      </c>
      <c r="I977" s="2">
        <v>1</v>
      </c>
      <c r="J977" s="5">
        <v>46169</v>
      </c>
      <c r="K977" s="5">
        <v>46170</v>
      </c>
      <c r="L977" s="2" t="s">
        <v>865</v>
      </c>
      <c r="M977" s="5">
        <v>46185</v>
      </c>
      <c r="N977" s="3">
        <f>VLOOKUP(NavDataRegion[[#This Row],[Spool No]],[1]Sheet2!$B:$U,20,0)</f>
        <v>53.134039999999999</v>
      </c>
      <c r="O977" s="2">
        <v>4</v>
      </c>
      <c r="P977" s="2">
        <v>1</v>
      </c>
      <c r="Q977" s="2"/>
    </row>
    <row r="978" spans="1:17" ht="20.100000000000001" customHeight="1">
      <c r="A978" s="2" t="s">
        <v>9</v>
      </c>
      <c r="B978" s="2" t="s">
        <v>1283</v>
      </c>
      <c r="C978" s="2" t="s">
        <v>1848</v>
      </c>
      <c r="D978" s="2" t="e">
        <f>VLOOKUP(C:C,Vlookup!A:A,1,0)</f>
        <v>#N/A</v>
      </c>
      <c r="E978" s="2">
        <v>14</v>
      </c>
      <c r="F978" s="17" t="s">
        <v>10</v>
      </c>
      <c r="G978" s="17" t="s">
        <v>25</v>
      </c>
      <c r="H978" s="2" t="s">
        <v>11</v>
      </c>
      <c r="I978" s="2">
        <v>1</v>
      </c>
      <c r="J978" s="5">
        <v>46093</v>
      </c>
      <c r="K978" s="5">
        <v>46094</v>
      </c>
      <c r="L978" s="2" t="s">
        <v>865</v>
      </c>
      <c r="M978" s="5">
        <v>45754</v>
      </c>
      <c r="N978" s="3">
        <f>VLOOKUP(NavDataRegion[[#This Row],[Spool No]],[1]Sheet2!$B:$U,20,0)</f>
        <v>3.3733200000000001</v>
      </c>
      <c r="O978" s="2">
        <v>1</v>
      </c>
      <c r="P978" s="2">
        <v>1</v>
      </c>
      <c r="Q978" s="2"/>
    </row>
    <row r="979" spans="1:17" ht="20.100000000000001" customHeight="1">
      <c r="A979" s="2" t="s">
        <v>9</v>
      </c>
      <c r="B979" s="2" t="s">
        <v>1283</v>
      </c>
      <c r="C979" s="2" t="s">
        <v>1901</v>
      </c>
      <c r="D979" s="2" t="e">
        <f>VLOOKUP(C:C,Vlookup!A:A,1,0)</f>
        <v>#N/A</v>
      </c>
      <c r="E979" s="2">
        <v>14</v>
      </c>
      <c r="F979" s="17" t="s">
        <v>10</v>
      </c>
      <c r="G979" s="17" t="s">
        <v>25</v>
      </c>
      <c r="H979" s="2" t="s">
        <v>11</v>
      </c>
      <c r="I979" s="2">
        <v>1</v>
      </c>
      <c r="J979" s="5">
        <v>46093</v>
      </c>
      <c r="K979" s="5">
        <v>46094</v>
      </c>
      <c r="L979" s="2" t="s">
        <v>865</v>
      </c>
      <c r="M979" s="5">
        <v>45754</v>
      </c>
      <c r="N979" s="3">
        <f>VLOOKUP(NavDataRegion[[#This Row],[Spool No]],[1]Sheet2!$B:$U,20,0)</f>
        <v>8.7290399999999995</v>
      </c>
      <c r="O979" s="2">
        <v>1</v>
      </c>
      <c r="P979" s="2">
        <v>1</v>
      </c>
      <c r="Q979" s="2"/>
    </row>
    <row r="980" spans="1:17" ht="20.100000000000001" customHeight="1">
      <c r="A980" s="2" t="s">
        <v>9</v>
      </c>
      <c r="B980" s="2" t="s">
        <v>1285</v>
      </c>
      <c r="C980" s="2" t="s">
        <v>1599</v>
      </c>
      <c r="D980" s="2" t="e">
        <f>VLOOKUP(C:C,Vlookup!A:A,1,0)</f>
        <v>#N/A</v>
      </c>
      <c r="E980" s="2">
        <v>14</v>
      </c>
      <c r="F980" s="17" t="s">
        <v>10</v>
      </c>
      <c r="G980" s="17" t="s">
        <v>25</v>
      </c>
      <c r="H980" s="2" t="s">
        <v>11</v>
      </c>
      <c r="I980" s="2">
        <v>1</v>
      </c>
      <c r="J980" s="5">
        <v>46093</v>
      </c>
      <c r="K980" s="5">
        <v>46094</v>
      </c>
      <c r="L980" s="2" t="s">
        <v>865</v>
      </c>
      <c r="M980" s="5">
        <v>45754</v>
      </c>
      <c r="N980" s="3">
        <f>VLOOKUP(NavDataRegion[[#This Row],[Spool No]],[1]Sheet2!$B:$U,20,0)</f>
        <v>9.4713600000000007</v>
      </c>
      <c r="O980" s="2">
        <v>4</v>
      </c>
      <c r="P980" s="2">
        <v>1</v>
      </c>
      <c r="Q980" s="2"/>
    </row>
    <row r="981" spans="1:17" ht="20.100000000000001" customHeight="1">
      <c r="A981" s="2" t="s">
        <v>9</v>
      </c>
      <c r="B981" s="2" t="s">
        <v>937</v>
      </c>
      <c r="C981" s="2" t="s">
        <v>1791</v>
      </c>
      <c r="D981" s="2" t="e">
        <f>VLOOKUP(C:C,Vlookup!A:A,1,0)</f>
        <v>#N/A</v>
      </c>
      <c r="E981" s="2">
        <v>23</v>
      </c>
      <c r="F981" s="17" t="s">
        <v>10</v>
      </c>
      <c r="G981" s="17" t="s">
        <v>25</v>
      </c>
      <c r="H981" s="2" t="s">
        <v>11</v>
      </c>
      <c r="I981" s="2">
        <v>1</v>
      </c>
      <c r="J981" s="5">
        <v>46169</v>
      </c>
      <c r="K981" s="5">
        <v>46170</v>
      </c>
      <c r="L981" s="2" t="s">
        <v>865</v>
      </c>
      <c r="M981" s="5">
        <v>46185</v>
      </c>
      <c r="N981" s="3">
        <f>VLOOKUP(NavDataRegion[[#This Row],[Spool No]],[1]Sheet2!$B:$U,20,0)</f>
        <v>53.134039999999999</v>
      </c>
      <c r="O981" s="2">
        <v>4</v>
      </c>
      <c r="P981" s="2">
        <v>1</v>
      </c>
      <c r="Q981" s="2"/>
    </row>
    <row r="982" spans="1:17" ht="20.100000000000001" customHeight="1">
      <c r="A982" s="2" t="s">
        <v>9</v>
      </c>
      <c r="B982" s="2" t="s">
        <v>941</v>
      </c>
      <c r="C982" s="2" t="s">
        <v>1792</v>
      </c>
      <c r="D982" s="2" t="e">
        <f>VLOOKUP(C:C,Vlookup!A:A,1,0)</f>
        <v>#N/A</v>
      </c>
      <c r="E982" s="2">
        <v>23</v>
      </c>
      <c r="F982" s="17" t="s">
        <v>10</v>
      </c>
      <c r="G982" s="17" t="s">
        <v>25</v>
      </c>
      <c r="H982" s="2" t="s">
        <v>11</v>
      </c>
      <c r="I982" s="2">
        <v>1</v>
      </c>
      <c r="J982" s="5">
        <v>46169</v>
      </c>
      <c r="K982" s="5">
        <v>46170</v>
      </c>
      <c r="L982" s="2" t="s">
        <v>865</v>
      </c>
      <c r="M982" s="5">
        <v>46185</v>
      </c>
      <c r="N982" s="3">
        <f>VLOOKUP(NavDataRegion[[#This Row],[Spool No]],[1]Sheet2!$B:$U,20,0)</f>
        <v>11.675560000000001</v>
      </c>
      <c r="O982" s="2">
        <v>3</v>
      </c>
      <c r="P982" s="2">
        <v>1</v>
      </c>
      <c r="Q982" s="2"/>
    </row>
    <row r="983" spans="1:17" ht="20.100000000000001" customHeight="1">
      <c r="A983" s="2" t="s">
        <v>9</v>
      </c>
      <c r="B983" s="2" t="s">
        <v>943</v>
      </c>
      <c r="C983" s="2" t="s">
        <v>1793</v>
      </c>
      <c r="D983" s="2" t="e">
        <f>VLOOKUP(C:C,Vlookup!A:A,1,0)</f>
        <v>#N/A</v>
      </c>
      <c r="E983" s="2">
        <v>23</v>
      </c>
      <c r="F983" s="17" t="s">
        <v>10</v>
      </c>
      <c r="G983" s="17" t="s">
        <v>25</v>
      </c>
      <c r="H983" s="2" t="s">
        <v>11</v>
      </c>
      <c r="I983" s="2">
        <v>1</v>
      </c>
      <c r="J983" s="5">
        <v>46170</v>
      </c>
      <c r="K983" s="5">
        <v>46175</v>
      </c>
      <c r="L983" s="2" t="s">
        <v>865</v>
      </c>
      <c r="M983" s="5">
        <v>46185</v>
      </c>
      <c r="N983" s="3">
        <f>VLOOKUP(NavDataRegion[[#This Row],[Spool No]],[1]Sheet2!$B:$U,20,0)</f>
        <v>45.675559999999997</v>
      </c>
      <c r="O983" s="2">
        <v>3</v>
      </c>
      <c r="P983" s="2">
        <v>1</v>
      </c>
      <c r="Q983" s="2"/>
    </row>
    <row r="984" spans="1:17" ht="20.100000000000001" customHeight="1">
      <c r="A984" s="2" t="s">
        <v>9</v>
      </c>
      <c r="B984" s="2" t="s">
        <v>951</v>
      </c>
      <c r="C984" s="2" t="s">
        <v>1795</v>
      </c>
      <c r="D984" s="2" t="e">
        <f>VLOOKUP(C:C,Vlookup!A:A,1,0)</f>
        <v>#N/A</v>
      </c>
      <c r="E984" s="2">
        <v>16</v>
      </c>
      <c r="F984" s="17" t="s">
        <v>10</v>
      </c>
      <c r="G984" s="17" t="s">
        <v>10</v>
      </c>
      <c r="H984" s="2" t="s">
        <v>11</v>
      </c>
      <c r="I984" s="2">
        <v>1</v>
      </c>
      <c r="J984" s="5">
        <v>46108</v>
      </c>
      <c r="K984" s="5">
        <v>46111</v>
      </c>
      <c r="L984" s="2" t="s">
        <v>865</v>
      </c>
      <c r="M984" s="5">
        <v>46167</v>
      </c>
      <c r="N984" s="3">
        <f>VLOOKUP(NavDataRegion[[#This Row],[Spool No]],[1]Sheet2!$B:$U,20,0)</f>
        <v>14.175240000000001</v>
      </c>
      <c r="O984" s="2">
        <v>3</v>
      </c>
      <c r="P984" s="2">
        <v>1</v>
      </c>
      <c r="Q984" s="2"/>
    </row>
    <row r="985" spans="1:17" ht="20.100000000000001" customHeight="1">
      <c r="A985" s="2" t="s">
        <v>9</v>
      </c>
      <c r="B985" s="2" t="s">
        <v>971</v>
      </c>
      <c r="C985" s="2" t="s">
        <v>1797</v>
      </c>
      <c r="D985" s="2" t="e">
        <f>VLOOKUP(C:C,Vlookup!A:A,1,0)</f>
        <v>#N/A</v>
      </c>
      <c r="E985" s="2">
        <v>16</v>
      </c>
      <c r="F985" s="17" t="s">
        <v>10</v>
      </c>
      <c r="G985" s="17" t="s">
        <v>25</v>
      </c>
      <c r="H985" s="2" t="s">
        <v>11</v>
      </c>
      <c r="I985" s="2">
        <v>1</v>
      </c>
      <c r="J985" s="5">
        <v>46115</v>
      </c>
      <c r="K985" s="5">
        <v>46118</v>
      </c>
      <c r="L985" s="2" t="s">
        <v>865</v>
      </c>
      <c r="M985" s="5">
        <v>46167</v>
      </c>
      <c r="N985" s="3">
        <f>VLOOKUP(NavDataRegion[[#This Row],[Spool No]],[1]Sheet2!$B:$U,20,0)</f>
        <v>47.023400000000002</v>
      </c>
      <c r="O985" s="2">
        <v>4</v>
      </c>
      <c r="P985" s="2">
        <v>1</v>
      </c>
      <c r="Q985" s="2"/>
    </row>
    <row r="986" spans="1:17" ht="20.100000000000001" customHeight="1">
      <c r="A986" s="2" t="s">
        <v>9</v>
      </c>
      <c r="B986" s="2" t="s">
        <v>1289</v>
      </c>
      <c r="C986" s="2" t="s">
        <v>1944</v>
      </c>
      <c r="D986" s="2" t="e">
        <f>VLOOKUP(C:C,Vlookup!A:A,1,0)</f>
        <v>#N/A</v>
      </c>
      <c r="E986" s="2">
        <v>14</v>
      </c>
      <c r="F986" s="17" t="s">
        <v>10</v>
      </c>
      <c r="G986" s="17" t="s">
        <v>25</v>
      </c>
      <c r="H986" s="2" t="s">
        <v>11</v>
      </c>
      <c r="I986" s="2">
        <v>1</v>
      </c>
      <c r="J986" s="5">
        <v>46100</v>
      </c>
      <c r="K986" s="5">
        <v>46101</v>
      </c>
      <c r="L986" s="2" t="s">
        <v>865</v>
      </c>
      <c r="M986" s="5">
        <v>45754</v>
      </c>
      <c r="N986" s="3">
        <f>VLOOKUP(NavDataRegion[[#This Row],[Spool No]],[1]Sheet2!$B:$U,20,0)</f>
        <v>16.9878</v>
      </c>
      <c r="O986" s="2">
        <v>1</v>
      </c>
      <c r="P986" s="2">
        <v>1</v>
      </c>
      <c r="Q986" s="2"/>
    </row>
    <row r="987" spans="1:17" ht="20.100000000000001" customHeight="1">
      <c r="A987" s="2" t="s">
        <v>9</v>
      </c>
      <c r="B987" s="2" t="s">
        <v>991</v>
      </c>
      <c r="C987" s="2" t="s">
        <v>1800</v>
      </c>
      <c r="D987" s="2" t="e">
        <f>VLOOKUP(C:C,Vlookup!A:A,1,0)</f>
        <v>#N/A</v>
      </c>
      <c r="E987" s="2">
        <v>14</v>
      </c>
      <c r="F987" s="17" t="s">
        <v>10</v>
      </c>
      <c r="G987" s="17" t="s">
        <v>25</v>
      </c>
      <c r="H987" s="2" t="s">
        <v>11</v>
      </c>
      <c r="I987" s="2">
        <v>1</v>
      </c>
      <c r="J987" s="5">
        <v>46105</v>
      </c>
      <c r="K987" s="5">
        <v>46106</v>
      </c>
      <c r="L987" s="2" t="s">
        <v>865</v>
      </c>
      <c r="M987" s="5">
        <v>45754</v>
      </c>
      <c r="N987" s="3">
        <f>VLOOKUP(NavDataRegion[[#This Row],[Spool No]],[1]Sheet2!$B:$U,20,0)</f>
        <v>12.11256</v>
      </c>
      <c r="O987" s="2">
        <v>4</v>
      </c>
      <c r="P987" s="2">
        <v>1</v>
      </c>
      <c r="Q987" s="2"/>
    </row>
    <row r="988" spans="1:17" ht="20.100000000000001" customHeight="1">
      <c r="A988" s="2" t="s">
        <v>9</v>
      </c>
      <c r="B988" s="2" t="s">
        <v>1161</v>
      </c>
      <c r="C988" s="2" t="s">
        <v>1717</v>
      </c>
      <c r="D988" s="2" t="e">
        <f>VLOOKUP(C:C,Vlookup!A:A,1,0)</f>
        <v>#N/A</v>
      </c>
      <c r="E988" s="2">
        <v>16</v>
      </c>
      <c r="F988" s="17" t="s">
        <v>10</v>
      </c>
      <c r="G988" s="17" t="s">
        <v>25</v>
      </c>
      <c r="H988" s="2" t="s">
        <v>11</v>
      </c>
      <c r="I988" s="2">
        <v>1</v>
      </c>
      <c r="J988" s="5">
        <v>46105</v>
      </c>
      <c r="K988" s="5">
        <v>46108</v>
      </c>
      <c r="L988" s="2" t="s">
        <v>865</v>
      </c>
      <c r="M988" s="5">
        <v>46167</v>
      </c>
      <c r="N988" s="3">
        <f>VLOOKUP(NavDataRegion[[#This Row],[Spool No]],[1]Sheet2!$B:$U,20,0)</f>
        <v>22.277280000000001</v>
      </c>
      <c r="O988" s="2">
        <v>10</v>
      </c>
      <c r="P988" s="2">
        <v>1</v>
      </c>
      <c r="Q988" s="2"/>
    </row>
    <row r="989" spans="1:17" ht="20.100000000000001" customHeight="1">
      <c r="A989" s="2" t="s">
        <v>9</v>
      </c>
      <c r="B989" s="2" t="s">
        <v>1289</v>
      </c>
      <c r="C989" s="2" t="s">
        <v>1601</v>
      </c>
      <c r="D989" s="2" t="e">
        <f>VLOOKUP(C:C,Vlookup!A:A,1,0)</f>
        <v>#N/A</v>
      </c>
      <c r="E989" s="2">
        <v>14</v>
      </c>
      <c r="F989" s="17" t="s">
        <v>10</v>
      </c>
      <c r="G989" s="17" t="s">
        <v>25</v>
      </c>
      <c r="H989" s="2" t="s">
        <v>11</v>
      </c>
      <c r="I989" s="2">
        <v>1</v>
      </c>
      <c r="J989" s="5">
        <v>46093</v>
      </c>
      <c r="K989" s="5">
        <v>46094</v>
      </c>
      <c r="L989" s="2" t="s">
        <v>865</v>
      </c>
      <c r="M989" s="5">
        <v>45754</v>
      </c>
      <c r="N989" s="3">
        <f>VLOOKUP(NavDataRegion[[#This Row],[Spool No]],[1]Sheet2!$B:$U,20,0)</f>
        <v>8.0293200000000002</v>
      </c>
      <c r="O989" s="2">
        <v>5</v>
      </c>
      <c r="P989" s="2">
        <v>1</v>
      </c>
      <c r="Q989" s="2"/>
    </row>
    <row r="990" spans="1:17" ht="20.100000000000001" customHeight="1">
      <c r="A990" s="2" t="s">
        <v>9</v>
      </c>
      <c r="B990" s="2" t="s">
        <v>1291</v>
      </c>
      <c r="C990" s="2" t="s">
        <v>1602</v>
      </c>
      <c r="D990" s="2" t="e">
        <f>VLOOKUP(C:C,Vlookup!A:A,1,0)</f>
        <v>#N/A</v>
      </c>
      <c r="E990" s="2">
        <v>14</v>
      </c>
      <c r="F990" s="17" t="s">
        <v>10</v>
      </c>
      <c r="G990" s="17" t="s">
        <v>25</v>
      </c>
      <c r="H990" s="2" t="s">
        <v>11</v>
      </c>
      <c r="I990" s="2">
        <v>1</v>
      </c>
      <c r="J990" s="5">
        <v>46093</v>
      </c>
      <c r="K990" s="5">
        <v>46094</v>
      </c>
      <c r="L990" s="2" t="s">
        <v>865</v>
      </c>
      <c r="M990" s="5">
        <v>45754</v>
      </c>
      <c r="N990" s="3">
        <f>VLOOKUP(NavDataRegion[[#This Row],[Spool No]],[1]Sheet2!$B:$U,20,0)</f>
        <v>9.9417600000000004</v>
      </c>
      <c r="O990" s="2">
        <v>4</v>
      </c>
      <c r="P990" s="2">
        <v>1</v>
      </c>
      <c r="Q990" s="2"/>
    </row>
    <row r="991" spans="1:17" ht="20.100000000000001" customHeight="1">
      <c r="A991" s="2" t="s">
        <v>9</v>
      </c>
      <c r="B991" s="2" t="s">
        <v>1043</v>
      </c>
      <c r="C991" s="2" t="s">
        <v>1805</v>
      </c>
      <c r="D991" s="2" t="e">
        <f>VLOOKUP(C:C,Vlookup!A:A,1,0)</f>
        <v>#N/A</v>
      </c>
      <c r="E991" s="2">
        <v>14</v>
      </c>
      <c r="F991" s="17" t="s">
        <v>10</v>
      </c>
      <c r="G991" s="17" t="s">
        <v>25</v>
      </c>
      <c r="H991" s="2" t="s">
        <v>11</v>
      </c>
      <c r="I991" s="2">
        <v>1</v>
      </c>
      <c r="J991" s="5">
        <v>46105</v>
      </c>
      <c r="K991" s="5">
        <v>46106</v>
      </c>
      <c r="L991" s="2" t="s">
        <v>865</v>
      </c>
      <c r="M991" s="5">
        <v>45754</v>
      </c>
      <c r="N991" s="3">
        <f>VLOOKUP(NavDataRegion[[#This Row],[Spool No]],[1]Sheet2!$B:$U,20,0)</f>
        <v>12.113440000000001</v>
      </c>
      <c r="O991" s="2">
        <v>5</v>
      </c>
      <c r="P991" s="2">
        <v>1</v>
      </c>
      <c r="Q991" s="2"/>
    </row>
    <row r="992" spans="1:17" ht="20.100000000000001" customHeight="1">
      <c r="A992" s="2" t="s">
        <v>9</v>
      </c>
      <c r="B992" s="2" t="s">
        <v>1191</v>
      </c>
      <c r="C992" s="2" t="s">
        <v>1828</v>
      </c>
      <c r="D992" s="2" t="e">
        <f>VLOOKUP(C:C,Vlookup!A:A,1,0)</f>
        <v>#N/A</v>
      </c>
      <c r="E992" s="2">
        <v>16</v>
      </c>
      <c r="F992" s="17" t="s">
        <v>10</v>
      </c>
      <c r="G992" s="17" t="s">
        <v>25</v>
      </c>
      <c r="H992" s="2" t="s">
        <v>11</v>
      </c>
      <c r="I992" s="2">
        <v>1</v>
      </c>
      <c r="J992" s="5">
        <v>46105</v>
      </c>
      <c r="K992" s="5">
        <v>46111</v>
      </c>
      <c r="L992" s="2" t="s">
        <v>865</v>
      </c>
      <c r="M992" s="5">
        <v>46167</v>
      </c>
      <c r="N992" s="3">
        <f>VLOOKUP(NavDataRegion[[#This Row],[Spool No]],[1]Sheet2!$B:$U,20,0)</f>
        <v>26.891120000000001</v>
      </c>
      <c r="O992" s="2">
        <v>2</v>
      </c>
      <c r="P992" s="2">
        <v>1</v>
      </c>
      <c r="Q992" s="2"/>
    </row>
    <row r="993" spans="1:17" ht="20.100000000000001" customHeight="1">
      <c r="A993" s="2" t="s">
        <v>9</v>
      </c>
      <c r="B993" s="2" t="s">
        <v>1063</v>
      </c>
      <c r="C993" s="2" t="s">
        <v>1808</v>
      </c>
      <c r="D993" s="2" t="e">
        <f>VLOOKUP(C:C,Vlookup!A:A,1,0)</f>
        <v>#N/A</v>
      </c>
      <c r="E993" s="2">
        <v>16</v>
      </c>
      <c r="F993" s="17" t="s">
        <v>10</v>
      </c>
      <c r="G993" s="17" t="s">
        <v>25</v>
      </c>
      <c r="H993" s="2" t="s">
        <v>11</v>
      </c>
      <c r="I993" s="2">
        <v>1</v>
      </c>
      <c r="J993" s="5">
        <v>46108</v>
      </c>
      <c r="K993" s="5">
        <v>46111</v>
      </c>
      <c r="L993" s="2" t="s">
        <v>865</v>
      </c>
      <c r="M993" s="5">
        <v>46167</v>
      </c>
      <c r="N993" s="3">
        <f>VLOOKUP(NavDataRegion[[#This Row],[Spool No]],[1]Sheet2!$B:$U,20,0)</f>
        <v>13.11412</v>
      </c>
      <c r="O993" s="2">
        <v>3</v>
      </c>
      <c r="P993" s="2">
        <v>1</v>
      </c>
      <c r="Q993" s="2"/>
    </row>
    <row r="994" spans="1:17" ht="20.100000000000001" customHeight="1">
      <c r="A994" s="2" t="s">
        <v>9</v>
      </c>
      <c r="B994" s="2" t="s">
        <v>1089</v>
      </c>
      <c r="C994" s="2" t="s">
        <v>1809</v>
      </c>
      <c r="D994" s="2" t="e">
        <f>VLOOKUP(C:C,Vlookup!A:A,1,0)</f>
        <v>#N/A</v>
      </c>
      <c r="E994" s="2">
        <v>14</v>
      </c>
      <c r="F994" s="17" t="s">
        <v>10</v>
      </c>
      <c r="G994" s="17" t="s">
        <v>25</v>
      </c>
      <c r="H994" s="2" t="s">
        <v>11</v>
      </c>
      <c r="I994" s="2">
        <v>1</v>
      </c>
      <c r="J994" s="5">
        <v>46105</v>
      </c>
      <c r="K994" s="5">
        <v>46106</v>
      </c>
      <c r="L994" s="2" t="s">
        <v>865</v>
      </c>
      <c r="M994" s="5">
        <v>45754</v>
      </c>
      <c r="N994" s="3">
        <f>VLOOKUP(NavDataRegion[[#This Row],[Spool No]],[1]Sheet2!$B:$U,20,0)</f>
        <v>3.6154799999999998</v>
      </c>
      <c r="O994" s="2">
        <v>3</v>
      </c>
      <c r="P994" s="2">
        <v>1</v>
      </c>
      <c r="Q994" s="2"/>
    </row>
    <row r="995" spans="1:17" ht="20.100000000000001" customHeight="1">
      <c r="A995" s="2" t="s">
        <v>9</v>
      </c>
      <c r="B995" s="2" t="s">
        <v>1095</v>
      </c>
      <c r="C995" s="2" t="s">
        <v>1705</v>
      </c>
      <c r="D995" s="2" t="e">
        <f>VLOOKUP(C:C,Vlookup!A:A,1,0)</f>
        <v>#N/A</v>
      </c>
      <c r="E995" s="2">
        <v>16</v>
      </c>
      <c r="F995" s="17" t="s">
        <v>10</v>
      </c>
      <c r="G995" s="17" t="s">
        <v>25</v>
      </c>
      <c r="H995" s="2" t="s">
        <v>11</v>
      </c>
      <c r="I995" s="2">
        <v>1</v>
      </c>
      <c r="J995" s="5">
        <v>46113</v>
      </c>
      <c r="K995" s="5">
        <v>46118</v>
      </c>
      <c r="L995" s="2" t="s">
        <v>865</v>
      </c>
      <c r="M995" s="5">
        <v>46167</v>
      </c>
      <c r="N995" s="3">
        <f>VLOOKUP(NavDataRegion[[#This Row],[Spool No]],[1]Sheet2!$B:$U,20,0)</f>
        <v>13.721880000000001</v>
      </c>
      <c r="O995" s="2">
        <v>1</v>
      </c>
      <c r="P995" s="2">
        <v>1</v>
      </c>
      <c r="Q995" s="2"/>
    </row>
    <row r="996" spans="1:17" ht="20.100000000000001" customHeight="1">
      <c r="A996" s="2" t="s">
        <v>9</v>
      </c>
      <c r="B996" s="2" t="s">
        <v>1093</v>
      </c>
      <c r="C996" s="2" t="s">
        <v>1811</v>
      </c>
      <c r="D996" s="2" t="e">
        <f>VLOOKUP(C:C,Vlookup!A:A,1,0)</f>
        <v>#N/A</v>
      </c>
      <c r="E996" s="2">
        <v>14</v>
      </c>
      <c r="F996" s="17" t="s">
        <v>10</v>
      </c>
      <c r="G996" s="17" t="s">
        <v>25</v>
      </c>
      <c r="H996" s="2" t="s">
        <v>11</v>
      </c>
      <c r="I996" s="2">
        <v>1</v>
      </c>
      <c r="J996" s="5">
        <v>46106</v>
      </c>
      <c r="K996" s="5">
        <v>46106</v>
      </c>
      <c r="L996" s="2" t="s">
        <v>865</v>
      </c>
      <c r="M996" s="5">
        <v>45754</v>
      </c>
      <c r="N996" s="3">
        <f>VLOOKUP(NavDataRegion[[#This Row],[Spool No]],[1]Sheet2!$B:$U,20,0)</f>
        <v>6.1569599999999998</v>
      </c>
      <c r="O996" s="2">
        <v>3</v>
      </c>
      <c r="P996" s="2">
        <v>1</v>
      </c>
      <c r="Q996" s="2"/>
    </row>
    <row r="997" spans="1:17" ht="20.100000000000001" customHeight="1">
      <c r="A997" s="2" t="s">
        <v>9</v>
      </c>
      <c r="B997" s="2" t="s">
        <v>1281</v>
      </c>
      <c r="C997" s="2" t="s">
        <v>1282</v>
      </c>
      <c r="D997" s="2" t="e">
        <f>VLOOKUP(C:C,Vlookup!A:A,1,0)</f>
        <v>#N/A</v>
      </c>
      <c r="E997" s="2">
        <v>14</v>
      </c>
      <c r="F997" s="17" t="s">
        <v>10</v>
      </c>
      <c r="G997" s="17" t="s">
        <v>25</v>
      </c>
      <c r="H997" s="2" t="s">
        <v>11</v>
      </c>
      <c r="I997" s="2">
        <v>1</v>
      </c>
      <c r="J997" s="5">
        <v>46098</v>
      </c>
      <c r="K997" s="5">
        <v>46099</v>
      </c>
      <c r="L997" s="2" t="s">
        <v>865</v>
      </c>
      <c r="M997" s="5">
        <v>45754</v>
      </c>
      <c r="N997" s="3">
        <f>VLOOKUP(NavDataRegion[[#This Row],[Spool No]],[1]Sheet2!$B:$U,20,0)</f>
        <v>2.0319600000000002</v>
      </c>
      <c r="O997" s="2">
        <v>2</v>
      </c>
      <c r="P997" s="2">
        <v>1</v>
      </c>
      <c r="Q997" s="2"/>
    </row>
    <row r="998" spans="1:17" ht="20.100000000000001" customHeight="1">
      <c r="A998" s="2" t="s">
        <v>9</v>
      </c>
      <c r="B998" s="2" t="s">
        <v>1195</v>
      </c>
      <c r="C998" s="2" t="s">
        <v>1830</v>
      </c>
      <c r="D998" s="2" t="e">
        <f>VLOOKUP(C:C,Vlookup!A:A,1,0)</f>
        <v>#N/A</v>
      </c>
      <c r="E998" s="2">
        <v>16</v>
      </c>
      <c r="F998" s="17" t="s">
        <v>10</v>
      </c>
      <c r="G998" s="17" t="s">
        <v>25</v>
      </c>
      <c r="H998" s="2" t="s">
        <v>11</v>
      </c>
      <c r="I998" s="2">
        <v>1</v>
      </c>
      <c r="J998" s="5">
        <v>46105</v>
      </c>
      <c r="K998" s="5">
        <v>46111</v>
      </c>
      <c r="L998" s="2" t="s">
        <v>865</v>
      </c>
      <c r="M998" s="5">
        <v>46167</v>
      </c>
      <c r="N998" s="3">
        <f>VLOOKUP(NavDataRegion[[#This Row],[Spool No]],[1]Sheet2!$B:$U,20,0)</f>
        <v>26.891120000000001</v>
      </c>
      <c r="O998" s="2">
        <v>2</v>
      </c>
      <c r="P998" s="2">
        <v>1</v>
      </c>
      <c r="Q998" s="2"/>
    </row>
    <row r="999" spans="1:17" ht="20.100000000000001" customHeight="1">
      <c r="A999" s="2" t="s">
        <v>9</v>
      </c>
      <c r="B999" s="2" t="s">
        <v>1283</v>
      </c>
      <c r="C999" s="2" t="s">
        <v>1927</v>
      </c>
      <c r="D999" s="2" t="e">
        <f>VLOOKUP(C:C,Vlookup!A:A,1,0)</f>
        <v>#N/A</v>
      </c>
      <c r="E999" s="2">
        <v>14</v>
      </c>
      <c r="F999" s="17" t="s">
        <v>10</v>
      </c>
      <c r="G999" s="17" t="s">
        <v>25</v>
      </c>
      <c r="H999" s="2" t="s">
        <v>11</v>
      </c>
      <c r="I999" s="2">
        <v>1</v>
      </c>
      <c r="J999" s="5">
        <v>46098</v>
      </c>
      <c r="K999" s="5">
        <v>46099</v>
      </c>
      <c r="L999" s="2" t="s">
        <v>865</v>
      </c>
      <c r="M999" s="5">
        <v>45754</v>
      </c>
      <c r="N999" s="3">
        <f>VLOOKUP(NavDataRegion[[#This Row],[Spool No]],[1]Sheet2!$B:$U,20,0)</f>
        <v>2.41092</v>
      </c>
      <c r="O999" s="2">
        <v>2</v>
      </c>
      <c r="P999" s="2">
        <v>1</v>
      </c>
      <c r="Q999" s="2"/>
    </row>
    <row r="1000" spans="1:17" ht="20.100000000000001" customHeight="1">
      <c r="A1000" s="2" t="s">
        <v>9</v>
      </c>
      <c r="B1000" s="2" t="s">
        <v>1287</v>
      </c>
      <c r="C1000" s="2" t="s">
        <v>1288</v>
      </c>
      <c r="D1000" s="2" t="e">
        <f>VLOOKUP(C:C,Vlookup!A:A,1,0)</f>
        <v>#N/A</v>
      </c>
      <c r="E1000" s="2">
        <v>14</v>
      </c>
      <c r="F1000" s="17" t="s">
        <v>10</v>
      </c>
      <c r="G1000" s="17" t="s">
        <v>25</v>
      </c>
      <c r="H1000" s="2" t="s">
        <v>11</v>
      </c>
      <c r="I1000" s="2">
        <v>1</v>
      </c>
      <c r="J1000" s="5">
        <v>46098</v>
      </c>
      <c r="K1000" s="5">
        <v>46099</v>
      </c>
      <c r="L1000" s="2" t="s">
        <v>865</v>
      </c>
      <c r="M1000" s="5">
        <v>45754</v>
      </c>
      <c r="N1000" s="3">
        <f>VLOOKUP(NavDataRegion[[#This Row],[Spool No]],[1]Sheet2!$B:$U,20,0)</f>
        <v>6.3253199999999996</v>
      </c>
      <c r="O1000" s="2">
        <v>4</v>
      </c>
      <c r="P1000" s="2">
        <v>1</v>
      </c>
      <c r="Q1000" s="2"/>
    </row>
    <row r="1001" spans="1:17" ht="20.100000000000001" customHeight="1">
      <c r="A1001" s="2" t="s">
        <v>9</v>
      </c>
      <c r="B1001" s="2" t="s">
        <v>1287</v>
      </c>
      <c r="C1001" s="2" t="s">
        <v>1600</v>
      </c>
      <c r="D1001" s="2" t="e">
        <f>VLOOKUP(C:C,Vlookup!A:A,1,0)</f>
        <v>#N/A</v>
      </c>
      <c r="E1001" s="2">
        <v>14</v>
      </c>
      <c r="F1001" s="17" t="s">
        <v>10</v>
      </c>
      <c r="G1001" s="17" t="s">
        <v>25</v>
      </c>
      <c r="H1001" s="2" t="s">
        <v>11</v>
      </c>
      <c r="I1001" s="2">
        <v>1</v>
      </c>
      <c r="J1001" s="5">
        <v>46098</v>
      </c>
      <c r="K1001" s="5">
        <v>46099</v>
      </c>
      <c r="L1001" s="2" t="s">
        <v>865</v>
      </c>
      <c r="M1001" s="5">
        <v>45754</v>
      </c>
      <c r="N1001" s="3">
        <f>VLOOKUP(NavDataRegion[[#This Row],[Spool No]],[1]Sheet2!$B:$U,20,0)</f>
        <v>1.17012</v>
      </c>
      <c r="O1001" s="2">
        <v>1</v>
      </c>
      <c r="P1001" s="2">
        <v>1</v>
      </c>
      <c r="Q1001" s="2"/>
    </row>
    <row r="1002" spans="1:17" ht="20.100000000000001" customHeight="1">
      <c r="A1002" s="2" t="s">
        <v>9</v>
      </c>
      <c r="B1002" s="2" t="s">
        <v>1289</v>
      </c>
      <c r="C1002" s="2" t="s">
        <v>1290</v>
      </c>
      <c r="D1002" s="2" t="e">
        <f>VLOOKUP(C:C,Vlookup!A:A,1,0)</f>
        <v>#N/A</v>
      </c>
      <c r="E1002" s="2">
        <v>14</v>
      </c>
      <c r="F1002" s="17" t="s">
        <v>10</v>
      </c>
      <c r="G1002" s="17" t="s">
        <v>25</v>
      </c>
      <c r="H1002" s="2" t="s">
        <v>11</v>
      </c>
      <c r="I1002" s="2">
        <v>1</v>
      </c>
      <c r="J1002" s="5">
        <v>46098</v>
      </c>
      <c r="K1002" s="5">
        <v>46099</v>
      </c>
      <c r="L1002" s="2" t="s">
        <v>865</v>
      </c>
      <c r="M1002" s="5">
        <v>45754</v>
      </c>
      <c r="N1002" s="3">
        <f>VLOOKUP(NavDataRegion[[#This Row],[Spool No]],[1]Sheet2!$B:$U,20,0)</f>
        <v>1.90608</v>
      </c>
      <c r="O1002" s="2">
        <v>3</v>
      </c>
      <c r="P1002" s="2">
        <v>1</v>
      </c>
      <c r="Q1002" s="2"/>
    </row>
    <row r="1003" spans="1:17" ht="20.100000000000001" customHeight="1">
      <c r="A1003" s="2" t="s">
        <v>9</v>
      </c>
      <c r="B1003" s="2" t="s">
        <v>1299</v>
      </c>
      <c r="C1003" s="2" t="s">
        <v>1300</v>
      </c>
      <c r="D1003" s="2" t="e">
        <f>VLOOKUP(C:C,Vlookup!A:A,1,0)</f>
        <v>#N/A</v>
      </c>
      <c r="E1003" s="2">
        <v>14</v>
      </c>
      <c r="F1003" s="17" t="s">
        <v>10</v>
      </c>
      <c r="G1003" s="17" t="s">
        <v>25</v>
      </c>
      <c r="H1003" s="2" t="s">
        <v>11</v>
      </c>
      <c r="I1003" s="2">
        <v>1</v>
      </c>
      <c r="J1003" s="5">
        <v>46098</v>
      </c>
      <c r="K1003" s="5">
        <v>46099</v>
      </c>
      <c r="L1003" s="2" t="s">
        <v>865</v>
      </c>
      <c r="M1003" s="5">
        <v>45754</v>
      </c>
      <c r="N1003" s="3">
        <f>VLOOKUP(NavDataRegion[[#This Row],[Spool No]],[1]Sheet2!$B:$U,20,0)</f>
        <v>4.3922400000000001</v>
      </c>
      <c r="O1003" s="2">
        <v>5</v>
      </c>
      <c r="P1003" s="2">
        <v>1</v>
      </c>
      <c r="Q1003" s="2"/>
    </row>
    <row r="1004" spans="1:17" ht="20.100000000000001" customHeight="1">
      <c r="A1004" s="2" t="s">
        <v>9</v>
      </c>
      <c r="B1004" s="2" t="s">
        <v>1299</v>
      </c>
      <c r="C1004" s="2" t="s">
        <v>1759</v>
      </c>
      <c r="D1004" s="2" t="e">
        <f>VLOOKUP(C:C,Vlookup!A:A,1,0)</f>
        <v>#N/A</v>
      </c>
      <c r="E1004" s="2">
        <v>14</v>
      </c>
      <c r="F1004" s="17" t="s">
        <v>10</v>
      </c>
      <c r="G1004" s="17" t="s">
        <v>25</v>
      </c>
      <c r="H1004" s="2" t="s">
        <v>11</v>
      </c>
      <c r="I1004" s="2">
        <v>1</v>
      </c>
      <c r="J1004" s="5">
        <v>46098</v>
      </c>
      <c r="K1004" s="5">
        <v>46099</v>
      </c>
      <c r="L1004" s="2" t="s">
        <v>865</v>
      </c>
      <c r="M1004" s="5">
        <v>45754</v>
      </c>
      <c r="N1004" s="3">
        <f>VLOOKUP(NavDataRegion[[#This Row],[Spool No]],[1]Sheet2!$B:$U,20,0)</f>
        <v>4.5763199999999999</v>
      </c>
      <c r="O1004" s="2">
        <v>4</v>
      </c>
      <c r="P1004" s="2">
        <v>1</v>
      </c>
      <c r="Q1004" s="2"/>
    </row>
    <row r="1005" spans="1:17" ht="20.100000000000001" customHeight="1">
      <c r="A1005" s="2" t="s">
        <v>9</v>
      </c>
      <c r="B1005" s="2" t="s">
        <v>1307</v>
      </c>
      <c r="C1005" s="2" t="s">
        <v>1308</v>
      </c>
      <c r="D1005" s="2" t="e">
        <f>VLOOKUP(C:C,Vlookup!A:A,1,0)</f>
        <v>#N/A</v>
      </c>
      <c r="E1005" s="2">
        <v>14</v>
      </c>
      <c r="F1005" s="17" t="s">
        <v>10</v>
      </c>
      <c r="G1005" s="17" t="s">
        <v>25</v>
      </c>
      <c r="H1005" s="2" t="s">
        <v>11</v>
      </c>
      <c r="I1005" s="2">
        <v>1</v>
      </c>
      <c r="J1005" s="5">
        <v>46098</v>
      </c>
      <c r="K1005" s="5">
        <v>46099</v>
      </c>
      <c r="L1005" s="2" t="s">
        <v>865</v>
      </c>
      <c r="M1005" s="5">
        <v>45754</v>
      </c>
      <c r="N1005" s="3">
        <f>VLOOKUP(NavDataRegion[[#This Row],[Spool No]],[1]Sheet2!$B:$U,20,0)</f>
        <v>2.46556</v>
      </c>
      <c r="O1005" s="2">
        <v>2</v>
      </c>
      <c r="P1005" s="2">
        <v>1</v>
      </c>
      <c r="Q1005" s="2"/>
    </row>
    <row r="1006" spans="1:17" ht="20.100000000000001" customHeight="1">
      <c r="A1006" s="2" t="s">
        <v>9</v>
      </c>
      <c r="B1006" s="2" t="s">
        <v>1245</v>
      </c>
      <c r="C1006" s="2" t="s">
        <v>1246</v>
      </c>
      <c r="D1006" s="2" t="e">
        <f>VLOOKUP(C:C,Vlookup!A:A,1,0)</f>
        <v>#N/A</v>
      </c>
      <c r="E1006" s="2">
        <v>16</v>
      </c>
      <c r="F1006" s="17" t="s">
        <v>10</v>
      </c>
      <c r="G1006" s="17" t="s">
        <v>25</v>
      </c>
      <c r="H1006" s="2" t="s">
        <v>11</v>
      </c>
      <c r="I1006" s="2">
        <v>1</v>
      </c>
      <c r="J1006" s="5">
        <v>46106</v>
      </c>
      <c r="K1006" s="5">
        <v>46111</v>
      </c>
      <c r="L1006" s="2" t="s">
        <v>865</v>
      </c>
      <c r="M1006" s="5">
        <v>46167</v>
      </c>
      <c r="N1006" s="3">
        <f>VLOOKUP(NavDataRegion[[#This Row],[Spool No]],[1]Sheet2!$B:$U,20,0)</f>
        <v>31.469799999999999</v>
      </c>
      <c r="O1006" s="2">
        <v>8</v>
      </c>
      <c r="P1006" s="2">
        <v>1</v>
      </c>
      <c r="Q1006" s="2"/>
    </row>
    <row r="1007" spans="1:17" ht="20.100000000000001" customHeight="1">
      <c r="A1007" s="2" t="s">
        <v>9</v>
      </c>
      <c r="B1007" s="2" t="s">
        <v>1197</v>
      </c>
      <c r="C1007" s="2" t="s">
        <v>1892</v>
      </c>
      <c r="D1007" s="2" t="e">
        <f>VLOOKUP(C:C,Vlookup!A:A,1,0)</f>
        <v>#N/A</v>
      </c>
      <c r="E1007" s="2">
        <v>16</v>
      </c>
      <c r="F1007" s="17" t="s">
        <v>10</v>
      </c>
      <c r="G1007" s="17" t="s">
        <v>25</v>
      </c>
      <c r="H1007" s="2" t="s">
        <v>11</v>
      </c>
      <c r="I1007" s="2">
        <v>1</v>
      </c>
      <c r="J1007" s="5">
        <v>46115</v>
      </c>
      <c r="K1007" s="5">
        <v>46118</v>
      </c>
      <c r="L1007" s="2" t="s">
        <v>865</v>
      </c>
      <c r="M1007" s="5">
        <v>46167</v>
      </c>
      <c r="N1007" s="3">
        <f>VLOOKUP(NavDataRegion[[#This Row],[Spool No]],[1]Sheet2!$B:$U,20,0)</f>
        <v>26.891120000000001</v>
      </c>
      <c r="O1007" s="2">
        <v>2</v>
      </c>
      <c r="P1007" s="2">
        <v>1</v>
      </c>
      <c r="Q1007" s="2"/>
    </row>
    <row r="1008" spans="1:17" ht="20.100000000000001" customHeight="1">
      <c r="A1008" s="2" t="s">
        <v>9</v>
      </c>
      <c r="B1008" s="2" t="s">
        <v>1251</v>
      </c>
      <c r="C1008" s="2" t="s">
        <v>1252</v>
      </c>
      <c r="D1008" s="2" t="e">
        <f>VLOOKUP(C:C,Vlookup!A:A,1,0)</f>
        <v>#N/A</v>
      </c>
      <c r="E1008" s="2">
        <v>16</v>
      </c>
      <c r="F1008" s="17" t="s">
        <v>10</v>
      </c>
      <c r="G1008" s="17" t="s">
        <v>25</v>
      </c>
      <c r="H1008" s="2" t="s">
        <v>11</v>
      </c>
      <c r="I1008" s="2">
        <v>1</v>
      </c>
      <c r="J1008" s="5">
        <v>46106</v>
      </c>
      <c r="K1008" s="5">
        <v>46111</v>
      </c>
      <c r="L1008" s="2" t="s">
        <v>865</v>
      </c>
      <c r="M1008" s="5">
        <v>46167</v>
      </c>
      <c r="N1008" s="3">
        <f>VLOOKUP(NavDataRegion[[#This Row],[Spool No]],[1]Sheet2!$B:$U,20,0)</f>
        <v>9.7785200000000003</v>
      </c>
      <c r="O1008" s="2">
        <v>5</v>
      </c>
      <c r="P1008" s="2">
        <v>1</v>
      </c>
      <c r="Q1008" s="2"/>
    </row>
    <row r="1009" spans="1:17" ht="20.100000000000001" customHeight="1">
      <c r="A1009" s="2" t="s">
        <v>9</v>
      </c>
      <c r="B1009" s="2" t="s">
        <v>1197</v>
      </c>
      <c r="C1009" s="2" t="s">
        <v>1831</v>
      </c>
      <c r="D1009" s="2" t="e">
        <f>VLOOKUP(C:C,Vlookup!A:A,1,0)</f>
        <v>#N/A</v>
      </c>
      <c r="E1009" s="2">
        <v>14</v>
      </c>
      <c r="F1009" s="17" t="s">
        <v>10</v>
      </c>
      <c r="G1009" s="17" t="s">
        <v>25</v>
      </c>
      <c r="H1009" s="2" t="s">
        <v>11</v>
      </c>
      <c r="I1009" s="2">
        <v>1</v>
      </c>
      <c r="J1009" s="5">
        <v>46105</v>
      </c>
      <c r="K1009" s="5">
        <v>46106</v>
      </c>
      <c r="L1009" s="2" t="s">
        <v>865</v>
      </c>
      <c r="M1009" s="5">
        <v>45754</v>
      </c>
      <c r="N1009" s="3">
        <f>VLOOKUP(NavDataRegion[[#This Row],[Spool No]],[1]Sheet2!$B:$U,20,0)</f>
        <v>7.3974000000000002</v>
      </c>
      <c r="O1009" s="2">
        <v>1</v>
      </c>
      <c r="P1009" s="2">
        <v>1</v>
      </c>
      <c r="Q1009" s="2"/>
    </row>
    <row r="1010" spans="1:17" ht="20.100000000000001" customHeight="1">
      <c r="A1010" s="2" t="s">
        <v>9</v>
      </c>
      <c r="B1010" s="2" t="s">
        <v>1293</v>
      </c>
      <c r="C1010" s="2" t="s">
        <v>1294</v>
      </c>
      <c r="D1010" s="2" t="e">
        <f>VLOOKUP(C:C,Vlookup!A:A,1,0)</f>
        <v>#N/A</v>
      </c>
      <c r="E1010" s="2">
        <v>14</v>
      </c>
      <c r="F1010" s="17" t="s">
        <v>10</v>
      </c>
      <c r="G1010" s="17" t="s">
        <v>25</v>
      </c>
      <c r="H1010" s="2" t="s">
        <v>11</v>
      </c>
      <c r="I1010" s="2">
        <v>1</v>
      </c>
      <c r="J1010" s="5">
        <v>46093</v>
      </c>
      <c r="K1010" s="5">
        <v>46094</v>
      </c>
      <c r="L1010" s="2" t="s">
        <v>865</v>
      </c>
      <c r="M1010" s="5">
        <v>45754</v>
      </c>
      <c r="N1010" s="3">
        <f>VLOOKUP(NavDataRegion[[#This Row],[Spool No]],[1]Sheet2!$B:$U,20,0)</f>
        <v>7.3551599999999997</v>
      </c>
      <c r="O1010" s="2">
        <v>2</v>
      </c>
      <c r="P1010" s="2">
        <v>1</v>
      </c>
      <c r="Q1010" s="2"/>
    </row>
    <row r="1011" spans="1:17" ht="20.100000000000001" customHeight="1">
      <c r="A1011" s="2" t="s">
        <v>9</v>
      </c>
      <c r="B1011" s="2" t="s">
        <v>1293</v>
      </c>
      <c r="C1011" s="2" t="s">
        <v>1850</v>
      </c>
      <c r="D1011" s="2" t="e">
        <f>VLOOKUP(C:C,Vlookup!A:A,1,0)</f>
        <v>#N/A</v>
      </c>
      <c r="E1011" s="2">
        <v>14</v>
      </c>
      <c r="F1011" s="17" t="s">
        <v>10</v>
      </c>
      <c r="G1011" s="17" t="s">
        <v>25</v>
      </c>
      <c r="H1011" s="2" t="s">
        <v>11</v>
      </c>
      <c r="I1011" s="2">
        <v>1</v>
      </c>
      <c r="J1011" s="5">
        <v>46093</v>
      </c>
      <c r="K1011" s="5">
        <v>46094</v>
      </c>
      <c r="L1011" s="2" t="s">
        <v>865</v>
      </c>
      <c r="M1011" s="5">
        <v>45754</v>
      </c>
      <c r="N1011" s="3">
        <f>VLOOKUP(NavDataRegion[[#This Row],[Spool No]],[1]Sheet2!$B:$U,20,0)</f>
        <v>7.1317199999999996</v>
      </c>
      <c r="O1011" s="2">
        <v>1</v>
      </c>
      <c r="P1011" s="2">
        <v>1</v>
      </c>
      <c r="Q1011" s="2"/>
    </row>
    <row r="1012" spans="1:17" ht="20.100000000000001" customHeight="1">
      <c r="A1012" s="2" t="s">
        <v>9</v>
      </c>
      <c r="B1012" s="2" t="s">
        <v>1199</v>
      </c>
      <c r="C1012" s="2" t="s">
        <v>1832</v>
      </c>
      <c r="D1012" s="2" t="e">
        <f>VLOOKUP(C:C,Vlookup!A:A,1,0)</f>
        <v>#N/A</v>
      </c>
      <c r="E1012" s="2">
        <v>14</v>
      </c>
      <c r="F1012" s="17" t="s">
        <v>10</v>
      </c>
      <c r="G1012" s="17" t="s">
        <v>25</v>
      </c>
      <c r="H1012" s="2" t="s">
        <v>11</v>
      </c>
      <c r="I1012" s="2">
        <v>1</v>
      </c>
      <c r="J1012" s="5">
        <v>46106</v>
      </c>
      <c r="K1012" s="5">
        <v>46106</v>
      </c>
      <c r="L1012" s="2" t="s">
        <v>865</v>
      </c>
      <c r="M1012" s="5">
        <v>45754</v>
      </c>
      <c r="N1012" s="3">
        <f>VLOOKUP(NavDataRegion[[#This Row],[Spool No]],[1]Sheet2!$B:$U,20,0)</f>
        <v>7.0669199999999996</v>
      </c>
      <c r="O1012" s="2">
        <v>1</v>
      </c>
      <c r="P1012" s="2">
        <v>1</v>
      </c>
      <c r="Q1012" s="2"/>
    </row>
    <row r="1013" spans="1:17" ht="20.100000000000001" customHeight="1">
      <c r="A1013" s="2" t="s">
        <v>9</v>
      </c>
      <c r="B1013" s="2" t="s">
        <v>1313</v>
      </c>
      <c r="C1013" s="2" t="s">
        <v>1314</v>
      </c>
      <c r="D1013" s="2" t="e">
        <f>VLOOKUP(C:C,Vlookup!A:A,1,0)</f>
        <v>#N/A</v>
      </c>
      <c r="E1013" s="2">
        <v>14</v>
      </c>
      <c r="F1013" s="17" t="s">
        <v>10</v>
      </c>
      <c r="G1013" s="17" t="s">
        <v>25</v>
      </c>
      <c r="H1013" s="2" t="s">
        <v>11</v>
      </c>
      <c r="I1013" s="2">
        <v>1</v>
      </c>
      <c r="J1013" s="5">
        <v>46098</v>
      </c>
      <c r="K1013" s="5">
        <v>46099</v>
      </c>
      <c r="L1013" s="2" t="s">
        <v>865</v>
      </c>
      <c r="M1013" s="5">
        <v>45754</v>
      </c>
      <c r="N1013" s="3">
        <f>VLOOKUP(NavDataRegion[[#This Row],[Spool No]],[1]Sheet2!$B:$U,20,0)</f>
        <v>5.5093199999999998</v>
      </c>
      <c r="O1013" s="2">
        <v>5</v>
      </c>
      <c r="P1013" s="2">
        <v>1</v>
      </c>
      <c r="Q1013" s="2"/>
    </row>
    <row r="1014" spans="1:17" ht="20.100000000000001" customHeight="1">
      <c r="A1014" s="2" t="s">
        <v>9</v>
      </c>
      <c r="B1014" s="2" t="s">
        <v>1293</v>
      </c>
      <c r="C1014" s="2" t="s">
        <v>1903</v>
      </c>
      <c r="D1014" s="2" t="e">
        <f>VLOOKUP(C:C,Vlookup!A:A,1,0)</f>
        <v>#N/A</v>
      </c>
      <c r="E1014" s="2">
        <v>14</v>
      </c>
      <c r="F1014" s="17" t="s">
        <v>10</v>
      </c>
      <c r="G1014" s="17" t="s">
        <v>25</v>
      </c>
      <c r="H1014" s="2" t="s">
        <v>11</v>
      </c>
      <c r="I1014" s="2">
        <v>1</v>
      </c>
      <c r="J1014" s="5">
        <v>46093</v>
      </c>
      <c r="K1014" s="5">
        <v>46094</v>
      </c>
      <c r="L1014" s="2" t="s">
        <v>865</v>
      </c>
      <c r="M1014" s="5">
        <v>45754</v>
      </c>
      <c r="N1014" s="3">
        <f>VLOOKUP(NavDataRegion[[#This Row],[Spool No]],[1]Sheet2!$B:$U,20,0)</f>
        <v>11.30808</v>
      </c>
      <c r="O1014" s="2">
        <v>1</v>
      </c>
      <c r="P1014" s="2">
        <v>1</v>
      </c>
      <c r="Q1014" s="2"/>
    </row>
    <row r="1015" spans="1:17" ht="20.100000000000001" customHeight="1">
      <c r="A1015" s="2" t="s">
        <v>9</v>
      </c>
      <c r="B1015" s="2" t="s">
        <v>1293</v>
      </c>
      <c r="C1015" s="2" t="s">
        <v>1929</v>
      </c>
      <c r="D1015" s="2" t="e">
        <f>VLOOKUP(C:C,Vlookup!A:A,1,0)</f>
        <v>#N/A</v>
      </c>
      <c r="E1015" s="2">
        <v>14</v>
      </c>
      <c r="F1015" s="17" t="s">
        <v>10</v>
      </c>
      <c r="G1015" s="17" t="s">
        <v>25</v>
      </c>
      <c r="H1015" s="2" t="s">
        <v>11</v>
      </c>
      <c r="I1015" s="2">
        <v>1</v>
      </c>
      <c r="J1015" s="5">
        <v>46093</v>
      </c>
      <c r="K1015" s="5">
        <v>46094</v>
      </c>
      <c r="L1015" s="2" t="s">
        <v>865</v>
      </c>
      <c r="M1015" s="5">
        <v>45754</v>
      </c>
      <c r="N1015" s="3">
        <f>VLOOKUP(NavDataRegion[[#This Row],[Spool No]],[1]Sheet2!$B:$U,20,0)</f>
        <v>4.3063200000000004</v>
      </c>
      <c r="O1015" s="2">
        <v>2</v>
      </c>
      <c r="P1015" s="2">
        <v>1</v>
      </c>
      <c r="Q1015" s="2"/>
    </row>
    <row r="1016" spans="1:17" ht="20.100000000000001" customHeight="1">
      <c r="A1016" s="2" t="s">
        <v>9</v>
      </c>
      <c r="B1016" s="2" t="s">
        <v>1323</v>
      </c>
      <c r="C1016" s="2" t="s">
        <v>1617</v>
      </c>
      <c r="D1016" s="2" t="e">
        <f>VLOOKUP(C:C,Vlookup!A:A,1,0)</f>
        <v>#N/A</v>
      </c>
      <c r="E1016" s="2">
        <v>14</v>
      </c>
      <c r="F1016" s="17" t="s">
        <v>10</v>
      </c>
      <c r="G1016" s="17" t="s">
        <v>25</v>
      </c>
      <c r="H1016" s="2" t="s">
        <v>11</v>
      </c>
      <c r="I1016" s="2">
        <v>1</v>
      </c>
      <c r="J1016" s="5">
        <v>46098</v>
      </c>
      <c r="K1016" s="5">
        <v>46099</v>
      </c>
      <c r="L1016" s="2" t="s">
        <v>865</v>
      </c>
      <c r="M1016" s="5">
        <v>45754</v>
      </c>
      <c r="N1016" s="3">
        <f>VLOOKUP(NavDataRegion[[#This Row],[Spool No]],[1]Sheet2!$B:$U,20,0)</f>
        <v>2.3818800000000002</v>
      </c>
      <c r="O1016" s="2">
        <v>2</v>
      </c>
      <c r="P1016" s="2">
        <v>1</v>
      </c>
      <c r="Q1016" s="2"/>
    </row>
    <row r="1017" spans="1:17" ht="20.100000000000001" customHeight="1">
      <c r="A1017" s="2" t="s">
        <v>9</v>
      </c>
      <c r="B1017" s="2" t="s">
        <v>1325</v>
      </c>
      <c r="C1017" s="2" t="s">
        <v>1326</v>
      </c>
      <c r="D1017" s="2" t="e">
        <f>VLOOKUP(C:C,Vlookup!A:A,1,0)</f>
        <v>#N/A</v>
      </c>
      <c r="E1017" s="2">
        <v>14</v>
      </c>
      <c r="F1017" s="17" t="s">
        <v>10</v>
      </c>
      <c r="G1017" s="17" t="s">
        <v>25</v>
      </c>
      <c r="H1017" s="2" t="s">
        <v>11</v>
      </c>
      <c r="I1017" s="2">
        <v>1</v>
      </c>
      <c r="J1017" s="5">
        <v>46098</v>
      </c>
      <c r="K1017" s="5">
        <v>46099</v>
      </c>
      <c r="L1017" s="2" t="s">
        <v>865</v>
      </c>
      <c r="M1017" s="5">
        <v>45754</v>
      </c>
      <c r="N1017" s="3">
        <f>VLOOKUP(NavDataRegion[[#This Row],[Spool No]],[1]Sheet2!$B:$U,20,0)</f>
        <v>2.61564</v>
      </c>
      <c r="O1017" s="2">
        <v>3</v>
      </c>
      <c r="P1017" s="2">
        <v>1</v>
      </c>
      <c r="Q1017" s="2"/>
    </row>
    <row r="1018" spans="1:17" ht="20.100000000000001" customHeight="1">
      <c r="A1018" s="2" t="s">
        <v>9</v>
      </c>
      <c r="B1018" s="2" t="s">
        <v>1293</v>
      </c>
      <c r="C1018" s="2" t="s">
        <v>1603</v>
      </c>
      <c r="D1018" s="2" t="e">
        <f>VLOOKUP(C:C,Vlookup!A:A,1,0)</f>
        <v>#N/A</v>
      </c>
      <c r="E1018" s="2">
        <v>14</v>
      </c>
      <c r="F1018" s="17" t="s">
        <v>10</v>
      </c>
      <c r="G1018" s="17" t="s">
        <v>25</v>
      </c>
      <c r="H1018" s="2" t="s">
        <v>11</v>
      </c>
      <c r="I1018" s="2">
        <v>1</v>
      </c>
      <c r="J1018" s="5">
        <v>46100</v>
      </c>
      <c r="K1018" s="5">
        <v>46101</v>
      </c>
      <c r="L1018" s="2" t="s">
        <v>865</v>
      </c>
      <c r="M1018" s="5">
        <v>45754</v>
      </c>
      <c r="N1018" s="3">
        <f>VLOOKUP(NavDataRegion[[#This Row],[Spool No]],[1]Sheet2!$B:$U,20,0)</f>
        <v>18.993359999999999</v>
      </c>
      <c r="O1018" s="2">
        <v>1</v>
      </c>
      <c r="P1018" s="2">
        <v>1</v>
      </c>
      <c r="Q1018" s="2"/>
    </row>
    <row r="1019" spans="1:17" ht="20.100000000000001" customHeight="1">
      <c r="A1019" s="2" t="s">
        <v>9</v>
      </c>
      <c r="B1019" s="2" t="s">
        <v>1247</v>
      </c>
      <c r="C1019" s="2" t="s">
        <v>1839</v>
      </c>
      <c r="D1019" s="2" t="e">
        <f>VLOOKUP(C:C,Vlookup!A:A,1,0)</f>
        <v>#N/A</v>
      </c>
      <c r="E1019" s="2">
        <v>16</v>
      </c>
      <c r="F1019" s="17" t="s">
        <v>10</v>
      </c>
      <c r="G1019" s="17" t="s">
        <v>25</v>
      </c>
      <c r="H1019" s="2" t="s">
        <v>11</v>
      </c>
      <c r="I1019" s="2">
        <v>1</v>
      </c>
      <c r="J1019" s="5">
        <v>46108</v>
      </c>
      <c r="K1019" s="5">
        <v>46111</v>
      </c>
      <c r="L1019" s="2" t="s">
        <v>865</v>
      </c>
      <c r="M1019" s="5">
        <v>46167</v>
      </c>
      <c r="N1019" s="3">
        <f>VLOOKUP(NavDataRegion[[#This Row],[Spool No]],[1]Sheet2!$B:$U,20,0)</f>
        <v>2.9321199999999998</v>
      </c>
      <c r="O1019" s="2">
        <v>2</v>
      </c>
      <c r="P1019" s="2">
        <v>1</v>
      </c>
      <c r="Q1019" s="2"/>
    </row>
    <row r="1020" spans="1:17" ht="20.100000000000001" customHeight="1">
      <c r="A1020" s="13" t="s">
        <v>9</v>
      </c>
      <c r="B1020" s="13" t="s">
        <v>1251</v>
      </c>
      <c r="C1020" s="13" t="s">
        <v>1840</v>
      </c>
      <c r="D1020" s="13" t="e">
        <f>VLOOKUP(C:C,Vlookup!A:A,1,0)</f>
        <v>#N/A</v>
      </c>
      <c r="E1020" s="2">
        <v>16</v>
      </c>
      <c r="F1020" s="17" t="s">
        <v>10</v>
      </c>
      <c r="G1020" s="17" t="s">
        <v>25</v>
      </c>
      <c r="H1020" s="2" t="s">
        <v>11</v>
      </c>
      <c r="I1020" s="2">
        <v>1</v>
      </c>
      <c r="J1020" s="5">
        <v>46105</v>
      </c>
      <c r="K1020" s="5">
        <v>46108</v>
      </c>
      <c r="L1020" s="2" t="s">
        <v>865</v>
      </c>
      <c r="M1020" s="5">
        <v>46167</v>
      </c>
      <c r="N1020" s="3">
        <f>VLOOKUP(NavDataRegion[[#This Row],[Spool No]],[1]Sheet2!$B:$U,20,0)</f>
        <v>18.16696</v>
      </c>
      <c r="O1020" s="2">
        <v>4</v>
      </c>
      <c r="P1020" s="2">
        <v>1</v>
      </c>
      <c r="Q1020" s="2"/>
    </row>
    <row r="1021" spans="1:17" ht="20.100000000000001" customHeight="1">
      <c r="A1021" s="2" t="s">
        <v>9</v>
      </c>
      <c r="B1021" s="2" t="s">
        <v>1281</v>
      </c>
      <c r="C1021" s="2" t="s">
        <v>1847</v>
      </c>
      <c r="D1021" s="2" t="e">
        <f>VLOOKUP(C:C,Vlookup!A:A,1,0)</f>
        <v>#N/A</v>
      </c>
      <c r="E1021" s="2">
        <v>16</v>
      </c>
      <c r="F1021" s="17" t="s">
        <v>10</v>
      </c>
      <c r="G1021" s="17" t="s">
        <v>25</v>
      </c>
      <c r="H1021" s="2" t="s">
        <v>11</v>
      </c>
      <c r="I1021" s="2">
        <v>1</v>
      </c>
      <c r="J1021" s="5">
        <v>46105</v>
      </c>
      <c r="K1021" s="5">
        <v>46108</v>
      </c>
      <c r="L1021" s="2" t="s">
        <v>865</v>
      </c>
      <c r="M1021" s="5">
        <v>46167</v>
      </c>
      <c r="N1021" s="3">
        <f>VLOOKUP(NavDataRegion[[#This Row],[Spool No]],[1]Sheet2!$B:$U,20,0)</f>
        <v>14.65476</v>
      </c>
      <c r="O1021" s="2">
        <v>3</v>
      </c>
      <c r="P1021" s="2">
        <v>1</v>
      </c>
      <c r="Q1021" s="2"/>
    </row>
    <row r="1022" spans="1:17" ht="20.100000000000001" customHeight="1">
      <c r="A1022" s="13" t="s">
        <v>9</v>
      </c>
      <c r="B1022" s="13" t="s">
        <v>1293</v>
      </c>
      <c r="C1022" s="13" t="s">
        <v>1756</v>
      </c>
      <c r="D1022" s="13" t="e">
        <f>VLOOKUP(C:C,Vlookup!A:A,1,0)</f>
        <v>#N/A</v>
      </c>
      <c r="E1022" s="2">
        <v>14</v>
      </c>
      <c r="F1022" s="17" t="s">
        <v>10</v>
      </c>
      <c r="G1022" s="17" t="s">
        <v>25</v>
      </c>
      <c r="H1022" s="2" t="s">
        <v>11</v>
      </c>
      <c r="I1022" s="2">
        <v>1</v>
      </c>
      <c r="J1022" s="5">
        <v>46100</v>
      </c>
      <c r="K1022" s="5">
        <v>46101</v>
      </c>
      <c r="L1022" s="2" t="s">
        <v>865</v>
      </c>
      <c r="M1022" s="5">
        <v>45754</v>
      </c>
      <c r="N1022" s="3">
        <f>VLOOKUP(NavDataRegion[[#This Row],[Spool No]],[1]Sheet2!$B:$U,20,0)</f>
        <v>20.193239999999999</v>
      </c>
      <c r="O1022" s="2">
        <v>2</v>
      </c>
      <c r="P1022" s="2">
        <v>1</v>
      </c>
      <c r="Q1022" s="2"/>
    </row>
    <row r="1023" spans="1:17" ht="20.100000000000001" customHeight="1">
      <c r="A1023" s="13" t="s">
        <v>9</v>
      </c>
      <c r="B1023" s="13" t="s">
        <v>1299</v>
      </c>
      <c r="C1023" s="13" t="s">
        <v>1851</v>
      </c>
      <c r="D1023" s="13" t="e">
        <f>VLOOKUP(C:C,Vlookup!A:A,1,0)</f>
        <v>#N/A</v>
      </c>
      <c r="E1023" s="2">
        <v>23</v>
      </c>
      <c r="F1023" s="17" t="s">
        <v>10</v>
      </c>
      <c r="G1023" s="17" t="s">
        <v>25</v>
      </c>
      <c r="H1023" s="2" t="s">
        <v>11</v>
      </c>
      <c r="I1023" s="2">
        <v>1</v>
      </c>
      <c r="J1023" s="5">
        <v>46169</v>
      </c>
      <c r="K1023" s="5">
        <v>46170</v>
      </c>
      <c r="L1023" s="2" t="s">
        <v>865</v>
      </c>
      <c r="M1023" s="5">
        <v>46185</v>
      </c>
      <c r="N1023" s="3">
        <f>VLOOKUP(NavDataRegion[[#This Row],[Spool No]],[1]Sheet2!$B:$U,20,0)</f>
        <v>27.202639999999999</v>
      </c>
      <c r="O1023" s="2">
        <v>4</v>
      </c>
      <c r="P1023" s="2">
        <v>1</v>
      </c>
      <c r="Q1023" s="2"/>
    </row>
    <row r="1024" spans="1:17" ht="20.100000000000001" customHeight="1">
      <c r="A1024" s="2" t="s">
        <v>9</v>
      </c>
      <c r="B1024" s="2" t="s">
        <v>1309</v>
      </c>
      <c r="C1024" s="2" t="s">
        <v>1762</v>
      </c>
      <c r="D1024" s="2" t="e">
        <f>VLOOKUP(C:C,Vlookup!A:A,1,0)</f>
        <v>#N/A</v>
      </c>
      <c r="E1024" s="2">
        <v>14</v>
      </c>
      <c r="F1024" s="17" t="s">
        <v>10</v>
      </c>
      <c r="G1024" s="17" t="s">
        <v>25</v>
      </c>
      <c r="H1024" s="2" t="s">
        <v>11</v>
      </c>
      <c r="I1024" s="2">
        <v>1</v>
      </c>
      <c r="J1024" s="5">
        <v>46100</v>
      </c>
      <c r="K1024" s="5">
        <v>46101</v>
      </c>
      <c r="L1024" s="2" t="s">
        <v>865</v>
      </c>
      <c r="M1024" s="5">
        <v>45754</v>
      </c>
      <c r="N1024" s="3">
        <f>VLOOKUP(NavDataRegion[[#This Row],[Spool No]],[1]Sheet2!$B:$U,20,0)</f>
        <v>24.315760000000001</v>
      </c>
      <c r="O1024" s="2">
        <v>9</v>
      </c>
      <c r="P1024" s="2">
        <v>1</v>
      </c>
      <c r="Q1024" s="2"/>
    </row>
    <row r="1025" spans="1:17" ht="20.100000000000001" customHeight="1">
      <c r="A1025" s="2" t="s">
        <v>9</v>
      </c>
      <c r="B1025" s="2" t="s">
        <v>1281</v>
      </c>
      <c r="C1025" s="2" t="s">
        <v>1900</v>
      </c>
      <c r="D1025" s="2" t="e">
        <f>VLOOKUP(C:C,Vlookup!A:A,1,0)</f>
        <v>#N/A</v>
      </c>
      <c r="E1025" s="2">
        <v>16</v>
      </c>
      <c r="F1025" s="17" t="s">
        <v>10</v>
      </c>
      <c r="G1025" s="17" t="s">
        <v>25</v>
      </c>
      <c r="H1025" s="2" t="s">
        <v>11</v>
      </c>
      <c r="I1025" s="2">
        <v>1</v>
      </c>
      <c r="J1025" s="5">
        <v>46105</v>
      </c>
      <c r="K1025" s="5">
        <v>46108</v>
      </c>
      <c r="L1025" s="2" t="s">
        <v>865</v>
      </c>
      <c r="M1025" s="5">
        <v>46167</v>
      </c>
      <c r="N1025" s="3">
        <f>VLOOKUP(NavDataRegion[[#This Row],[Spool No]],[1]Sheet2!$B:$U,20,0)</f>
        <v>15.87696</v>
      </c>
      <c r="O1025" s="2">
        <v>3</v>
      </c>
      <c r="P1025" s="2">
        <v>1</v>
      </c>
      <c r="Q1025" s="2"/>
    </row>
    <row r="1026" spans="1:17" ht="20.100000000000001" customHeight="1">
      <c r="A1026" s="2" t="s">
        <v>9</v>
      </c>
      <c r="B1026" s="2" t="s">
        <v>1331</v>
      </c>
      <c r="C1026" s="2" t="s">
        <v>1855</v>
      </c>
      <c r="D1026" s="2" t="e">
        <f>VLOOKUP(C:C,Vlookup!A:A,1,0)</f>
        <v>#N/A</v>
      </c>
      <c r="E1026" s="2">
        <v>16</v>
      </c>
      <c r="F1026" s="17" t="s">
        <v>10</v>
      </c>
      <c r="G1026" s="17" t="s">
        <v>10</v>
      </c>
      <c r="H1026" s="2" t="s">
        <v>11</v>
      </c>
      <c r="I1026" s="2">
        <v>1</v>
      </c>
      <c r="J1026" s="5">
        <v>46108</v>
      </c>
      <c r="K1026" s="5">
        <v>46111</v>
      </c>
      <c r="L1026" s="2" t="s">
        <v>865</v>
      </c>
      <c r="M1026" s="5">
        <v>46167</v>
      </c>
      <c r="N1026" s="3">
        <f>VLOOKUP(NavDataRegion[[#This Row],[Spool No]],[1]Sheet2!$B:$U,20,0)</f>
        <v>15.976800000000001</v>
      </c>
      <c r="O1026" s="2">
        <v>2</v>
      </c>
      <c r="P1026" s="2">
        <v>1</v>
      </c>
      <c r="Q1026" s="2"/>
    </row>
    <row r="1027" spans="1:17" ht="20.100000000000001" customHeight="1">
      <c r="A1027" s="2" t="s">
        <v>9</v>
      </c>
      <c r="B1027" s="2" t="s">
        <v>1309</v>
      </c>
      <c r="C1027" s="2" t="s">
        <v>1852</v>
      </c>
      <c r="D1027" s="2" t="e">
        <f>VLOOKUP(C:C,Vlookup!A:A,1,0)</f>
        <v>#N/A</v>
      </c>
      <c r="E1027" s="2">
        <v>14</v>
      </c>
      <c r="F1027" s="17" t="s">
        <v>10</v>
      </c>
      <c r="G1027" s="17" t="s">
        <v>25</v>
      </c>
      <c r="H1027" s="2" t="s">
        <v>11</v>
      </c>
      <c r="I1027" s="2">
        <v>1</v>
      </c>
      <c r="J1027" s="5">
        <v>46100</v>
      </c>
      <c r="K1027" s="5">
        <v>46101</v>
      </c>
      <c r="L1027" s="2" t="s">
        <v>865</v>
      </c>
      <c r="M1027" s="5">
        <v>45754</v>
      </c>
      <c r="N1027" s="3">
        <f>VLOOKUP(NavDataRegion[[#This Row],[Spool No]],[1]Sheet2!$B:$U,20,0)</f>
        <v>16.413599999999999</v>
      </c>
      <c r="O1027" s="2">
        <v>6</v>
      </c>
      <c r="P1027" s="2">
        <v>1</v>
      </c>
      <c r="Q1027" s="2"/>
    </row>
    <row r="1028" spans="1:17" ht="20.100000000000001" customHeight="1">
      <c r="A1028" s="2" t="s">
        <v>9</v>
      </c>
      <c r="B1028" s="2" t="s">
        <v>907</v>
      </c>
      <c r="C1028" s="2" t="s">
        <v>1784</v>
      </c>
      <c r="D1028" s="2" t="e">
        <f>VLOOKUP(C:C,Vlookup!A:A,1,0)</f>
        <v>#N/A</v>
      </c>
      <c r="E1028" s="2">
        <v>16</v>
      </c>
      <c r="F1028" s="17" t="s">
        <v>10</v>
      </c>
      <c r="G1028" s="17" t="s">
        <v>281</v>
      </c>
      <c r="H1028" s="2" t="s">
        <v>11</v>
      </c>
      <c r="I1028" s="2">
        <v>1</v>
      </c>
      <c r="J1028" s="5">
        <v>46113</v>
      </c>
      <c r="K1028" s="5">
        <v>46118</v>
      </c>
      <c r="L1028" s="2" t="s">
        <v>865</v>
      </c>
      <c r="M1028" s="5">
        <v>46167</v>
      </c>
      <c r="N1028" s="3">
        <f>VLOOKUP(NavDataRegion[[#This Row],[Spool No]],[1]Sheet2!$B:$U,20,0)</f>
        <v>17.19294</v>
      </c>
      <c r="O1028" s="2">
        <v>1</v>
      </c>
      <c r="P1028" s="2">
        <v>1</v>
      </c>
      <c r="Q1028" s="2"/>
    </row>
    <row r="1029" spans="1:17" ht="20.100000000000001" customHeight="1">
      <c r="A1029" s="2" t="s">
        <v>9</v>
      </c>
      <c r="B1029" s="2" t="s">
        <v>1371</v>
      </c>
      <c r="C1029" s="2" t="s">
        <v>1633</v>
      </c>
      <c r="D1029" s="2" t="e">
        <f>VLOOKUP(C:C,Vlookup!A:A,1,0)</f>
        <v>#N/A</v>
      </c>
      <c r="E1029" s="2">
        <v>14</v>
      </c>
      <c r="F1029" s="17" t="s">
        <v>10</v>
      </c>
      <c r="G1029" s="17" t="s">
        <v>25</v>
      </c>
      <c r="H1029" s="2" t="s">
        <v>11</v>
      </c>
      <c r="I1029" s="2">
        <v>1</v>
      </c>
      <c r="J1029" s="5">
        <v>46098</v>
      </c>
      <c r="K1029" s="5">
        <v>46099</v>
      </c>
      <c r="L1029" s="2" t="s">
        <v>865</v>
      </c>
      <c r="M1029" s="5">
        <v>45754</v>
      </c>
      <c r="N1029" s="3">
        <f>VLOOKUP(NavDataRegion[[#This Row],[Spool No]],[1]Sheet2!$B:$U,20,0)</f>
        <v>7.4217199999999997</v>
      </c>
      <c r="O1029" s="2">
        <v>5.5</v>
      </c>
      <c r="P1029" s="2">
        <v>0.5</v>
      </c>
      <c r="Q1029" s="2"/>
    </row>
    <row r="1030" spans="1:17" ht="20.100000000000001" customHeight="1">
      <c r="A1030" s="2" t="s">
        <v>9</v>
      </c>
      <c r="B1030" s="2" t="s">
        <v>933</v>
      </c>
      <c r="C1030" s="2" t="s">
        <v>1871</v>
      </c>
      <c r="D1030" s="2" t="e">
        <f>VLOOKUP(C:C,Vlookup!A:A,1,0)</f>
        <v>#N/A</v>
      </c>
      <c r="E1030" s="2">
        <v>23</v>
      </c>
      <c r="F1030" s="17" t="s">
        <v>10</v>
      </c>
      <c r="G1030" s="17" t="s">
        <v>25</v>
      </c>
      <c r="H1030" s="2" t="s">
        <v>11</v>
      </c>
      <c r="I1030" s="2">
        <v>1</v>
      </c>
      <c r="J1030" s="5">
        <v>46169</v>
      </c>
      <c r="K1030" s="5">
        <v>46170</v>
      </c>
      <c r="L1030" s="2" t="s">
        <v>865</v>
      </c>
      <c r="M1030" s="5">
        <v>46185</v>
      </c>
      <c r="N1030" s="3">
        <f>VLOOKUP(NavDataRegion[[#This Row],[Spool No]],[1]Sheet2!$B:$U,20,0)</f>
        <v>47.590400000000002</v>
      </c>
      <c r="O1030" s="2">
        <v>4</v>
      </c>
      <c r="P1030" s="2">
        <v>1</v>
      </c>
      <c r="Q1030" s="2"/>
    </row>
    <row r="1031" spans="1:17" ht="20.100000000000001" customHeight="1">
      <c r="A1031" s="2" t="s">
        <v>9</v>
      </c>
      <c r="B1031" s="2" t="s">
        <v>1295</v>
      </c>
      <c r="C1031" s="2" t="s">
        <v>1296</v>
      </c>
      <c r="D1031" s="2" t="e">
        <f>VLOOKUP(C:C,Vlookup!A:A,1,0)</f>
        <v>#N/A</v>
      </c>
      <c r="E1031" s="2">
        <v>14</v>
      </c>
      <c r="F1031" s="17" t="s">
        <v>10</v>
      </c>
      <c r="G1031" s="17" t="s">
        <v>25</v>
      </c>
      <c r="H1031" s="2" t="s">
        <v>11</v>
      </c>
      <c r="I1031" s="2">
        <v>1</v>
      </c>
      <c r="J1031" s="5">
        <v>46093</v>
      </c>
      <c r="K1031" s="5">
        <v>46094</v>
      </c>
      <c r="L1031" s="2" t="s">
        <v>865</v>
      </c>
      <c r="M1031" s="5">
        <v>45754</v>
      </c>
      <c r="N1031" s="3">
        <f>VLOOKUP(NavDataRegion[[#This Row],[Spool No]],[1]Sheet2!$B:$U,20,0)</f>
        <v>6.86388</v>
      </c>
      <c r="O1031" s="2">
        <v>3</v>
      </c>
      <c r="P1031" s="2">
        <v>1</v>
      </c>
      <c r="Q1031" s="2"/>
    </row>
    <row r="1032" spans="1:17" ht="20.100000000000001" customHeight="1">
      <c r="A1032" s="2" t="s">
        <v>9</v>
      </c>
      <c r="B1032" s="2" t="s">
        <v>1295</v>
      </c>
      <c r="C1032" s="2" t="s">
        <v>1604</v>
      </c>
      <c r="D1032" s="2" t="e">
        <f>VLOOKUP(C:C,Vlookup!A:A,1,0)</f>
        <v>#N/A</v>
      </c>
      <c r="E1032" s="2">
        <v>14</v>
      </c>
      <c r="F1032" s="17" t="s">
        <v>10</v>
      </c>
      <c r="G1032" s="17" t="s">
        <v>25</v>
      </c>
      <c r="H1032" s="2" t="s">
        <v>11</v>
      </c>
      <c r="I1032" s="2">
        <v>1</v>
      </c>
      <c r="J1032" s="5">
        <v>46093</v>
      </c>
      <c r="K1032" s="5">
        <v>46094</v>
      </c>
      <c r="L1032" s="2" t="s">
        <v>865</v>
      </c>
      <c r="M1032" s="5">
        <v>45754</v>
      </c>
      <c r="N1032" s="3">
        <f>VLOOKUP(NavDataRegion[[#This Row],[Spool No]],[1]Sheet2!$B:$U,20,0)</f>
        <v>4.9100400000000004</v>
      </c>
      <c r="O1032" s="2">
        <v>4</v>
      </c>
      <c r="P1032" s="2">
        <v>1</v>
      </c>
      <c r="Q1032" s="2"/>
    </row>
    <row r="1033" spans="1:17" ht="20.100000000000001" customHeight="1">
      <c r="A1033" s="2" t="s">
        <v>9</v>
      </c>
      <c r="B1033" s="2" t="s">
        <v>1297</v>
      </c>
      <c r="C1033" s="2" t="s">
        <v>1298</v>
      </c>
      <c r="D1033" s="2" t="e">
        <f>VLOOKUP(C:C,Vlookup!A:A,1,0)</f>
        <v>#N/A</v>
      </c>
      <c r="E1033" s="2">
        <v>14</v>
      </c>
      <c r="F1033" s="17" t="s">
        <v>10</v>
      </c>
      <c r="G1033" s="17" t="s">
        <v>25</v>
      </c>
      <c r="H1033" s="2" t="s">
        <v>11</v>
      </c>
      <c r="I1033" s="2">
        <v>1</v>
      </c>
      <c r="J1033" s="5">
        <v>46093</v>
      </c>
      <c r="K1033" s="5">
        <v>46094</v>
      </c>
      <c r="L1033" s="2" t="s">
        <v>865</v>
      </c>
      <c r="M1033" s="5">
        <v>45754</v>
      </c>
      <c r="N1033" s="3">
        <f>VLOOKUP(NavDataRegion[[#This Row],[Spool No]],[1]Sheet2!$B:$U,20,0)</f>
        <v>5.3994</v>
      </c>
      <c r="O1033" s="2">
        <v>3</v>
      </c>
      <c r="P1033" s="2">
        <v>1</v>
      </c>
      <c r="Q1033" s="2"/>
    </row>
    <row r="1034" spans="1:17" ht="20.100000000000001" customHeight="1">
      <c r="A1034" s="2" t="s">
        <v>9</v>
      </c>
      <c r="B1034" s="2" t="s">
        <v>1297</v>
      </c>
      <c r="C1034" s="2" t="s">
        <v>1605</v>
      </c>
      <c r="D1034" s="2" t="e">
        <f>VLOOKUP(C:C,Vlookup!A:A,1,0)</f>
        <v>#N/A</v>
      </c>
      <c r="E1034" s="2">
        <v>14</v>
      </c>
      <c r="F1034" s="17" t="s">
        <v>10</v>
      </c>
      <c r="G1034" s="17" t="s">
        <v>25</v>
      </c>
      <c r="H1034" s="2" t="s">
        <v>11</v>
      </c>
      <c r="I1034" s="2">
        <v>1</v>
      </c>
      <c r="J1034" s="5">
        <v>46093</v>
      </c>
      <c r="K1034" s="5">
        <v>46094</v>
      </c>
      <c r="L1034" s="2" t="s">
        <v>865</v>
      </c>
      <c r="M1034" s="5">
        <v>45754</v>
      </c>
      <c r="N1034" s="3">
        <f>VLOOKUP(NavDataRegion[[#This Row],[Spool No]],[1]Sheet2!$B:$U,20,0)</f>
        <v>7.3599600000000001</v>
      </c>
      <c r="O1034" s="2">
        <v>6</v>
      </c>
      <c r="P1034" s="2">
        <v>1</v>
      </c>
      <c r="Q1034" s="2"/>
    </row>
    <row r="1035" spans="1:17" ht="20.100000000000001" customHeight="1">
      <c r="A1035" s="2" t="s">
        <v>9</v>
      </c>
      <c r="B1035" s="2" t="s">
        <v>935</v>
      </c>
      <c r="C1035" s="2" t="s">
        <v>1872</v>
      </c>
      <c r="D1035" s="2" t="e">
        <f>VLOOKUP(C:C,Vlookup!A:A,1,0)</f>
        <v>#N/A</v>
      </c>
      <c r="E1035" s="2">
        <v>23</v>
      </c>
      <c r="F1035" s="17" t="s">
        <v>10</v>
      </c>
      <c r="G1035" s="17" t="s">
        <v>25</v>
      </c>
      <c r="H1035" s="2" t="s">
        <v>11</v>
      </c>
      <c r="I1035" s="2">
        <v>1</v>
      </c>
      <c r="J1035" s="5">
        <v>46169</v>
      </c>
      <c r="K1035" s="5">
        <v>46170</v>
      </c>
      <c r="L1035" s="2" t="s">
        <v>865</v>
      </c>
      <c r="M1035" s="5">
        <v>46185</v>
      </c>
      <c r="N1035" s="3">
        <f>VLOOKUP(NavDataRegion[[#This Row],[Spool No]],[1]Sheet2!$B:$U,20,0)</f>
        <v>45.675559999999997</v>
      </c>
      <c r="O1035" s="2">
        <v>3</v>
      </c>
      <c r="P1035" s="2">
        <v>1</v>
      </c>
      <c r="Q1035" s="2"/>
    </row>
    <row r="1036" spans="1:17" ht="20.100000000000001" customHeight="1">
      <c r="A1036" s="2" t="s">
        <v>9</v>
      </c>
      <c r="B1036" s="2" t="s">
        <v>1299</v>
      </c>
      <c r="C1036" s="2" t="s">
        <v>1606</v>
      </c>
      <c r="D1036" s="2" t="e">
        <f>VLOOKUP(C:C,Vlookup!A:A,1,0)</f>
        <v>#N/A</v>
      </c>
      <c r="E1036" s="2">
        <v>14</v>
      </c>
      <c r="F1036" s="17" t="s">
        <v>10</v>
      </c>
      <c r="G1036" s="17" t="s">
        <v>25</v>
      </c>
      <c r="H1036" s="2" t="s">
        <v>11</v>
      </c>
      <c r="I1036" s="2">
        <v>1</v>
      </c>
      <c r="J1036" s="5">
        <v>46093</v>
      </c>
      <c r="K1036" s="5">
        <v>46094</v>
      </c>
      <c r="L1036" s="2" t="s">
        <v>865</v>
      </c>
      <c r="M1036" s="5">
        <v>45754</v>
      </c>
      <c r="N1036" s="3">
        <f>VLOOKUP(NavDataRegion[[#This Row],[Spool No]],[1]Sheet2!$B:$U,20,0)</f>
        <v>6.9280799999999996</v>
      </c>
      <c r="O1036" s="2">
        <v>3</v>
      </c>
      <c r="P1036" s="2">
        <v>1</v>
      </c>
      <c r="Q1036" s="2"/>
    </row>
    <row r="1037" spans="1:17" ht="20.100000000000001" customHeight="1">
      <c r="A1037" s="2" t="s">
        <v>9</v>
      </c>
      <c r="B1037" s="2" t="s">
        <v>941</v>
      </c>
      <c r="C1037" s="2" t="s">
        <v>1873</v>
      </c>
      <c r="D1037" s="2" t="e">
        <f>VLOOKUP(C:C,Vlookup!A:A,1,0)</f>
        <v>#N/A</v>
      </c>
      <c r="E1037" s="2">
        <v>23</v>
      </c>
      <c r="F1037" s="17" t="s">
        <v>10</v>
      </c>
      <c r="G1037" s="17" t="s">
        <v>10</v>
      </c>
      <c r="H1037" s="2" t="s">
        <v>11</v>
      </c>
      <c r="I1037" s="2">
        <v>1</v>
      </c>
      <c r="J1037" s="5">
        <v>46135</v>
      </c>
      <c r="K1037" s="5">
        <v>46136</v>
      </c>
      <c r="L1037" s="2" t="s">
        <v>865</v>
      </c>
      <c r="M1037" s="5">
        <v>46185</v>
      </c>
      <c r="N1037" s="3">
        <f>VLOOKUP(NavDataRegion[[#This Row],[Spool No]],[1]Sheet2!$B:$U,20,0)</f>
        <v>7.8417599999999998</v>
      </c>
      <c r="O1037" s="2">
        <v>2</v>
      </c>
      <c r="P1037" s="2">
        <v>1</v>
      </c>
      <c r="Q1037" s="2"/>
    </row>
    <row r="1038" spans="1:17" ht="20.100000000000001" customHeight="1">
      <c r="A1038" s="2" t="s">
        <v>9</v>
      </c>
      <c r="B1038" s="2" t="s">
        <v>1119</v>
      </c>
      <c r="C1038" s="2" t="s">
        <v>1120</v>
      </c>
      <c r="D1038" s="2" t="e">
        <f>VLOOKUP(C:C,Vlookup!A:A,1,0)</f>
        <v>#N/A</v>
      </c>
      <c r="E1038" s="2">
        <v>14</v>
      </c>
      <c r="F1038" s="17" t="s">
        <v>10</v>
      </c>
      <c r="G1038" s="17" t="s">
        <v>25</v>
      </c>
      <c r="H1038" s="2" t="s">
        <v>11</v>
      </c>
      <c r="I1038" s="2">
        <v>1</v>
      </c>
      <c r="J1038" s="5">
        <v>46101</v>
      </c>
      <c r="K1038" s="5">
        <v>46104</v>
      </c>
      <c r="L1038" s="2" t="s">
        <v>865</v>
      </c>
      <c r="M1038" s="5">
        <v>45754</v>
      </c>
      <c r="N1038" s="3">
        <f>VLOOKUP(NavDataRegion[[#This Row],[Spool No]],[1]Sheet2!$B:$U,20,0)</f>
        <v>4.5908800000000003</v>
      </c>
      <c r="O1038" s="2">
        <v>3</v>
      </c>
      <c r="P1038" s="2">
        <v>1</v>
      </c>
      <c r="Q1038" s="2"/>
    </row>
    <row r="1039" spans="1:17" ht="20.100000000000001" customHeight="1">
      <c r="A1039" s="2" t="s">
        <v>9</v>
      </c>
      <c r="B1039" s="2" t="s">
        <v>1289</v>
      </c>
      <c r="C1039" s="2" t="s">
        <v>1902</v>
      </c>
      <c r="D1039" s="2" t="e">
        <f>VLOOKUP(C:C,Vlookup!A:A,1,0)</f>
        <v>#N/A</v>
      </c>
      <c r="E1039" s="2">
        <v>16</v>
      </c>
      <c r="F1039" s="17" t="s">
        <v>10</v>
      </c>
      <c r="G1039" s="17" t="s">
        <v>25</v>
      </c>
      <c r="H1039" s="2" t="s">
        <v>11</v>
      </c>
      <c r="I1039" s="2">
        <v>1</v>
      </c>
      <c r="J1039" s="5">
        <v>46105</v>
      </c>
      <c r="K1039" s="5">
        <v>46108</v>
      </c>
      <c r="L1039" s="2" t="s">
        <v>865</v>
      </c>
      <c r="M1039" s="5">
        <v>46167</v>
      </c>
      <c r="N1039" s="3">
        <f>VLOOKUP(NavDataRegion[[#This Row],[Spool No]],[1]Sheet2!$B:$U,20,0)</f>
        <v>19.713239999999999</v>
      </c>
      <c r="O1039" s="2">
        <v>1</v>
      </c>
      <c r="P1039" s="2">
        <v>1</v>
      </c>
      <c r="Q1039" s="2"/>
    </row>
    <row r="1040" spans="1:17" ht="20.100000000000001" customHeight="1">
      <c r="A1040" s="2" t="s">
        <v>9</v>
      </c>
      <c r="B1040" s="2" t="s">
        <v>1301</v>
      </c>
      <c r="C1040" s="2" t="s">
        <v>1302</v>
      </c>
      <c r="D1040" s="2" t="e">
        <f>VLOOKUP(C:C,Vlookup!A:A,1,0)</f>
        <v>#N/A</v>
      </c>
      <c r="E1040" s="2">
        <v>14</v>
      </c>
      <c r="F1040" s="17" t="s">
        <v>10</v>
      </c>
      <c r="G1040" s="17" t="s">
        <v>25</v>
      </c>
      <c r="H1040" s="2" t="s">
        <v>11</v>
      </c>
      <c r="I1040" s="2">
        <v>1</v>
      </c>
      <c r="J1040" s="5">
        <v>46093</v>
      </c>
      <c r="K1040" s="5">
        <v>46094</v>
      </c>
      <c r="L1040" s="2" t="s">
        <v>865</v>
      </c>
      <c r="M1040" s="5">
        <v>45754</v>
      </c>
      <c r="N1040" s="3">
        <f>VLOOKUP(NavDataRegion[[#This Row],[Spool No]],[1]Sheet2!$B:$U,20,0)</f>
        <v>8.1958800000000007</v>
      </c>
      <c r="O1040" s="2">
        <v>5</v>
      </c>
      <c r="P1040" s="2">
        <v>1</v>
      </c>
      <c r="Q1040" s="2"/>
    </row>
    <row r="1041" spans="1:17" ht="20.100000000000001" customHeight="1">
      <c r="A1041" s="2" t="s">
        <v>9</v>
      </c>
      <c r="B1041" s="2" t="s">
        <v>1301</v>
      </c>
      <c r="C1041" s="2" t="s">
        <v>1607</v>
      </c>
      <c r="D1041" s="2" t="e">
        <f>VLOOKUP(C:C,Vlookup!A:A,1,0)</f>
        <v>#N/A</v>
      </c>
      <c r="E1041" s="2">
        <v>14</v>
      </c>
      <c r="F1041" s="17" t="s">
        <v>10</v>
      </c>
      <c r="G1041" s="17" t="s">
        <v>25</v>
      </c>
      <c r="H1041" s="2" t="s">
        <v>11</v>
      </c>
      <c r="I1041" s="2">
        <v>1</v>
      </c>
      <c r="J1041" s="5">
        <v>46093</v>
      </c>
      <c r="K1041" s="5">
        <v>46094</v>
      </c>
      <c r="L1041" s="2" t="s">
        <v>865</v>
      </c>
      <c r="M1041" s="5">
        <v>45754</v>
      </c>
      <c r="N1041" s="3">
        <f>VLOOKUP(NavDataRegion[[#This Row],[Spool No]],[1]Sheet2!$B:$U,20,0)</f>
        <v>4.7706</v>
      </c>
      <c r="O1041" s="2">
        <v>4</v>
      </c>
      <c r="P1041" s="2">
        <v>1</v>
      </c>
      <c r="Q1041" s="2"/>
    </row>
    <row r="1042" spans="1:17" ht="20.100000000000001" customHeight="1">
      <c r="A1042" s="2" t="s">
        <v>9</v>
      </c>
      <c r="B1042" s="2" t="s">
        <v>1037</v>
      </c>
      <c r="C1042" s="2" t="s">
        <v>1877</v>
      </c>
      <c r="D1042" s="2" t="e">
        <f>VLOOKUP(C:C,Vlookup!A:A,1,0)</f>
        <v>#N/A</v>
      </c>
      <c r="E1042" s="2">
        <v>23</v>
      </c>
      <c r="F1042" s="17" t="s">
        <v>10</v>
      </c>
      <c r="G1042" s="17" t="s">
        <v>10</v>
      </c>
      <c r="H1042" s="2" t="s">
        <v>11</v>
      </c>
      <c r="I1042" s="2">
        <v>1</v>
      </c>
      <c r="J1042" s="5">
        <v>46135</v>
      </c>
      <c r="K1042" s="5">
        <v>46136</v>
      </c>
      <c r="L1042" s="2" t="s">
        <v>865</v>
      </c>
      <c r="M1042" s="5">
        <v>46185</v>
      </c>
      <c r="N1042" s="3">
        <f>VLOOKUP(NavDataRegion[[#This Row],[Spool No]],[1]Sheet2!$B:$U,20,0)</f>
        <v>6.9788800000000002</v>
      </c>
      <c r="O1042" s="2">
        <v>1</v>
      </c>
      <c r="P1042" s="2">
        <v>1</v>
      </c>
      <c r="Q1042" s="2"/>
    </row>
    <row r="1043" spans="1:17" ht="20.100000000000001" customHeight="1">
      <c r="A1043" s="2" t="s">
        <v>9</v>
      </c>
      <c r="B1043" s="2" t="s">
        <v>1131</v>
      </c>
      <c r="C1043" s="2" t="s">
        <v>1132</v>
      </c>
      <c r="D1043" s="2" t="e">
        <f>VLOOKUP(C:C,Vlookup!A:A,1,0)</f>
        <v>#N/A</v>
      </c>
      <c r="E1043" s="2">
        <v>14</v>
      </c>
      <c r="F1043" s="17" t="s">
        <v>10</v>
      </c>
      <c r="G1043" s="17" t="s">
        <v>25</v>
      </c>
      <c r="H1043" s="2" t="s">
        <v>11</v>
      </c>
      <c r="I1043" s="2">
        <v>1</v>
      </c>
      <c r="J1043" s="5">
        <v>46101</v>
      </c>
      <c r="K1043" s="5">
        <v>46104</v>
      </c>
      <c r="L1043" s="2" t="s">
        <v>865</v>
      </c>
      <c r="M1043" s="5">
        <v>45754</v>
      </c>
      <c r="N1043" s="3">
        <f>VLOOKUP(NavDataRegion[[#This Row],[Spool No]],[1]Sheet2!$B:$U,20,0)</f>
        <v>5.8426</v>
      </c>
      <c r="O1043" s="2">
        <v>3.75</v>
      </c>
      <c r="P1043" s="2">
        <v>0.75</v>
      </c>
      <c r="Q1043" s="2"/>
    </row>
    <row r="1044" spans="1:17" ht="20.100000000000001" customHeight="1">
      <c r="A1044" s="2" t="s">
        <v>9</v>
      </c>
      <c r="B1044" s="2" t="s">
        <v>1089</v>
      </c>
      <c r="C1044" s="2" t="s">
        <v>1879</v>
      </c>
      <c r="D1044" s="2" t="e">
        <f>VLOOKUP(C:C,Vlookup!A:A,1,0)</f>
        <v>#N/A</v>
      </c>
      <c r="E1044" s="2">
        <v>14</v>
      </c>
      <c r="F1044" s="17" t="s">
        <v>10</v>
      </c>
      <c r="G1044" s="17" t="s">
        <v>25</v>
      </c>
      <c r="H1044" s="2" t="s">
        <v>11</v>
      </c>
      <c r="I1044" s="2">
        <v>1</v>
      </c>
      <c r="J1044" s="5">
        <v>46105</v>
      </c>
      <c r="K1044" s="5">
        <v>46106</v>
      </c>
      <c r="L1044" s="2" t="s">
        <v>865</v>
      </c>
      <c r="M1044" s="5">
        <v>45754</v>
      </c>
      <c r="N1044" s="3">
        <f>VLOOKUP(NavDataRegion[[#This Row],[Spool No]],[1]Sheet2!$B:$U,20,0)</f>
        <v>8.6682000000000006</v>
      </c>
      <c r="O1044" s="2">
        <v>5</v>
      </c>
      <c r="P1044" s="2">
        <v>1</v>
      </c>
      <c r="Q1044" s="2"/>
    </row>
    <row r="1045" spans="1:17" ht="20.100000000000001" customHeight="1">
      <c r="A1045" s="2" t="s">
        <v>9</v>
      </c>
      <c r="B1045" s="2" t="s">
        <v>1091</v>
      </c>
      <c r="C1045" s="2" t="s">
        <v>1880</v>
      </c>
      <c r="D1045" s="2" t="e">
        <f>VLOOKUP(C:C,Vlookup!A:A,1,0)</f>
        <v>#N/A</v>
      </c>
      <c r="E1045" s="2">
        <v>14</v>
      </c>
      <c r="F1045" s="17" t="s">
        <v>10</v>
      </c>
      <c r="G1045" s="17" t="s">
        <v>25</v>
      </c>
      <c r="H1045" s="2" t="s">
        <v>11</v>
      </c>
      <c r="I1045" s="2">
        <v>1</v>
      </c>
      <c r="J1045" s="5">
        <v>46105</v>
      </c>
      <c r="K1045" s="5">
        <v>46106</v>
      </c>
      <c r="L1045" s="2" t="s">
        <v>865</v>
      </c>
      <c r="M1045" s="5">
        <v>45754</v>
      </c>
      <c r="N1045" s="3">
        <f>VLOOKUP(NavDataRegion[[#This Row],[Spool No]],[1]Sheet2!$B:$U,20,0)</f>
        <v>10.486079999999999</v>
      </c>
      <c r="O1045" s="2">
        <v>4</v>
      </c>
      <c r="P1045" s="2">
        <v>1</v>
      </c>
      <c r="Q1045" s="2"/>
    </row>
    <row r="1046" spans="1:17" ht="20.100000000000001" customHeight="1">
      <c r="A1046" s="2" t="s">
        <v>9</v>
      </c>
      <c r="B1046" s="2" t="s">
        <v>1199</v>
      </c>
      <c r="C1046" s="2" t="s">
        <v>1893</v>
      </c>
      <c r="D1046" s="2" t="e">
        <f>VLOOKUP(C:C,Vlookup!A:A,1,0)</f>
        <v>#N/A</v>
      </c>
      <c r="E1046" s="2">
        <v>16</v>
      </c>
      <c r="F1046" s="17" t="s">
        <v>10</v>
      </c>
      <c r="G1046" s="17" t="s">
        <v>25</v>
      </c>
      <c r="H1046" s="2" t="s">
        <v>11</v>
      </c>
      <c r="I1046" s="2">
        <v>1</v>
      </c>
      <c r="J1046" s="5">
        <v>46115</v>
      </c>
      <c r="K1046" s="5">
        <v>46118</v>
      </c>
      <c r="L1046" s="2" t="s">
        <v>865</v>
      </c>
      <c r="M1046" s="5">
        <v>46167</v>
      </c>
      <c r="N1046" s="3">
        <f>VLOOKUP(NavDataRegion[[#This Row],[Spool No]],[1]Sheet2!$B:$U,20,0)</f>
        <v>26.894359999999999</v>
      </c>
      <c r="O1046" s="2">
        <v>2</v>
      </c>
      <c r="P1046" s="2">
        <v>1</v>
      </c>
      <c r="Q1046" s="2"/>
    </row>
    <row r="1047" spans="1:17" ht="20.100000000000001" customHeight="1">
      <c r="A1047" s="2" t="s">
        <v>9</v>
      </c>
      <c r="B1047" s="2" t="s">
        <v>1307</v>
      </c>
      <c r="C1047" s="2" t="s">
        <v>1610</v>
      </c>
      <c r="D1047" s="2" t="e">
        <f>VLOOKUP(C:C,Vlookup!A:A,1,0)</f>
        <v>#N/A</v>
      </c>
      <c r="E1047" s="2">
        <v>14</v>
      </c>
      <c r="F1047" s="17" t="s">
        <v>10</v>
      </c>
      <c r="G1047" s="17" t="s">
        <v>25</v>
      </c>
      <c r="H1047" s="2" t="s">
        <v>11</v>
      </c>
      <c r="I1047" s="2">
        <v>1</v>
      </c>
      <c r="J1047" s="5">
        <v>46093</v>
      </c>
      <c r="K1047" s="5">
        <v>46094</v>
      </c>
      <c r="L1047" s="2" t="s">
        <v>865</v>
      </c>
      <c r="M1047" s="5">
        <v>45754</v>
      </c>
      <c r="N1047" s="3">
        <f>VLOOKUP(NavDataRegion[[#This Row],[Spool No]],[1]Sheet2!$B:$U,20,0)</f>
        <v>15.808160000000001</v>
      </c>
      <c r="O1047" s="2">
        <v>5</v>
      </c>
      <c r="P1047" s="2">
        <v>1</v>
      </c>
      <c r="Q1047" s="2"/>
    </row>
    <row r="1048" spans="1:17" ht="20.100000000000001" customHeight="1">
      <c r="A1048" s="2" t="s">
        <v>9</v>
      </c>
      <c r="B1048" s="2" t="s">
        <v>1309</v>
      </c>
      <c r="C1048" s="2" t="s">
        <v>1310</v>
      </c>
      <c r="D1048" s="2" t="e">
        <f>VLOOKUP(C:C,Vlookup!A:A,1,0)</f>
        <v>#N/A</v>
      </c>
      <c r="E1048" s="2">
        <v>14</v>
      </c>
      <c r="F1048" s="17" t="s">
        <v>10</v>
      </c>
      <c r="G1048" s="17" t="s">
        <v>25</v>
      </c>
      <c r="H1048" s="2" t="s">
        <v>11</v>
      </c>
      <c r="I1048" s="2">
        <v>1</v>
      </c>
      <c r="J1048" s="5">
        <v>46093</v>
      </c>
      <c r="K1048" s="5">
        <v>46094</v>
      </c>
      <c r="L1048" s="2" t="s">
        <v>865</v>
      </c>
      <c r="M1048" s="5">
        <v>45754</v>
      </c>
      <c r="N1048" s="3">
        <f>VLOOKUP(NavDataRegion[[#This Row],[Spool No]],[1]Sheet2!$B:$U,20,0)</f>
        <v>8.1746400000000001</v>
      </c>
      <c r="O1048" s="2">
        <v>7</v>
      </c>
      <c r="P1048" s="2">
        <v>1</v>
      </c>
      <c r="Q1048" s="2"/>
    </row>
    <row r="1049" spans="1:17" ht="20.100000000000001" customHeight="1">
      <c r="A1049" s="2" t="s">
        <v>9</v>
      </c>
      <c r="B1049" s="2" t="s">
        <v>1133</v>
      </c>
      <c r="C1049" s="2" t="s">
        <v>1134</v>
      </c>
      <c r="D1049" s="2" t="e">
        <f>VLOOKUP(C:C,Vlookup!A:A,1,0)</f>
        <v>#N/A</v>
      </c>
      <c r="E1049" s="2">
        <v>14</v>
      </c>
      <c r="F1049" s="17" t="s">
        <v>10</v>
      </c>
      <c r="G1049" s="17" t="s">
        <v>25</v>
      </c>
      <c r="H1049" s="2" t="s">
        <v>11</v>
      </c>
      <c r="I1049" s="2">
        <v>1</v>
      </c>
      <c r="J1049" s="5">
        <v>46101</v>
      </c>
      <c r="K1049" s="5">
        <v>46104</v>
      </c>
      <c r="L1049" s="2" t="s">
        <v>865</v>
      </c>
      <c r="M1049" s="5">
        <v>45754</v>
      </c>
      <c r="N1049" s="3">
        <f>VLOOKUP(NavDataRegion[[#This Row],[Spool No]],[1]Sheet2!$B:$U,20,0)</f>
        <v>5.8426</v>
      </c>
      <c r="O1049" s="2">
        <v>3.75</v>
      </c>
      <c r="P1049" s="2">
        <v>0.75</v>
      </c>
      <c r="Q1049" s="2"/>
    </row>
    <row r="1050" spans="1:17" ht="20.100000000000001" customHeight="1">
      <c r="A1050" s="2" t="s">
        <v>9</v>
      </c>
      <c r="B1050" s="2" t="s">
        <v>1291</v>
      </c>
      <c r="C1050" s="2" t="s">
        <v>1755</v>
      </c>
      <c r="D1050" s="2" t="e">
        <f>VLOOKUP(C:C,Vlookup!A:A,1,0)</f>
        <v>#N/A</v>
      </c>
      <c r="E1050" s="2">
        <v>16</v>
      </c>
      <c r="F1050" s="17" t="s">
        <v>10</v>
      </c>
      <c r="G1050" s="17" t="s">
        <v>25</v>
      </c>
      <c r="H1050" s="2" t="s">
        <v>11</v>
      </c>
      <c r="I1050" s="2">
        <v>1</v>
      </c>
      <c r="J1050" s="5">
        <v>46105</v>
      </c>
      <c r="K1050" s="5">
        <v>46108</v>
      </c>
      <c r="L1050" s="2" t="s">
        <v>865</v>
      </c>
      <c r="M1050" s="5">
        <v>46167</v>
      </c>
      <c r="N1050" s="3">
        <f>VLOOKUP(NavDataRegion[[#This Row],[Spool No]],[1]Sheet2!$B:$U,20,0)</f>
        <v>16.906559999999999</v>
      </c>
      <c r="O1050" s="2">
        <v>3</v>
      </c>
      <c r="P1050" s="2">
        <v>1</v>
      </c>
      <c r="Q1050" s="2"/>
    </row>
    <row r="1051" spans="1:17" ht="20.100000000000001" customHeight="1">
      <c r="A1051" s="2" t="s">
        <v>9</v>
      </c>
      <c r="B1051" s="2" t="s">
        <v>1309</v>
      </c>
      <c r="C1051" s="2" t="s">
        <v>1611</v>
      </c>
      <c r="D1051" s="2" t="e">
        <f>VLOOKUP(C:C,Vlookup!A:A,1,0)</f>
        <v>#N/A</v>
      </c>
      <c r="E1051" s="2">
        <v>14</v>
      </c>
      <c r="F1051" s="17" t="s">
        <v>10</v>
      </c>
      <c r="G1051" s="17" t="s">
        <v>25</v>
      </c>
      <c r="H1051" s="2" t="s">
        <v>11</v>
      </c>
      <c r="I1051" s="2">
        <v>1</v>
      </c>
      <c r="J1051" s="5">
        <v>46093</v>
      </c>
      <c r="K1051" s="5">
        <v>46094</v>
      </c>
      <c r="L1051" s="2" t="s">
        <v>865</v>
      </c>
      <c r="M1051" s="5">
        <v>45754</v>
      </c>
      <c r="N1051" s="3">
        <f>VLOOKUP(NavDataRegion[[#This Row],[Spool No]],[1]Sheet2!$B:$U,20,0)</f>
        <v>11.6022</v>
      </c>
      <c r="O1051" s="2">
        <v>5</v>
      </c>
      <c r="P1051" s="2">
        <v>1</v>
      </c>
      <c r="Q1051" s="2"/>
    </row>
    <row r="1052" spans="1:17" ht="20.100000000000001" customHeight="1">
      <c r="A1052" s="2" t="s">
        <v>9</v>
      </c>
      <c r="B1052" s="2" t="s">
        <v>1091</v>
      </c>
      <c r="C1052" s="2" t="s">
        <v>1810</v>
      </c>
      <c r="D1052" s="2" t="e">
        <f>VLOOKUP(C:C,Vlookup!A:A,1,0)</f>
        <v>#N/A</v>
      </c>
      <c r="E1052" s="2">
        <v>16</v>
      </c>
      <c r="F1052" s="17" t="s">
        <v>10</v>
      </c>
      <c r="G1052" s="17" t="s">
        <v>25</v>
      </c>
      <c r="H1052" s="2" t="s">
        <v>11</v>
      </c>
      <c r="I1052" s="2">
        <v>1</v>
      </c>
      <c r="J1052" s="5">
        <v>46113</v>
      </c>
      <c r="K1052" s="5">
        <v>46118</v>
      </c>
      <c r="L1052" s="2" t="s">
        <v>865</v>
      </c>
      <c r="M1052" s="5">
        <v>46167</v>
      </c>
      <c r="N1052" s="3">
        <f>VLOOKUP(NavDataRegion[[#This Row],[Spool No]],[1]Sheet2!$B:$U,20,0)</f>
        <v>34.025680000000001</v>
      </c>
      <c r="O1052" s="2">
        <v>4</v>
      </c>
      <c r="P1052" s="2">
        <v>1</v>
      </c>
      <c r="Q1052" s="2"/>
    </row>
    <row r="1053" spans="1:17" ht="20.100000000000001" customHeight="1">
      <c r="A1053" s="2" t="s">
        <v>9</v>
      </c>
      <c r="B1053" s="2" t="s">
        <v>1405</v>
      </c>
      <c r="C1053" s="2" t="s">
        <v>1637</v>
      </c>
      <c r="D1053" s="2" t="e">
        <f>VLOOKUP(C:C,Vlookup!A:A,1,0)</f>
        <v>#N/A</v>
      </c>
      <c r="E1053" s="2">
        <v>14</v>
      </c>
      <c r="F1053" s="17" t="s">
        <v>10</v>
      </c>
      <c r="G1053" s="17" t="s">
        <v>25</v>
      </c>
      <c r="H1053" s="2" t="s">
        <v>11</v>
      </c>
      <c r="I1053" s="2">
        <v>1</v>
      </c>
      <c r="J1053" s="5">
        <v>46098</v>
      </c>
      <c r="K1053" s="5">
        <v>46099</v>
      </c>
      <c r="L1053" s="2" t="s">
        <v>865</v>
      </c>
      <c r="M1053" s="5">
        <v>45754</v>
      </c>
      <c r="N1053" s="3">
        <f>VLOOKUP(NavDataRegion[[#This Row],[Spool No]],[1]Sheet2!$B:$U,20,0)</f>
        <v>3.4106000000000001</v>
      </c>
      <c r="O1053" s="2">
        <v>2.25</v>
      </c>
      <c r="P1053" s="2">
        <v>0.75</v>
      </c>
      <c r="Q1053" s="2"/>
    </row>
    <row r="1054" spans="1:17" ht="20.100000000000001" customHeight="1">
      <c r="A1054" s="2" t="s">
        <v>9</v>
      </c>
      <c r="B1054" s="2" t="s">
        <v>1317</v>
      </c>
      <c r="C1054" s="2" t="s">
        <v>1853</v>
      </c>
      <c r="D1054" s="2" t="e">
        <f>VLOOKUP(C:C,Vlookup!A:A,1,0)</f>
        <v>#N/A</v>
      </c>
      <c r="E1054" s="2">
        <v>16</v>
      </c>
      <c r="F1054" s="17" t="s">
        <v>10</v>
      </c>
      <c r="G1054" s="17" t="s">
        <v>25</v>
      </c>
      <c r="H1054" s="2" t="s">
        <v>11</v>
      </c>
      <c r="I1054" s="2">
        <v>1</v>
      </c>
      <c r="J1054" s="5">
        <v>46112</v>
      </c>
      <c r="K1054" s="5">
        <v>46120</v>
      </c>
      <c r="L1054" s="2" t="s">
        <v>865</v>
      </c>
      <c r="M1054" s="5">
        <v>46167</v>
      </c>
      <c r="N1054" s="3">
        <f>VLOOKUP(NavDataRegion[[#This Row],[Spool No]],[1]Sheet2!$B:$U,20,0)</f>
        <v>48.561160000000001</v>
      </c>
      <c r="O1054" s="2">
        <v>18</v>
      </c>
      <c r="P1054" s="2">
        <v>2</v>
      </c>
      <c r="Q1054" s="2"/>
    </row>
    <row r="1055" spans="1:17" ht="20.100000000000001" customHeight="1">
      <c r="A1055" s="2" t="s">
        <v>9</v>
      </c>
      <c r="B1055" s="2" t="s">
        <v>1311</v>
      </c>
      <c r="C1055" s="2" t="s">
        <v>1312</v>
      </c>
      <c r="D1055" s="2" t="e">
        <f>VLOOKUP(C:C,Vlookup!A:A,1,0)</f>
        <v>#N/A</v>
      </c>
      <c r="E1055" s="2">
        <v>14</v>
      </c>
      <c r="F1055" s="17" t="s">
        <v>10</v>
      </c>
      <c r="G1055" s="17" t="s">
        <v>25</v>
      </c>
      <c r="H1055" s="2" t="s">
        <v>11</v>
      </c>
      <c r="I1055" s="2">
        <v>1</v>
      </c>
      <c r="J1055" s="5">
        <v>46093</v>
      </c>
      <c r="K1055" s="5">
        <v>46094</v>
      </c>
      <c r="L1055" s="2" t="s">
        <v>865</v>
      </c>
      <c r="M1055" s="5">
        <v>45754</v>
      </c>
      <c r="N1055" s="3">
        <f>VLOOKUP(NavDataRegion[[#This Row],[Spool No]],[1]Sheet2!$B:$U,20,0)</f>
        <v>4.4721599999999997</v>
      </c>
      <c r="O1055" s="2">
        <v>3</v>
      </c>
      <c r="P1055" s="2">
        <v>1</v>
      </c>
      <c r="Q1055" s="2"/>
    </row>
    <row r="1056" spans="1:17" ht="20.100000000000001" customHeight="1">
      <c r="A1056" s="2" t="s">
        <v>9</v>
      </c>
      <c r="B1056" s="2" t="s">
        <v>1325</v>
      </c>
      <c r="C1056" s="2" t="s">
        <v>1618</v>
      </c>
      <c r="D1056" s="2" t="e">
        <f>VLOOKUP(C:C,Vlookup!A:A,1,0)</f>
        <v>#N/A</v>
      </c>
      <c r="E1056" s="2">
        <v>16</v>
      </c>
      <c r="F1056" s="17" t="s">
        <v>10</v>
      </c>
      <c r="G1056" s="17" t="s">
        <v>25</v>
      </c>
      <c r="H1056" s="2" t="s">
        <v>11</v>
      </c>
      <c r="I1056" s="2">
        <v>1</v>
      </c>
      <c r="J1056" s="5">
        <v>46112</v>
      </c>
      <c r="K1056" s="5">
        <v>46118</v>
      </c>
      <c r="L1056" s="2" t="s">
        <v>865</v>
      </c>
      <c r="M1056" s="5">
        <v>46167</v>
      </c>
      <c r="N1056" s="3">
        <f>VLOOKUP(NavDataRegion[[#This Row],[Spool No]],[1]Sheet2!$B:$U,20,0)</f>
        <v>20.671800000000001</v>
      </c>
      <c r="O1056" s="2">
        <v>6</v>
      </c>
      <c r="P1056" s="2">
        <v>1</v>
      </c>
      <c r="Q1056" s="2"/>
    </row>
    <row r="1057" spans="1:17" ht="20.100000000000001" customHeight="1">
      <c r="A1057" s="2" t="s">
        <v>9</v>
      </c>
      <c r="B1057" s="2" t="s">
        <v>1321</v>
      </c>
      <c r="C1057" s="2" t="s">
        <v>1322</v>
      </c>
      <c r="D1057" s="2" t="e">
        <f>VLOOKUP(C:C,Vlookup!A:A,1,0)</f>
        <v>#N/A</v>
      </c>
      <c r="E1057" s="2">
        <v>14</v>
      </c>
      <c r="F1057" s="17" t="s">
        <v>10</v>
      </c>
      <c r="G1057" s="17" t="s">
        <v>25</v>
      </c>
      <c r="H1057" s="2" t="s">
        <v>11</v>
      </c>
      <c r="I1057" s="2">
        <v>1</v>
      </c>
      <c r="J1057" s="5">
        <v>46100</v>
      </c>
      <c r="K1057" s="5">
        <v>46101</v>
      </c>
      <c r="L1057" s="2" t="s">
        <v>865</v>
      </c>
      <c r="M1057" s="5">
        <v>45754</v>
      </c>
      <c r="N1057" s="3">
        <f>VLOOKUP(NavDataRegion[[#This Row],[Spool No]],[1]Sheet2!$B:$U,20,0)</f>
        <v>21.81672</v>
      </c>
      <c r="O1057" s="2">
        <v>7</v>
      </c>
      <c r="P1057" s="2">
        <v>1</v>
      </c>
      <c r="Q1057" s="2"/>
    </row>
    <row r="1058" spans="1:17" ht="20.100000000000001" customHeight="1">
      <c r="A1058" s="2" t="s">
        <v>9</v>
      </c>
      <c r="B1058" s="2" t="s">
        <v>1311</v>
      </c>
      <c r="C1058" s="2" t="s">
        <v>1612</v>
      </c>
      <c r="D1058" s="2" t="e">
        <f>VLOOKUP(C:C,Vlookup!A:A,1,0)</f>
        <v>#N/A</v>
      </c>
      <c r="E1058" s="2">
        <v>14</v>
      </c>
      <c r="F1058" s="17" t="s">
        <v>10</v>
      </c>
      <c r="G1058" s="17" t="s">
        <v>25</v>
      </c>
      <c r="H1058" s="2" t="s">
        <v>11</v>
      </c>
      <c r="I1058" s="2">
        <v>1</v>
      </c>
      <c r="J1058" s="5">
        <v>46093</v>
      </c>
      <c r="K1058" s="5">
        <v>46094</v>
      </c>
      <c r="L1058" s="2" t="s">
        <v>865</v>
      </c>
      <c r="M1058" s="5">
        <v>45754</v>
      </c>
      <c r="N1058" s="3">
        <f>VLOOKUP(NavDataRegion[[#This Row],[Spool No]],[1]Sheet2!$B:$U,20,0)</f>
        <v>8.4410399999999992</v>
      </c>
      <c r="O1058" s="2">
        <v>4</v>
      </c>
      <c r="P1058" s="2">
        <v>1</v>
      </c>
      <c r="Q1058" s="2"/>
    </row>
    <row r="1059" spans="1:17" ht="20.100000000000001" customHeight="1">
      <c r="A1059" s="2" t="s">
        <v>9</v>
      </c>
      <c r="B1059" s="2" t="s">
        <v>1313</v>
      </c>
      <c r="C1059" s="2" t="s">
        <v>1613</v>
      </c>
      <c r="D1059" s="2" t="e">
        <f>VLOOKUP(C:C,Vlookup!A:A,1,0)</f>
        <v>#N/A</v>
      </c>
      <c r="E1059" s="2">
        <v>16</v>
      </c>
      <c r="F1059" s="17" t="s">
        <v>10</v>
      </c>
      <c r="G1059" s="17" t="s">
        <v>25</v>
      </c>
      <c r="H1059" s="2" t="s">
        <v>11</v>
      </c>
      <c r="I1059" s="2">
        <v>1</v>
      </c>
      <c r="J1059" s="5">
        <v>46105</v>
      </c>
      <c r="K1059" s="5">
        <v>46108</v>
      </c>
      <c r="L1059" s="2" t="s">
        <v>865</v>
      </c>
      <c r="M1059" s="5">
        <v>46167</v>
      </c>
      <c r="N1059" s="3">
        <f>VLOOKUP(NavDataRegion[[#This Row],[Spool No]],[1]Sheet2!$B:$U,20,0)</f>
        <v>12.20232</v>
      </c>
      <c r="O1059" s="2">
        <v>2</v>
      </c>
      <c r="P1059" s="2">
        <v>1</v>
      </c>
      <c r="Q1059" s="2"/>
    </row>
    <row r="1060" spans="1:17" ht="20.100000000000001" customHeight="1">
      <c r="A1060" s="2" t="s">
        <v>9</v>
      </c>
      <c r="B1060" s="2" t="s">
        <v>1325</v>
      </c>
      <c r="C1060" s="2" t="s">
        <v>1766</v>
      </c>
      <c r="D1060" s="2" t="e">
        <f>VLOOKUP(C:C,Vlookup!A:A,1,0)</f>
        <v>#N/A</v>
      </c>
      <c r="E1060" s="2">
        <v>16</v>
      </c>
      <c r="F1060" s="17" t="s">
        <v>10</v>
      </c>
      <c r="G1060" s="17" t="s">
        <v>25</v>
      </c>
      <c r="H1060" s="2" t="s">
        <v>11</v>
      </c>
      <c r="I1060" s="2">
        <v>1</v>
      </c>
      <c r="J1060" s="5">
        <v>46105</v>
      </c>
      <c r="K1060" s="5">
        <v>46108</v>
      </c>
      <c r="L1060" s="2" t="s">
        <v>865</v>
      </c>
      <c r="M1060" s="5">
        <v>46167</v>
      </c>
      <c r="N1060" s="3">
        <f>VLOOKUP(NavDataRegion[[#This Row],[Spool No]],[1]Sheet2!$B:$U,20,0)</f>
        <v>15.105840000000001</v>
      </c>
      <c r="O1060" s="2">
        <v>3</v>
      </c>
      <c r="P1060" s="2">
        <v>1</v>
      </c>
      <c r="Q1060" s="2"/>
    </row>
    <row r="1061" spans="1:17" ht="20.100000000000001" customHeight="1">
      <c r="A1061" s="2" t="s">
        <v>9</v>
      </c>
      <c r="B1061" s="2" t="s">
        <v>1327</v>
      </c>
      <c r="C1061" s="2" t="s">
        <v>1854</v>
      </c>
      <c r="D1061" s="2" t="e">
        <f>VLOOKUP(C:C,Vlookup!A:A,1,0)</f>
        <v>#N/A</v>
      </c>
      <c r="E1061" s="2">
        <v>16</v>
      </c>
      <c r="F1061" s="17" t="s">
        <v>10</v>
      </c>
      <c r="G1061" s="17" t="s">
        <v>25</v>
      </c>
      <c r="H1061" s="2" t="s">
        <v>11</v>
      </c>
      <c r="I1061" s="2">
        <v>1</v>
      </c>
      <c r="J1061" s="5">
        <v>46105</v>
      </c>
      <c r="K1061" s="5">
        <v>46108</v>
      </c>
      <c r="L1061" s="2" t="s">
        <v>865</v>
      </c>
      <c r="M1061" s="5">
        <v>46167</v>
      </c>
      <c r="N1061" s="3">
        <f>VLOOKUP(NavDataRegion[[#This Row],[Spool No]],[1]Sheet2!$B:$U,20,0)</f>
        <v>19.34376</v>
      </c>
      <c r="O1061" s="2">
        <v>3</v>
      </c>
      <c r="P1061" s="2">
        <v>1</v>
      </c>
      <c r="Q1061" s="2"/>
    </row>
    <row r="1062" spans="1:17" ht="20.100000000000001" customHeight="1">
      <c r="A1062" s="2" t="s">
        <v>9</v>
      </c>
      <c r="B1062" s="2" t="s">
        <v>907</v>
      </c>
      <c r="C1062" s="2" t="s">
        <v>1866</v>
      </c>
      <c r="D1062" s="2" t="e">
        <f>VLOOKUP(C:C,Vlookup!A:A,1,0)</f>
        <v>#N/A</v>
      </c>
      <c r="E1062" s="2">
        <v>16</v>
      </c>
      <c r="F1062" s="17" t="s">
        <v>10</v>
      </c>
      <c r="G1062" s="17" t="s">
        <v>281</v>
      </c>
      <c r="H1062" s="2" t="s">
        <v>11</v>
      </c>
      <c r="I1062" s="2">
        <v>1</v>
      </c>
      <c r="J1062" s="5">
        <v>46113</v>
      </c>
      <c r="K1062" s="5">
        <v>46118</v>
      </c>
      <c r="L1062" s="2" t="s">
        <v>865</v>
      </c>
      <c r="M1062" s="5">
        <v>46167</v>
      </c>
      <c r="N1062" s="3">
        <f>VLOOKUP(NavDataRegion[[#This Row],[Spool No]],[1]Sheet2!$B:$U,20,0)</f>
        <v>6.6123000000000003</v>
      </c>
      <c r="O1062" s="2">
        <v>1</v>
      </c>
      <c r="P1062" s="2">
        <v>1</v>
      </c>
      <c r="Q1062" s="2"/>
    </row>
    <row r="1063" spans="1:17" ht="20.100000000000001" customHeight="1">
      <c r="A1063" s="2" t="s">
        <v>9</v>
      </c>
      <c r="B1063" s="2" t="s">
        <v>1327</v>
      </c>
      <c r="C1063" s="2" t="s">
        <v>1619</v>
      </c>
      <c r="D1063" s="2" t="e">
        <f>VLOOKUP(C:C,Vlookup!A:A,1,0)</f>
        <v>#N/A</v>
      </c>
      <c r="E1063" s="2">
        <v>14</v>
      </c>
      <c r="F1063" s="17" t="s">
        <v>10</v>
      </c>
      <c r="G1063" s="17" t="s">
        <v>25</v>
      </c>
      <c r="H1063" s="2" t="s">
        <v>11</v>
      </c>
      <c r="I1063" s="2">
        <v>1</v>
      </c>
      <c r="J1063" s="5">
        <v>46100</v>
      </c>
      <c r="K1063" s="5">
        <v>46101</v>
      </c>
      <c r="L1063" s="2" t="s">
        <v>865</v>
      </c>
      <c r="M1063" s="5">
        <v>45754</v>
      </c>
      <c r="N1063" s="3">
        <f>VLOOKUP(NavDataRegion[[#This Row],[Spool No]],[1]Sheet2!$B:$U,20,0)</f>
        <v>18.993359999999999</v>
      </c>
      <c r="O1063" s="2">
        <v>1</v>
      </c>
      <c r="P1063" s="2">
        <v>1</v>
      </c>
      <c r="Q1063" s="2"/>
    </row>
    <row r="1064" spans="1:17" ht="20.100000000000001" customHeight="1">
      <c r="A1064" s="2" t="s">
        <v>9</v>
      </c>
      <c r="B1064" s="2" t="s">
        <v>1327</v>
      </c>
      <c r="C1064" s="2" t="s">
        <v>1767</v>
      </c>
      <c r="D1064" s="2" t="e">
        <f>VLOOKUP(C:C,Vlookup!A:A,1,0)</f>
        <v>#N/A</v>
      </c>
      <c r="E1064" s="2">
        <v>14</v>
      </c>
      <c r="F1064" s="17" t="s">
        <v>10</v>
      </c>
      <c r="G1064" s="17" t="s">
        <v>25</v>
      </c>
      <c r="H1064" s="2" t="s">
        <v>11</v>
      </c>
      <c r="I1064" s="2">
        <v>1</v>
      </c>
      <c r="J1064" s="5">
        <v>46100</v>
      </c>
      <c r="K1064" s="5">
        <v>46101</v>
      </c>
      <c r="L1064" s="2" t="s">
        <v>865</v>
      </c>
      <c r="M1064" s="5">
        <v>45754</v>
      </c>
      <c r="N1064" s="3">
        <f>VLOOKUP(NavDataRegion[[#This Row],[Spool No]],[1]Sheet2!$B:$U,20,0)</f>
        <v>20.193239999999999</v>
      </c>
      <c r="O1064" s="2">
        <v>2</v>
      </c>
      <c r="P1064" s="2">
        <v>1</v>
      </c>
      <c r="Q1064" s="2"/>
    </row>
    <row r="1065" spans="1:17" ht="20.100000000000001" customHeight="1">
      <c r="A1065" s="2" t="s">
        <v>9</v>
      </c>
      <c r="B1065" s="2" t="s">
        <v>1395</v>
      </c>
      <c r="C1065" s="2" t="s">
        <v>1860</v>
      </c>
      <c r="D1065" s="2" t="e">
        <f>VLOOKUP(C:C,Vlookup!A:A,1,0)</f>
        <v>#N/A</v>
      </c>
      <c r="E1065" s="2">
        <v>14</v>
      </c>
      <c r="F1065" s="17" t="s">
        <v>10</v>
      </c>
      <c r="G1065" s="17" t="s">
        <v>25</v>
      </c>
      <c r="H1065" s="2" t="s">
        <v>11</v>
      </c>
      <c r="I1065" s="2">
        <v>1</v>
      </c>
      <c r="J1065" s="5">
        <v>46100</v>
      </c>
      <c r="K1065" s="5">
        <v>46101</v>
      </c>
      <c r="L1065" s="2" t="s">
        <v>865</v>
      </c>
      <c r="M1065" s="5">
        <v>45754</v>
      </c>
      <c r="N1065" s="3">
        <f>VLOOKUP(NavDataRegion[[#This Row],[Spool No]],[1]Sheet2!$B:$U,20,0)</f>
        <v>4.8220799999999997</v>
      </c>
      <c r="O1065" s="2">
        <v>3</v>
      </c>
      <c r="P1065" s="2">
        <v>1</v>
      </c>
      <c r="Q1065" s="2"/>
    </row>
    <row r="1066" spans="1:17" ht="20.100000000000001" customHeight="1">
      <c r="A1066" s="2" t="s">
        <v>9</v>
      </c>
      <c r="B1066" s="2" t="s">
        <v>1395</v>
      </c>
      <c r="C1066" s="2" t="s">
        <v>1940</v>
      </c>
      <c r="D1066" s="2" t="e">
        <f>VLOOKUP(C:C,Vlookup!A:A,1,0)</f>
        <v>#N/A</v>
      </c>
      <c r="E1066" s="2">
        <v>14</v>
      </c>
      <c r="F1066" s="17" t="s">
        <v>10</v>
      </c>
      <c r="G1066" s="17" t="s">
        <v>25</v>
      </c>
      <c r="H1066" s="2" t="s">
        <v>11</v>
      </c>
      <c r="I1066" s="2">
        <v>1</v>
      </c>
      <c r="J1066" s="5">
        <v>46100</v>
      </c>
      <c r="K1066" s="5">
        <v>46101</v>
      </c>
      <c r="L1066" s="2" t="s">
        <v>865</v>
      </c>
      <c r="M1066" s="5">
        <v>45754</v>
      </c>
      <c r="N1066" s="3">
        <f>VLOOKUP(NavDataRegion[[#This Row],[Spool No]],[1]Sheet2!$B:$U,20,0)</f>
        <v>4.2809999999999997</v>
      </c>
      <c r="O1066" s="2">
        <v>3</v>
      </c>
      <c r="P1066" s="2">
        <v>1</v>
      </c>
      <c r="Q1066" s="2"/>
    </row>
    <row r="1067" spans="1:17" ht="20.100000000000001" customHeight="1">
      <c r="A1067" s="2" t="s">
        <v>9</v>
      </c>
      <c r="B1067" s="2" t="s">
        <v>255</v>
      </c>
      <c r="C1067" s="2" t="s">
        <v>256</v>
      </c>
      <c r="D1067" s="2" t="e">
        <f>VLOOKUP(C:C,Vlookup!A:A,1,0)</f>
        <v>#N/A</v>
      </c>
      <c r="E1067" s="2">
        <v>18</v>
      </c>
      <c r="F1067" s="2" t="s">
        <v>257</v>
      </c>
      <c r="G1067" s="2" t="s">
        <v>16</v>
      </c>
      <c r="H1067" s="2" t="s">
        <v>11</v>
      </c>
      <c r="I1067" s="2">
        <v>1</v>
      </c>
      <c r="J1067" s="5">
        <v>46111</v>
      </c>
      <c r="K1067" s="5">
        <v>46113</v>
      </c>
      <c r="L1067" s="2" t="s">
        <v>865</v>
      </c>
      <c r="M1067" s="5">
        <v>45754</v>
      </c>
      <c r="N1067" s="3">
        <f>VLOOKUP(NavDataRegion[[#This Row],[Spool No]],[1]Sheet2!$B:$U,20,0)</f>
        <v>1336.3220217451999</v>
      </c>
      <c r="O1067" s="2">
        <v>185.76</v>
      </c>
      <c r="P1067" s="2">
        <v>16</v>
      </c>
      <c r="Q1067" s="2"/>
    </row>
    <row r="1068" spans="1:17" ht="20.100000000000001" customHeight="1">
      <c r="A1068" s="2" t="s">
        <v>9</v>
      </c>
      <c r="B1068" s="2" t="s">
        <v>1129</v>
      </c>
      <c r="C1068" s="2" t="s">
        <v>1885</v>
      </c>
      <c r="D1068" s="2" t="e">
        <f>VLOOKUP(C:C,Vlookup!A:A,1,0)</f>
        <v>#N/A</v>
      </c>
      <c r="E1068" s="2">
        <v>16</v>
      </c>
      <c r="F1068" s="17" t="s">
        <v>10</v>
      </c>
      <c r="G1068" s="17" t="s">
        <v>25</v>
      </c>
      <c r="H1068" s="2" t="s">
        <v>11</v>
      </c>
      <c r="I1068" s="2">
        <v>1</v>
      </c>
      <c r="J1068" s="5">
        <v>46113</v>
      </c>
      <c r="K1068" s="5">
        <v>46118</v>
      </c>
      <c r="L1068" s="2" t="s">
        <v>865</v>
      </c>
      <c r="M1068" s="5">
        <v>46167</v>
      </c>
      <c r="N1068" s="3">
        <f>VLOOKUP(NavDataRegion[[#This Row],[Spool No]],[1]Sheet2!$B:$U,20,0)</f>
        <v>33.136560000000003</v>
      </c>
      <c r="O1068" s="2">
        <v>2</v>
      </c>
      <c r="P1068" s="2">
        <v>1</v>
      </c>
      <c r="Q1068" s="2"/>
    </row>
    <row r="1069" spans="1:17" ht="20.100000000000001" customHeight="1">
      <c r="A1069" s="2" t="s">
        <v>9</v>
      </c>
      <c r="B1069" s="2" t="s">
        <v>907</v>
      </c>
      <c r="C1069" s="2" t="s">
        <v>1915</v>
      </c>
      <c r="D1069" s="2" t="e">
        <f>VLOOKUP(C:C,Vlookup!A:A,1,0)</f>
        <v>#N/A</v>
      </c>
      <c r="E1069" s="2">
        <v>16</v>
      </c>
      <c r="F1069" s="17" t="s">
        <v>10</v>
      </c>
      <c r="G1069" s="17" t="s">
        <v>281</v>
      </c>
      <c r="H1069" s="2" t="s">
        <v>11</v>
      </c>
      <c r="I1069" s="2">
        <v>1</v>
      </c>
      <c r="J1069" s="5">
        <v>46113</v>
      </c>
      <c r="K1069" s="5">
        <v>46118</v>
      </c>
      <c r="L1069" s="2" t="s">
        <v>865</v>
      </c>
      <c r="M1069" s="5">
        <v>46167</v>
      </c>
      <c r="N1069" s="3">
        <f>VLOOKUP(NavDataRegion[[#This Row],[Spool No]],[1]Sheet2!$B:$U,20,0)</f>
        <v>12.016310000000001</v>
      </c>
      <c r="O1069" s="2">
        <v>2</v>
      </c>
      <c r="P1069" s="2">
        <v>1</v>
      </c>
      <c r="Q1069" s="2"/>
    </row>
    <row r="1070" spans="1:17" ht="20.100000000000001" customHeight="1">
      <c r="A1070" s="2" t="s">
        <v>9</v>
      </c>
      <c r="B1070" s="2" t="s">
        <v>1411</v>
      </c>
      <c r="C1070" s="2" t="s">
        <v>1412</v>
      </c>
      <c r="D1070" s="2" t="e">
        <f>VLOOKUP(C:C,Vlookup!A:A,1,0)</f>
        <v>#N/A</v>
      </c>
      <c r="E1070" s="2">
        <v>14</v>
      </c>
      <c r="F1070" s="17" t="s">
        <v>10</v>
      </c>
      <c r="G1070" s="17" t="s">
        <v>25</v>
      </c>
      <c r="H1070" s="2" t="s">
        <v>11</v>
      </c>
      <c r="I1070" s="2">
        <v>1</v>
      </c>
      <c r="J1070" s="5">
        <v>46100</v>
      </c>
      <c r="K1070" s="5">
        <v>46101</v>
      </c>
      <c r="L1070" s="2" t="s">
        <v>865</v>
      </c>
      <c r="M1070" s="5">
        <v>45754</v>
      </c>
      <c r="N1070" s="3">
        <f>VLOOKUP(NavDataRegion[[#This Row],[Spool No]],[1]Sheet2!$B:$U,20,0)</f>
        <v>3.8387199999999999</v>
      </c>
      <c r="O1070" s="2">
        <v>1</v>
      </c>
      <c r="P1070" s="2">
        <v>1</v>
      </c>
      <c r="Q1070" s="2"/>
    </row>
    <row r="1071" spans="1:17" ht="20.100000000000001" customHeight="1">
      <c r="A1071" s="2" t="s">
        <v>9</v>
      </c>
      <c r="B1071" s="2" t="s">
        <v>1019</v>
      </c>
      <c r="C1071" s="2" t="s">
        <v>1943</v>
      </c>
      <c r="D1071" s="2" t="e">
        <f>VLOOKUP(C:C,Vlookup!A:A,1,0)</f>
        <v>#N/A</v>
      </c>
      <c r="E1071" s="2">
        <v>16</v>
      </c>
      <c r="F1071" s="17" t="s">
        <v>10</v>
      </c>
      <c r="G1071" s="17" t="s">
        <v>25</v>
      </c>
      <c r="H1071" s="2" t="s">
        <v>11</v>
      </c>
      <c r="I1071" s="2">
        <v>1</v>
      </c>
      <c r="J1071" s="5">
        <v>46108</v>
      </c>
      <c r="K1071" s="5">
        <v>46111</v>
      </c>
      <c r="L1071" s="2" t="s">
        <v>865</v>
      </c>
      <c r="M1071" s="5">
        <v>46167</v>
      </c>
      <c r="N1071" s="3">
        <f>VLOOKUP(NavDataRegion[[#This Row],[Spool No]],[1]Sheet2!$B:$U,20,0)</f>
        <v>1.2219599999999999</v>
      </c>
      <c r="O1071" s="2">
        <v>1</v>
      </c>
      <c r="P1071" s="2">
        <v>1</v>
      </c>
      <c r="Q1071" s="2"/>
    </row>
    <row r="1072" spans="1:17" ht="20.100000000000001" customHeight="1">
      <c r="A1072" s="2" t="s">
        <v>9</v>
      </c>
      <c r="B1072" s="2" t="s">
        <v>1413</v>
      </c>
      <c r="C1072" s="2" t="s">
        <v>1414</v>
      </c>
      <c r="D1072" s="2" t="e">
        <f>VLOOKUP(C:C,Vlookup!A:A,1,0)</f>
        <v>#N/A</v>
      </c>
      <c r="E1072" s="2">
        <v>14</v>
      </c>
      <c r="F1072" s="17" t="s">
        <v>10</v>
      </c>
      <c r="G1072" s="17" t="s">
        <v>25</v>
      </c>
      <c r="H1072" s="2" t="s">
        <v>11</v>
      </c>
      <c r="I1072" s="2">
        <v>1</v>
      </c>
      <c r="J1072" s="5">
        <v>46100</v>
      </c>
      <c r="K1072" s="5">
        <v>46101</v>
      </c>
      <c r="L1072" s="2" t="s">
        <v>865</v>
      </c>
      <c r="M1072" s="5">
        <v>45754</v>
      </c>
      <c r="N1072" s="3">
        <f>VLOOKUP(NavDataRegion[[#This Row],[Spool No]],[1]Sheet2!$B:$U,20,0)</f>
        <v>3.8387199999999999</v>
      </c>
      <c r="O1072" s="2">
        <v>1</v>
      </c>
      <c r="P1072" s="2">
        <v>1</v>
      </c>
      <c r="Q1072" s="2"/>
    </row>
    <row r="1073" spans="1:17" ht="20.100000000000001" customHeight="1">
      <c r="A1073" s="2" t="s">
        <v>9</v>
      </c>
      <c r="B1073" s="2" t="s">
        <v>1135</v>
      </c>
      <c r="C1073" s="2" t="s">
        <v>1136</v>
      </c>
      <c r="D1073" s="2" t="e">
        <f>VLOOKUP(C:C,Vlookup!A:A,1,0)</f>
        <v>#N/A</v>
      </c>
      <c r="E1073" s="2">
        <v>14</v>
      </c>
      <c r="F1073" s="17" t="s">
        <v>10</v>
      </c>
      <c r="G1073" s="17" t="s">
        <v>25</v>
      </c>
      <c r="H1073" s="2" t="s">
        <v>11</v>
      </c>
      <c r="I1073" s="2">
        <v>1</v>
      </c>
      <c r="J1073" s="5">
        <v>46101</v>
      </c>
      <c r="K1073" s="5">
        <v>46104</v>
      </c>
      <c r="L1073" s="2" t="s">
        <v>865</v>
      </c>
      <c r="M1073" s="5">
        <v>45754</v>
      </c>
      <c r="N1073" s="3">
        <f>VLOOKUP(NavDataRegion[[#This Row],[Spool No]],[1]Sheet2!$B:$U,20,0)</f>
        <v>12.1988</v>
      </c>
      <c r="O1073" s="2">
        <v>9.75</v>
      </c>
      <c r="P1073" s="2">
        <v>0.75</v>
      </c>
      <c r="Q1073" s="2"/>
    </row>
    <row r="1074" spans="1:17" ht="20.100000000000001" customHeight="1">
      <c r="A1074" s="2" t="s">
        <v>9</v>
      </c>
      <c r="B1074" s="2" t="s">
        <v>1139</v>
      </c>
      <c r="C1074" s="2" t="s">
        <v>1546</v>
      </c>
      <c r="D1074" s="2" t="e">
        <f>VLOOKUP(C:C,Vlookup!A:A,1,0)</f>
        <v>#N/A</v>
      </c>
      <c r="E1074" s="2">
        <v>14</v>
      </c>
      <c r="F1074" s="17" t="s">
        <v>10</v>
      </c>
      <c r="G1074" s="17" t="s">
        <v>25</v>
      </c>
      <c r="H1074" s="2" t="s">
        <v>11</v>
      </c>
      <c r="I1074" s="2">
        <v>1</v>
      </c>
      <c r="J1074" s="5">
        <v>46101</v>
      </c>
      <c r="K1074" s="5">
        <v>46104</v>
      </c>
      <c r="L1074" s="2" t="s">
        <v>865</v>
      </c>
      <c r="M1074" s="5">
        <v>45754</v>
      </c>
      <c r="N1074" s="3">
        <f>VLOOKUP(NavDataRegion[[#This Row],[Spool No]],[1]Sheet2!$B:$U,20,0)</f>
        <v>3.3841999999999999</v>
      </c>
      <c r="O1074" s="2">
        <v>2.25</v>
      </c>
      <c r="P1074" s="2">
        <v>0.75</v>
      </c>
      <c r="Q1074" s="2"/>
    </row>
    <row r="1075" spans="1:17" ht="20.100000000000001" customHeight="1">
      <c r="A1075" s="2" t="s">
        <v>9</v>
      </c>
      <c r="B1075" s="2" t="s">
        <v>1141</v>
      </c>
      <c r="C1075" s="2" t="s">
        <v>1886</v>
      </c>
      <c r="D1075" s="2" t="e">
        <f>VLOOKUP(C:C,Vlookup!A:A,1,0)</f>
        <v>#N/A</v>
      </c>
      <c r="E1075" s="2">
        <v>14</v>
      </c>
      <c r="F1075" s="17" t="s">
        <v>10</v>
      </c>
      <c r="G1075" s="17" t="s">
        <v>25</v>
      </c>
      <c r="H1075" s="2" t="s">
        <v>11</v>
      </c>
      <c r="I1075" s="2">
        <v>1</v>
      </c>
      <c r="J1075" s="5">
        <v>46101</v>
      </c>
      <c r="K1075" s="5">
        <v>46104</v>
      </c>
      <c r="L1075" s="2" t="s">
        <v>865</v>
      </c>
      <c r="M1075" s="5">
        <v>45754</v>
      </c>
      <c r="N1075" s="3">
        <f>VLOOKUP(NavDataRegion[[#This Row],[Spool No]],[1]Sheet2!$B:$U,20,0)</f>
        <v>53.65616</v>
      </c>
      <c r="O1075" s="2">
        <v>8</v>
      </c>
      <c r="P1075" s="2">
        <v>2</v>
      </c>
      <c r="Q1075" s="2"/>
    </row>
    <row r="1076" spans="1:17" ht="20.100000000000001" customHeight="1">
      <c r="A1076" s="2" t="s">
        <v>9</v>
      </c>
      <c r="B1076" s="2" t="s">
        <v>1353</v>
      </c>
      <c r="C1076" s="2" t="s">
        <v>1354</v>
      </c>
      <c r="D1076" s="2" t="e">
        <f>VLOOKUP(C:C,Vlookup!A:A,1,0)</f>
        <v>#N/A</v>
      </c>
      <c r="E1076" s="2">
        <v>16</v>
      </c>
      <c r="F1076" s="17" t="s">
        <v>10</v>
      </c>
      <c r="G1076" s="17" t="s">
        <v>25</v>
      </c>
      <c r="H1076" s="2" t="s">
        <v>11</v>
      </c>
      <c r="I1076" s="2">
        <v>1</v>
      </c>
      <c r="J1076" s="5">
        <v>46108</v>
      </c>
      <c r="K1076" s="5">
        <v>46111</v>
      </c>
      <c r="L1076" s="2" t="s">
        <v>865</v>
      </c>
      <c r="M1076" s="5">
        <v>46167</v>
      </c>
      <c r="N1076" s="3">
        <f>VLOOKUP(NavDataRegion[[#This Row],[Spool No]],[1]Sheet2!$B:$U,20,0)</f>
        <v>3.2174200000000002</v>
      </c>
      <c r="O1076" s="2">
        <v>3</v>
      </c>
      <c r="P1076" s="2">
        <v>1.5</v>
      </c>
      <c r="Q1076" s="2"/>
    </row>
    <row r="1077" spans="1:17" ht="20.100000000000001" customHeight="1">
      <c r="A1077" s="2" t="s">
        <v>9</v>
      </c>
      <c r="B1077" s="2" t="s">
        <v>1355</v>
      </c>
      <c r="C1077" s="2" t="s">
        <v>1356</v>
      </c>
      <c r="D1077" s="2" t="e">
        <f>VLOOKUP(C:C,Vlookup!A:A,1,0)</f>
        <v>#N/A</v>
      </c>
      <c r="E1077" s="2">
        <v>14</v>
      </c>
      <c r="F1077" s="17" t="s">
        <v>10</v>
      </c>
      <c r="G1077" s="17" t="s">
        <v>25</v>
      </c>
      <c r="H1077" s="2" t="s">
        <v>11</v>
      </c>
      <c r="I1077" s="2">
        <v>1</v>
      </c>
      <c r="J1077" s="5">
        <v>46105</v>
      </c>
      <c r="K1077" s="5">
        <v>46106</v>
      </c>
      <c r="L1077" s="2" t="s">
        <v>865</v>
      </c>
      <c r="M1077" s="5">
        <v>45754</v>
      </c>
      <c r="N1077" s="3">
        <f>VLOOKUP(NavDataRegion[[#This Row],[Spool No]],[1]Sheet2!$B:$U,20,0)</f>
        <v>4.0397400000000001</v>
      </c>
      <c r="O1077" s="2">
        <v>3</v>
      </c>
      <c r="P1077" s="2">
        <v>1.5</v>
      </c>
      <c r="Q1077" s="2"/>
    </row>
    <row r="1078" spans="1:17" ht="20.100000000000001" customHeight="1">
      <c r="A1078" s="2" t="s">
        <v>9</v>
      </c>
      <c r="B1078" s="2" t="s">
        <v>947</v>
      </c>
      <c r="C1078" s="2" t="s">
        <v>1794</v>
      </c>
      <c r="D1078" s="2" t="e">
        <f>VLOOKUP(C:C,Vlookup!A:A,1,0)</f>
        <v>#N/A</v>
      </c>
      <c r="E1078" s="2">
        <v>14</v>
      </c>
      <c r="F1078" s="17" t="s">
        <v>10</v>
      </c>
      <c r="G1078" s="17" t="s">
        <v>25</v>
      </c>
      <c r="H1078" s="2" t="s">
        <v>11</v>
      </c>
      <c r="I1078" s="2">
        <v>1</v>
      </c>
      <c r="J1078" s="5">
        <v>46100</v>
      </c>
      <c r="K1078" s="5">
        <v>46101</v>
      </c>
      <c r="L1078" s="2" t="s">
        <v>865</v>
      </c>
      <c r="M1078" s="5">
        <v>45754</v>
      </c>
      <c r="N1078" s="3">
        <f>VLOOKUP(NavDataRegion[[#This Row],[Spool No]],[1]Sheet2!$B:$U,20,0)</f>
        <v>40.673499999999997</v>
      </c>
      <c r="O1078" s="2">
        <v>9</v>
      </c>
      <c r="P1078" s="2">
        <v>1.5</v>
      </c>
      <c r="Q1078" s="2"/>
    </row>
    <row r="1079" spans="1:17" ht="20.100000000000001" customHeight="1">
      <c r="A1079" s="2" t="s">
        <v>9</v>
      </c>
      <c r="B1079" s="2" t="s">
        <v>921</v>
      </c>
      <c r="C1079" s="2" t="s">
        <v>1468</v>
      </c>
      <c r="D1079" s="2" t="e">
        <f>VLOOKUP(C:C,Vlookup!A:A,1,0)</f>
        <v>#N/A</v>
      </c>
      <c r="E1079" s="2">
        <v>14</v>
      </c>
      <c r="F1079" s="17" t="s">
        <v>10</v>
      </c>
      <c r="G1079" s="17" t="s">
        <v>281</v>
      </c>
      <c r="H1079" s="2" t="s">
        <v>11</v>
      </c>
      <c r="I1079" s="2">
        <v>1</v>
      </c>
      <c r="J1079" s="5">
        <v>46105</v>
      </c>
      <c r="K1079" s="5">
        <v>46106</v>
      </c>
      <c r="L1079" s="2" t="s">
        <v>865</v>
      </c>
      <c r="M1079" s="5">
        <v>45754</v>
      </c>
      <c r="N1079" s="3">
        <f>VLOOKUP(NavDataRegion[[#This Row],[Spool No]],[1]Sheet2!$B:$U,20,0)</f>
        <v>65.733080000000001</v>
      </c>
      <c r="O1079" s="2">
        <v>6</v>
      </c>
      <c r="P1079" s="2">
        <v>1.5</v>
      </c>
      <c r="Q1079" s="2"/>
    </row>
    <row r="1080" spans="1:17" ht="20.100000000000001" customHeight="1">
      <c r="A1080" s="2" t="s">
        <v>9</v>
      </c>
      <c r="B1080" s="2" t="s">
        <v>947</v>
      </c>
      <c r="C1080" s="2" t="s">
        <v>1480</v>
      </c>
      <c r="D1080" s="2" t="e">
        <f>VLOOKUP(C:C,Vlookup!A:A,1,0)</f>
        <v>#N/A</v>
      </c>
      <c r="E1080" s="2">
        <v>16</v>
      </c>
      <c r="F1080" s="17" t="s">
        <v>10</v>
      </c>
      <c r="G1080" s="17" t="s">
        <v>25</v>
      </c>
      <c r="H1080" s="2" t="s">
        <v>11</v>
      </c>
      <c r="I1080" s="2">
        <v>1</v>
      </c>
      <c r="J1080" s="5">
        <v>46107</v>
      </c>
      <c r="K1080" s="5">
        <v>46111</v>
      </c>
      <c r="L1080" s="2" t="s">
        <v>865</v>
      </c>
      <c r="M1080" s="5">
        <v>46167</v>
      </c>
      <c r="N1080" s="3">
        <f>VLOOKUP(NavDataRegion[[#This Row],[Spool No]],[1]Sheet2!$B:$U,20,0)</f>
        <v>131.69049999999999</v>
      </c>
      <c r="O1080" s="2">
        <v>16.5</v>
      </c>
      <c r="P1080" s="2">
        <v>1.5</v>
      </c>
      <c r="Q1080" s="2"/>
    </row>
    <row r="1081" spans="1:17" ht="20.100000000000001" customHeight="1">
      <c r="A1081" s="2" t="s">
        <v>9</v>
      </c>
      <c r="B1081" s="2" t="s">
        <v>1381</v>
      </c>
      <c r="C1081" s="2" t="s">
        <v>1382</v>
      </c>
      <c r="D1081" s="2" t="e">
        <f>VLOOKUP(C:C,Vlookup!A:A,1,0)</f>
        <v>#N/A</v>
      </c>
      <c r="E1081" s="2">
        <v>16</v>
      </c>
      <c r="F1081" s="17" t="s">
        <v>10</v>
      </c>
      <c r="G1081" s="17" t="s">
        <v>25</v>
      </c>
      <c r="H1081" s="2" t="s">
        <v>11</v>
      </c>
      <c r="I1081" s="2">
        <v>1</v>
      </c>
      <c r="J1081" s="5">
        <v>46106</v>
      </c>
      <c r="K1081" s="5">
        <v>46108</v>
      </c>
      <c r="L1081" s="2" t="s">
        <v>865</v>
      </c>
      <c r="M1081" s="5">
        <v>46167</v>
      </c>
      <c r="N1081" s="3">
        <f>VLOOKUP(NavDataRegion[[#This Row],[Spool No]],[1]Sheet2!$B:$U,20,0)</f>
        <v>12.90992</v>
      </c>
      <c r="O1081" s="2">
        <v>10</v>
      </c>
      <c r="P1081" s="2">
        <v>1</v>
      </c>
      <c r="Q1081" s="2"/>
    </row>
    <row r="1082" spans="1:17" ht="20.100000000000001" customHeight="1">
      <c r="A1082" s="2" t="s">
        <v>9</v>
      </c>
      <c r="B1082" s="2" t="s">
        <v>1353</v>
      </c>
      <c r="C1082" s="2" t="s">
        <v>1628</v>
      </c>
      <c r="D1082" s="2" t="e">
        <f>VLOOKUP(C:C,Vlookup!A:A,1,0)</f>
        <v>#N/A</v>
      </c>
      <c r="E1082" s="2">
        <v>14</v>
      </c>
      <c r="F1082" s="17" t="s">
        <v>10</v>
      </c>
      <c r="G1082" s="17" t="s">
        <v>25</v>
      </c>
      <c r="H1082" s="2" t="s">
        <v>11</v>
      </c>
      <c r="I1082" s="2">
        <v>1</v>
      </c>
      <c r="J1082" s="5">
        <v>46105</v>
      </c>
      <c r="K1082" s="5">
        <v>46106</v>
      </c>
      <c r="L1082" s="2" t="s">
        <v>865</v>
      </c>
      <c r="M1082" s="5">
        <v>45754</v>
      </c>
      <c r="N1082" s="3">
        <f>VLOOKUP(NavDataRegion[[#This Row],[Spool No]],[1]Sheet2!$B:$U,20,0)</f>
        <v>6.2914300000000001</v>
      </c>
      <c r="O1082" s="2">
        <v>4.5</v>
      </c>
      <c r="P1082" s="2">
        <v>1.5</v>
      </c>
      <c r="Q1082" s="2"/>
    </row>
    <row r="1083" spans="1:17" ht="20.100000000000001" customHeight="1">
      <c r="A1083" s="2" t="s">
        <v>9</v>
      </c>
      <c r="B1083" s="2" t="s">
        <v>1355</v>
      </c>
      <c r="C1083" s="2" t="s">
        <v>1629</v>
      </c>
      <c r="D1083" s="2" t="e">
        <f>VLOOKUP(C:C,Vlookup!A:A,1,0)</f>
        <v>#N/A</v>
      </c>
      <c r="E1083" s="2">
        <v>14</v>
      </c>
      <c r="F1083" s="17" t="s">
        <v>10</v>
      </c>
      <c r="G1083" s="17" t="s">
        <v>25</v>
      </c>
      <c r="H1083" s="2" t="s">
        <v>11</v>
      </c>
      <c r="I1083" s="2">
        <v>1</v>
      </c>
      <c r="J1083" s="5">
        <v>46105</v>
      </c>
      <c r="K1083" s="5">
        <v>46106</v>
      </c>
      <c r="L1083" s="2" t="s">
        <v>865</v>
      </c>
      <c r="M1083" s="5">
        <v>45754</v>
      </c>
      <c r="N1083" s="3">
        <f>VLOOKUP(NavDataRegion[[#This Row],[Spool No]],[1]Sheet2!$B:$U,20,0)</f>
        <v>10.27319</v>
      </c>
      <c r="O1083" s="2">
        <v>4.5</v>
      </c>
      <c r="P1083" s="2">
        <v>1.5</v>
      </c>
      <c r="Q1083" s="2"/>
    </row>
    <row r="1084" spans="1:17" ht="20.100000000000001" customHeight="1">
      <c r="A1084" s="2" t="s">
        <v>9</v>
      </c>
      <c r="B1084" s="2" t="s">
        <v>1357</v>
      </c>
      <c r="C1084" s="2" t="s">
        <v>1358</v>
      </c>
      <c r="D1084" s="2" t="e">
        <f>VLOOKUP(C:C,Vlookup!A:A,1,0)</f>
        <v>#N/A</v>
      </c>
      <c r="E1084" s="2">
        <v>14</v>
      </c>
      <c r="F1084" s="17" t="s">
        <v>10</v>
      </c>
      <c r="G1084" s="17" t="s">
        <v>25</v>
      </c>
      <c r="H1084" s="2" t="s">
        <v>11</v>
      </c>
      <c r="I1084" s="2">
        <v>1</v>
      </c>
      <c r="J1084" s="5">
        <v>46100</v>
      </c>
      <c r="K1084" s="5">
        <v>46101</v>
      </c>
      <c r="L1084" s="2" t="s">
        <v>865</v>
      </c>
      <c r="M1084" s="5">
        <v>45754</v>
      </c>
      <c r="N1084" s="3">
        <f>VLOOKUP(NavDataRegion[[#This Row],[Spool No]],[1]Sheet2!$B:$U,20,0)</f>
        <v>3.7938399999999999</v>
      </c>
      <c r="O1084" s="2">
        <v>3</v>
      </c>
      <c r="P1084" s="2">
        <v>1.5</v>
      </c>
      <c r="Q1084" s="2"/>
    </row>
    <row r="1085" spans="1:17" ht="20.100000000000001" customHeight="1">
      <c r="A1085" s="2" t="s">
        <v>9</v>
      </c>
      <c r="B1085" s="2" t="s">
        <v>1149</v>
      </c>
      <c r="C1085" s="2" t="s">
        <v>1820</v>
      </c>
      <c r="D1085" s="2" t="e">
        <f>VLOOKUP(C:C,Vlookup!A:A,1,0)</f>
        <v>#N/A</v>
      </c>
      <c r="E1085" s="2">
        <v>14</v>
      </c>
      <c r="F1085" s="17" t="s">
        <v>10</v>
      </c>
      <c r="G1085" s="17" t="s">
        <v>25</v>
      </c>
      <c r="H1085" s="2" t="s">
        <v>11</v>
      </c>
      <c r="I1085" s="2">
        <v>1</v>
      </c>
      <c r="J1085" s="5">
        <v>46101</v>
      </c>
      <c r="K1085" s="5">
        <v>46104</v>
      </c>
      <c r="L1085" s="2" t="s">
        <v>865</v>
      </c>
      <c r="M1085" s="5">
        <v>45754</v>
      </c>
      <c r="N1085" s="3">
        <f>VLOOKUP(NavDataRegion[[#This Row],[Spool No]],[1]Sheet2!$B:$U,20,0)</f>
        <v>33.548000000000002</v>
      </c>
      <c r="O1085" s="2">
        <v>2</v>
      </c>
      <c r="P1085" s="2">
        <v>2</v>
      </c>
      <c r="Q1085" s="2"/>
    </row>
    <row r="1086" spans="1:17" ht="20.100000000000001" customHeight="1">
      <c r="A1086" s="2" t="s">
        <v>9</v>
      </c>
      <c r="B1086" s="2" t="s">
        <v>1175</v>
      </c>
      <c r="C1086" s="2" t="s">
        <v>1176</v>
      </c>
      <c r="D1086" s="2" t="e">
        <f>VLOOKUP(C:C,Vlookup!A:A,1,0)</f>
        <v>#N/A</v>
      </c>
      <c r="E1086" s="2">
        <v>14</v>
      </c>
      <c r="F1086" s="17" t="s">
        <v>10</v>
      </c>
      <c r="G1086" s="17" t="s">
        <v>25</v>
      </c>
      <c r="H1086" s="2" t="s">
        <v>11</v>
      </c>
      <c r="I1086" s="2">
        <v>1</v>
      </c>
      <c r="J1086" s="5">
        <v>46101</v>
      </c>
      <c r="K1086" s="5">
        <v>46104</v>
      </c>
      <c r="L1086" s="2" t="s">
        <v>865</v>
      </c>
      <c r="M1086" s="5">
        <v>45754</v>
      </c>
      <c r="N1086" s="3">
        <f>VLOOKUP(NavDataRegion[[#This Row],[Spool No]],[1]Sheet2!$B:$U,20,0)</f>
        <v>105.96675999999999</v>
      </c>
      <c r="O1086" s="2">
        <v>26</v>
      </c>
      <c r="P1086" s="2">
        <v>2</v>
      </c>
      <c r="Q1086" s="2"/>
    </row>
    <row r="1087" spans="1:17" ht="20.100000000000001" customHeight="1">
      <c r="A1087" s="2" t="s">
        <v>9</v>
      </c>
      <c r="B1087" s="2" t="s">
        <v>1393</v>
      </c>
      <c r="C1087" s="2" t="s">
        <v>1394</v>
      </c>
      <c r="D1087" s="2" t="e">
        <f>VLOOKUP(C:C,Vlookup!A:A,1,0)</f>
        <v>#N/A</v>
      </c>
      <c r="E1087" s="2">
        <v>16</v>
      </c>
      <c r="F1087" s="17" t="s">
        <v>10</v>
      </c>
      <c r="G1087" s="17" t="s">
        <v>25</v>
      </c>
      <c r="H1087" s="2" t="s">
        <v>11</v>
      </c>
      <c r="I1087" s="2">
        <v>1</v>
      </c>
      <c r="J1087" s="5">
        <v>46105</v>
      </c>
      <c r="K1087" s="5">
        <v>46108</v>
      </c>
      <c r="L1087" s="2" t="s">
        <v>865</v>
      </c>
      <c r="M1087" s="5">
        <v>46167</v>
      </c>
      <c r="N1087" s="3">
        <f>VLOOKUP(NavDataRegion[[#This Row],[Spool No]],[1]Sheet2!$B:$U,20,0)</f>
        <v>20.21856</v>
      </c>
      <c r="O1087" s="2">
        <v>4</v>
      </c>
      <c r="P1087" s="2">
        <v>1</v>
      </c>
      <c r="Q1087" s="2"/>
    </row>
    <row r="1088" spans="1:17" ht="20.100000000000001" customHeight="1">
      <c r="A1088" s="2" t="s">
        <v>9</v>
      </c>
      <c r="B1088" s="2" t="s">
        <v>1395</v>
      </c>
      <c r="C1088" s="2" t="s">
        <v>1635</v>
      </c>
      <c r="D1088" s="2" t="e">
        <f>VLOOKUP(C:C,Vlookup!A:A,1,0)</f>
        <v>#N/A</v>
      </c>
      <c r="E1088" s="2">
        <v>16</v>
      </c>
      <c r="F1088" s="17" t="s">
        <v>10</v>
      </c>
      <c r="G1088" s="17" t="s">
        <v>25</v>
      </c>
      <c r="H1088" s="2" t="s">
        <v>11</v>
      </c>
      <c r="I1088" s="2">
        <v>1</v>
      </c>
      <c r="J1088" s="5">
        <v>46105</v>
      </c>
      <c r="K1088" s="5">
        <v>46108</v>
      </c>
      <c r="L1088" s="2" t="s">
        <v>865</v>
      </c>
      <c r="M1088" s="5">
        <v>46167</v>
      </c>
      <c r="N1088" s="3">
        <f>VLOOKUP(NavDataRegion[[#This Row],[Spool No]],[1]Sheet2!$B:$U,20,0)</f>
        <v>19.82376</v>
      </c>
      <c r="O1088" s="2">
        <v>2</v>
      </c>
      <c r="P1088" s="2">
        <v>1</v>
      </c>
      <c r="Q1088" s="2"/>
    </row>
    <row r="1089" spans="1:17" ht="20.100000000000001" customHeight="1">
      <c r="A1089" s="2" t="s">
        <v>9</v>
      </c>
      <c r="B1089" s="2" t="s">
        <v>921</v>
      </c>
      <c r="C1089" s="2" t="s">
        <v>1785</v>
      </c>
      <c r="D1089" s="2" t="e">
        <f>VLOOKUP(C:C,Vlookup!A:A,1,0)</f>
        <v>#N/A</v>
      </c>
      <c r="E1089" s="2">
        <v>14</v>
      </c>
      <c r="F1089" s="17" t="s">
        <v>10</v>
      </c>
      <c r="G1089" s="17" t="s">
        <v>281</v>
      </c>
      <c r="H1089" s="2" t="s">
        <v>11</v>
      </c>
      <c r="I1089" s="2">
        <v>1</v>
      </c>
      <c r="J1089" s="5">
        <v>46105</v>
      </c>
      <c r="K1089" s="5">
        <v>46106</v>
      </c>
      <c r="L1089" s="2" t="s">
        <v>865</v>
      </c>
      <c r="M1089" s="5">
        <v>45754</v>
      </c>
      <c r="N1089" s="3">
        <f>VLOOKUP(NavDataRegion[[#This Row],[Spool No]],[1]Sheet2!$B:$U,20,0)</f>
        <v>36.741079999999997</v>
      </c>
      <c r="O1089" s="2">
        <v>3</v>
      </c>
      <c r="P1089" s="2">
        <v>1.5</v>
      </c>
      <c r="Q1089" s="2"/>
    </row>
    <row r="1090" spans="1:17" ht="20.100000000000001" customHeight="1">
      <c r="A1090" s="2" t="s">
        <v>9</v>
      </c>
      <c r="B1090" s="2" t="s">
        <v>1357</v>
      </c>
      <c r="C1090" s="2" t="s">
        <v>1630</v>
      </c>
      <c r="D1090" s="2" t="e">
        <f>VLOOKUP(C:C,Vlookup!A:A,1,0)</f>
        <v>#N/A</v>
      </c>
      <c r="E1090" s="2">
        <v>14</v>
      </c>
      <c r="F1090" s="17" t="s">
        <v>10</v>
      </c>
      <c r="G1090" s="17" t="s">
        <v>25</v>
      </c>
      <c r="H1090" s="2" t="s">
        <v>11</v>
      </c>
      <c r="I1090" s="2">
        <v>1</v>
      </c>
      <c r="J1090" s="5">
        <v>46100</v>
      </c>
      <c r="K1090" s="5">
        <v>46101</v>
      </c>
      <c r="L1090" s="2" t="s">
        <v>865</v>
      </c>
      <c r="M1090" s="5">
        <v>45754</v>
      </c>
      <c r="N1090" s="3">
        <f>VLOOKUP(NavDataRegion[[#This Row],[Spool No]],[1]Sheet2!$B:$U,20,0)</f>
        <v>28.80057</v>
      </c>
      <c r="O1090" s="2">
        <v>10.5</v>
      </c>
      <c r="P1090" s="2">
        <v>1.5</v>
      </c>
      <c r="Q1090" s="2"/>
    </row>
    <row r="1091" spans="1:17" ht="20.100000000000001" customHeight="1">
      <c r="A1091" s="2" t="s">
        <v>9</v>
      </c>
      <c r="B1091" s="2" t="s">
        <v>921</v>
      </c>
      <c r="C1091" s="2" t="s">
        <v>1867</v>
      </c>
      <c r="D1091" s="2" t="e">
        <f>VLOOKUP(C:C,Vlookup!A:A,1,0)</f>
        <v>#N/A</v>
      </c>
      <c r="E1091" s="2">
        <v>14</v>
      </c>
      <c r="F1091" s="17" t="s">
        <v>10</v>
      </c>
      <c r="G1091" s="17" t="s">
        <v>281</v>
      </c>
      <c r="H1091" s="2" t="s">
        <v>11</v>
      </c>
      <c r="I1091" s="2">
        <v>1</v>
      </c>
      <c r="J1091" s="5">
        <v>46105</v>
      </c>
      <c r="K1091" s="5">
        <v>46106</v>
      </c>
      <c r="L1091" s="2" t="s">
        <v>865</v>
      </c>
      <c r="M1091" s="5">
        <v>45754</v>
      </c>
      <c r="N1091" s="3">
        <f>VLOOKUP(NavDataRegion[[#This Row],[Spool No]],[1]Sheet2!$B:$U,20,0)</f>
        <v>21.560690000000001</v>
      </c>
      <c r="O1091" s="2">
        <v>9</v>
      </c>
      <c r="P1091" s="2">
        <v>1.5</v>
      </c>
      <c r="Q1091" s="2"/>
    </row>
    <row r="1092" spans="1:17" ht="20.100000000000001" customHeight="1">
      <c r="A1092" s="2" t="s">
        <v>9</v>
      </c>
      <c r="B1092" s="2" t="s">
        <v>947</v>
      </c>
      <c r="C1092" s="2" t="s">
        <v>1874</v>
      </c>
      <c r="D1092" s="2" t="e">
        <f>VLOOKUP(C:C,Vlookup!A:A,1,0)</f>
        <v>#N/A</v>
      </c>
      <c r="E1092" s="2">
        <v>14</v>
      </c>
      <c r="F1092" s="17" t="s">
        <v>10</v>
      </c>
      <c r="G1092" s="17" t="s">
        <v>25</v>
      </c>
      <c r="H1092" s="2" t="s">
        <v>11</v>
      </c>
      <c r="I1092" s="2">
        <v>1</v>
      </c>
      <c r="J1092" s="5">
        <v>46106</v>
      </c>
      <c r="K1092" s="5">
        <v>46106</v>
      </c>
      <c r="L1092" s="2" t="s">
        <v>865</v>
      </c>
      <c r="M1092" s="5">
        <v>45754</v>
      </c>
      <c r="N1092" s="3">
        <f>VLOOKUP(NavDataRegion[[#This Row],[Spool No]],[1]Sheet2!$B:$U,20,0)</f>
        <v>53.632249999999999</v>
      </c>
      <c r="O1092" s="2">
        <v>13.5</v>
      </c>
      <c r="P1092" s="2">
        <v>1.5</v>
      </c>
      <c r="Q1092" s="2"/>
    </row>
    <row r="1093" spans="1:17" ht="20.100000000000001" customHeight="1">
      <c r="A1093" s="2" t="s">
        <v>9</v>
      </c>
      <c r="B1093" s="2" t="s">
        <v>903</v>
      </c>
      <c r="C1093" s="2" t="s">
        <v>904</v>
      </c>
      <c r="D1093" s="2" t="e">
        <f>VLOOKUP(C:C,Vlookup!A:A,1,0)</f>
        <v>#N/A</v>
      </c>
      <c r="E1093" s="2">
        <v>14</v>
      </c>
      <c r="F1093" s="17" t="s">
        <v>10</v>
      </c>
      <c r="G1093" s="17" t="s">
        <v>281</v>
      </c>
      <c r="H1093" s="2" t="s">
        <v>11</v>
      </c>
      <c r="I1093" s="2">
        <v>1</v>
      </c>
      <c r="J1093" s="5">
        <v>46105</v>
      </c>
      <c r="K1093" s="5">
        <v>46106</v>
      </c>
      <c r="L1093" s="2" t="s">
        <v>865</v>
      </c>
      <c r="M1093" s="5">
        <v>45754</v>
      </c>
      <c r="N1093" s="3">
        <f>VLOOKUP(NavDataRegion[[#This Row],[Spool No]],[1]Sheet2!$B:$U,20,0)</f>
        <v>31.180679999999999</v>
      </c>
      <c r="O1093" s="2">
        <v>8</v>
      </c>
      <c r="P1093" s="2">
        <v>2</v>
      </c>
      <c r="Q1093" s="2"/>
    </row>
    <row r="1094" spans="1:17" ht="20.100000000000001" customHeight="1">
      <c r="A1094" s="2" t="s">
        <v>9</v>
      </c>
      <c r="B1094" s="2" t="s">
        <v>1183</v>
      </c>
      <c r="C1094" s="2" t="s">
        <v>1564</v>
      </c>
      <c r="D1094" s="2" t="e">
        <f>VLOOKUP(C:C,Vlookup!A:A,1,0)</f>
        <v>#N/A</v>
      </c>
      <c r="E1094" s="2">
        <v>14</v>
      </c>
      <c r="F1094" s="17" t="s">
        <v>10</v>
      </c>
      <c r="G1094" s="17" t="s">
        <v>25</v>
      </c>
      <c r="H1094" s="2" t="s">
        <v>11</v>
      </c>
      <c r="I1094" s="2">
        <v>1</v>
      </c>
      <c r="J1094" s="5">
        <v>46101</v>
      </c>
      <c r="K1094" s="5">
        <v>46104</v>
      </c>
      <c r="L1094" s="2" t="s">
        <v>865</v>
      </c>
      <c r="M1094" s="5">
        <v>45754</v>
      </c>
      <c r="N1094" s="3">
        <f>VLOOKUP(NavDataRegion[[#This Row],[Spool No]],[1]Sheet2!$B:$U,20,0)</f>
        <v>3.4436</v>
      </c>
      <c r="O1094" s="2">
        <v>2.25</v>
      </c>
      <c r="P1094" s="2">
        <v>0.75</v>
      </c>
      <c r="Q1094" s="2"/>
    </row>
    <row r="1095" spans="1:17" ht="20.100000000000001" customHeight="1">
      <c r="A1095" s="2" t="s">
        <v>9</v>
      </c>
      <c r="B1095" s="2" t="s">
        <v>969</v>
      </c>
      <c r="C1095" s="2" t="s">
        <v>970</v>
      </c>
      <c r="D1095" s="2" t="e">
        <f>VLOOKUP(C:C,Vlookup!A:A,1,0)</f>
        <v>#N/A</v>
      </c>
      <c r="E1095" s="2">
        <v>23</v>
      </c>
      <c r="F1095" s="17" t="s">
        <v>10</v>
      </c>
      <c r="G1095" s="17" t="s">
        <v>25</v>
      </c>
      <c r="H1095" s="2" t="s">
        <v>11</v>
      </c>
      <c r="I1095" s="2">
        <v>1</v>
      </c>
      <c r="J1095" s="5">
        <v>46170</v>
      </c>
      <c r="K1095" s="5">
        <v>46175</v>
      </c>
      <c r="L1095" s="2" t="s">
        <v>865</v>
      </c>
      <c r="M1095" s="5">
        <v>46185</v>
      </c>
      <c r="N1095" s="3">
        <f>VLOOKUP(NavDataRegion[[#This Row],[Spool No]],[1]Sheet2!$B:$U,20,0)</f>
        <v>125.48316</v>
      </c>
      <c r="O1095" s="2">
        <v>26</v>
      </c>
      <c r="P1095" s="2">
        <v>2</v>
      </c>
      <c r="Q1095" s="2"/>
    </row>
    <row r="1096" spans="1:17" ht="20.100000000000001" customHeight="1">
      <c r="A1096" s="2" t="s">
        <v>9</v>
      </c>
      <c r="B1096" s="2" t="s">
        <v>979</v>
      </c>
      <c r="C1096" s="2" t="s">
        <v>980</v>
      </c>
      <c r="D1096" s="2" t="e">
        <f>VLOOKUP(C:C,Vlookup!A:A,1,0)</f>
        <v>#N/A</v>
      </c>
      <c r="E1096" s="2">
        <v>23</v>
      </c>
      <c r="F1096" s="17" t="s">
        <v>10</v>
      </c>
      <c r="G1096" s="17" t="s">
        <v>25</v>
      </c>
      <c r="H1096" s="2" t="s">
        <v>11</v>
      </c>
      <c r="I1096" s="2">
        <v>1</v>
      </c>
      <c r="J1096" s="5">
        <v>46169</v>
      </c>
      <c r="K1096" s="5">
        <v>46170</v>
      </c>
      <c r="L1096" s="2" t="s">
        <v>865</v>
      </c>
      <c r="M1096" s="5">
        <v>46185</v>
      </c>
      <c r="N1096" s="3">
        <f>VLOOKUP(NavDataRegion[[#This Row],[Spool No]],[1]Sheet2!$B:$U,20,0)</f>
        <v>126.03591</v>
      </c>
      <c r="O1096" s="2">
        <v>24</v>
      </c>
      <c r="P1096" s="2">
        <v>2</v>
      </c>
      <c r="Q1096" s="2"/>
    </row>
    <row r="1097" spans="1:17" ht="20.100000000000001" customHeight="1">
      <c r="A1097" s="2" t="s">
        <v>9</v>
      </c>
      <c r="B1097" s="2" t="s">
        <v>1015</v>
      </c>
      <c r="C1097" s="2" t="s">
        <v>1016</v>
      </c>
      <c r="D1097" s="2" t="e">
        <f>VLOOKUP(C:C,Vlookup!A:A,1,0)</f>
        <v>#N/A</v>
      </c>
      <c r="E1097" s="2">
        <v>23</v>
      </c>
      <c r="F1097" s="17" t="s">
        <v>10</v>
      </c>
      <c r="G1097" s="17" t="s">
        <v>25</v>
      </c>
      <c r="H1097" s="2" t="s">
        <v>11</v>
      </c>
      <c r="I1097" s="2">
        <v>1</v>
      </c>
      <c r="J1097" s="5">
        <v>46169</v>
      </c>
      <c r="K1097" s="5">
        <v>46170</v>
      </c>
      <c r="L1097" s="2" t="s">
        <v>865</v>
      </c>
      <c r="M1097" s="5">
        <v>46185</v>
      </c>
      <c r="N1097" s="3">
        <f>VLOOKUP(NavDataRegion[[#This Row],[Spool No]],[1]Sheet2!$B:$U,20,0)</f>
        <v>162.12450000000001</v>
      </c>
      <c r="O1097" s="2">
        <v>34</v>
      </c>
      <c r="P1097" s="2">
        <v>2</v>
      </c>
      <c r="Q1097" s="2"/>
    </row>
    <row r="1098" spans="1:17" ht="20.100000000000001" customHeight="1">
      <c r="A1098" s="2" t="s">
        <v>9</v>
      </c>
      <c r="B1098" s="2" t="s">
        <v>1055</v>
      </c>
      <c r="C1098" s="2" t="s">
        <v>1056</v>
      </c>
      <c r="D1098" s="2" t="e">
        <f>VLOOKUP(C:C,Vlookup!A:A,1,0)</f>
        <v>#N/A</v>
      </c>
      <c r="E1098" s="2">
        <v>23</v>
      </c>
      <c r="F1098" s="17" t="s">
        <v>10</v>
      </c>
      <c r="G1098" s="17" t="s">
        <v>25</v>
      </c>
      <c r="H1098" s="2" t="s">
        <v>11</v>
      </c>
      <c r="I1098" s="2">
        <v>1</v>
      </c>
      <c r="J1098" s="5">
        <v>46169</v>
      </c>
      <c r="K1098" s="5">
        <v>46170</v>
      </c>
      <c r="L1098" s="2" t="s">
        <v>865</v>
      </c>
      <c r="M1098" s="5">
        <v>46185</v>
      </c>
      <c r="N1098" s="3">
        <f>VLOOKUP(NavDataRegion[[#This Row],[Spool No]],[1]Sheet2!$B:$U,20,0)</f>
        <v>134.29552000000001</v>
      </c>
      <c r="O1098" s="2">
        <v>14</v>
      </c>
      <c r="P1098" s="2">
        <v>2</v>
      </c>
      <c r="Q1098" s="2"/>
    </row>
    <row r="1099" spans="1:17" ht="20.100000000000001" customHeight="1">
      <c r="A1099" s="2" t="s">
        <v>9</v>
      </c>
      <c r="B1099" s="2" t="s">
        <v>1395</v>
      </c>
      <c r="C1099" s="2" t="s">
        <v>1775</v>
      </c>
      <c r="D1099" s="2" t="e">
        <f>VLOOKUP(C:C,Vlookup!A:A,1,0)</f>
        <v>#N/A</v>
      </c>
      <c r="E1099" s="2">
        <v>16</v>
      </c>
      <c r="F1099" s="17" t="s">
        <v>10</v>
      </c>
      <c r="G1099" s="17" t="s">
        <v>25</v>
      </c>
      <c r="H1099" s="2" t="s">
        <v>11</v>
      </c>
      <c r="I1099" s="2">
        <v>1</v>
      </c>
      <c r="J1099" s="5">
        <v>46105</v>
      </c>
      <c r="K1099" s="5">
        <v>46108</v>
      </c>
      <c r="L1099" s="2" t="s">
        <v>865</v>
      </c>
      <c r="M1099" s="5">
        <v>46167</v>
      </c>
      <c r="N1099" s="3">
        <f>VLOOKUP(NavDataRegion[[#This Row],[Spool No]],[1]Sheet2!$B:$U,20,0)</f>
        <v>10.96824</v>
      </c>
      <c r="O1099" s="2">
        <v>3</v>
      </c>
      <c r="P1099" s="2">
        <v>1</v>
      </c>
      <c r="Q1099" s="2"/>
    </row>
    <row r="1100" spans="1:17" ht="20.100000000000001" customHeight="1">
      <c r="A1100" s="2" t="s">
        <v>9</v>
      </c>
      <c r="B1100" s="2" t="s">
        <v>1205</v>
      </c>
      <c r="C1100" s="2" t="s">
        <v>1206</v>
      </c>
      <c r="D1100" s="2" t="e">
        <f>VLOOKUP(C:C,Vlookup!A:A,1,0)</f>
        <v>#N/A</v>
      </c>
      <c r="E1100" s="2">
        <v>14</v>
      </c>
      <c r="F1100" s="17" t="s">
        <v>10</v>
      </c>
      <c r="G1100" s="17" t="s">
        <v>25</v>
      </c>
      <c r="H1100" s="2" t="s">
        <v>11</v>
      </c>
      <c r="I1100" s="2">
        <v>1</v>
      </c>
      <c r="J1100" s="5">
        <v>46101</v>
      </c>
      <c r="K1100" s="5">
        <v>46104</v>
      </c>
      <c r="L1100" s="2" t="s">
        <v>865</v>
      </c>
      <c r="M1100" s="5">
        <v>45754</v>
      </c>
      <c r="N1100" s="3">
        <f>VLOOKUP(NavDataRegion[[#This Row],[Spool No]],[1]Sheet2!$B:$U,20,0)</f>
        <v>5.9118000000000004</v>
      </c>
      <c r="O1100" s="2">
        <v>3.75</v>
      </c>
      <c r="P1100" s="2">
        <v>0.75</v>
      </c>
      <c r="Q1100" s="2"/>
    </row>
    <row r="1101" spans="1:17" ht="20.100000000000001" customHeight="1">
      <c r="A1101" s="2" t="s">
        <v>9</v>
      </c>
      <c r="B1101" s="2" t="s">
        <v>1073</v>
      </c>
      <c r="C1101" s="2" t="s">
        <v>1074</v>
      </c>
      <c r="D1101" s="2" t="e">
        <f>VLOOKUP(C:C,Vlookup!A:A,1,0)</f>
        <v>#N/A</v>
      </c>
      <c r="E1101" s="2">
        <v>16</v>
      </c>
      <c r="F1101" s="17" t="s">
        <v>10</v>
      </c>
      <c r="G1101" s="17" t="s">
        <v>25</v>
      </c>
      <c r="H1101" s="2" t="s">
        <v>11</v>
      </c>
      <c r="I1101" s="2">
        <v>1</v>
      </c>
      <c r="J1101" s="5">
        <v>46115</v>
      </c>
      <c r="K1101" s="5">
        <v>46118</v>
      </c>
      <c r="L1101" s="2" t="s">
        <v>865</v>
      </c>
      <c r="M1101" s="5">
        <v>46167</v>
      </c>
      <c r="N1101" s="3">
        <f>VLOOKUP(NavDataRegion[[#This Row],[Spool No]],[1]Sheet2!$B:$U,20,0)</f>
        <v>72.257679999999993</v>
      </c>
      <c r="O1101" s="2">
        <v>14</v>
      </c>
      <c r="P1101" s="2">
        <v>2</v>
      </c>
      <c r="Q1101" s="2"/>
    </row>
    <row r="1102" spans="1:17" ht="20.100000000000001" customHeight="1">
      <c r="A1102" s="2" t="s">
        <v>9</v>
      </c>
      <c r="B1102" s="2" t="s">
        <v>1087</v>
      </c>
      <c r="C1102" s="2" t="s">
        <v>1088</v>
      </c>
      <c r="D1102" s="2" t="e">
        <f>VLOOKUP(C:C,Vlookup!A:A,1,0)</f>
        <v>#N/A</v>
      </c>
      <c r="E1102" s="2">
        <v>23</v>
      </c>
      <c r="F1102" s="17" t="s">
        <v>10</v>
      </c>
      <c r="G1102" s="17" t="s">
        <v>25</v>
      </c>
      <c r="H1102" s="2" t="s">
        <v>11</v>
      </c>
      <c r="I1102" s="2">
        <v>1</v>
      </c>
      <c r="J1102" s="5">
        <v>46169</v>
      </c>
      <c r="K1102" s="5">
        <v>46170</v>
      </c>
      <c r="L1102" s="2" t="s">
        <v>865</v>
      </c>
      <c r="M1102" s="5">
        <v>46185</v>
      </c>
      <c r="N1102" s="3">
        <f>VLOOKUP(NavDataRegion[[#This Row],[Spool No]],[1]Sheet2!$B:$U,20,0)</f>
        <v>84.283559999999994</v>
      </c>
      <c r="O1102" s="2">
        <v>14</v>
      </c>
      <c r="P1102" s="2">
        <v>2</v>
      </c>
      <c r="Q1102" s="2"/>
    </row>
    <row r="1103" spans="1:17" ht="20.100000000000001" customHeight="1">
      <c r="A1103" s="2" t="s">
        <v>9</v>
      </c>
      <c r="B1103" s="2" t="s">
        <v>1097</v>
      </c>
      <c r="C1103" s="2" t="s">
        <v>1098</v>
      </c>
      <c r="D1103" s="2" t="e">
        <f>VLOOKUP(C:C,Vlookup!A:A,1,0)</f>
        <v>#N/A</v>
      </c>
      <c r="E1103" s="2">
        <v>23</v>
      </c>
      <c r="F1103" s="17" t="s">
        <v>10</v>
      </c>
      <c r="G1103" s="17" t="s">
        <v>25</v>
      </c>
      <c r="H1103" s="2" t="s">
        <v>11</v>
      </c>
      <c r="I1103" s="2">
        <v>1</v>
      </c>
      <c r="J1103" s="5">
        <v>46169</v>
      </c>
      <c r="K1103" s="5">
        <v>46170</v>
      </c>
      <c r="L1103" s="2" t="s">
        <v>865</v>
      </c>
      <c r="M1103" s="5">
        <v>46185</v>
      </c>
      <c r="N1103" s="3">
        <f>VLOOKUP(NavDataRegion[[#This Row],[Spool No]],[1]Sheet2!$B:$U,20,0)</f>
        <v>82.256479999999996</v>
      </c>
      <c r="O1103" s="2">
        <v>14</v>
      </c>
      <c r="P1103" s="2">
        <v>2</v>
      </c>
      <c r="Q1103" s="2"/>
    </row>
    <row r="1104" spans="1:17" ht="20.100000000000001" customHeight="1">
      <c r="A1104" s="2" t="s">
        <v>9</v>
      </c>
      <c r="B1104" s="2" t="s">
        <v>1319</v>
      </c>
      <c r="C1104" s="2" t="s">
        <v>1320</v>
      </c>
      <c r="D1104" s="2" t="e">
        <f>VLOOKUP(C:C,Vlookup!A:A,1,0)</f>
        <v>#N/A</v>
      </c>
      <c r="E1104" s="2">
        <v>14</v>
      </c>
      <c r="F1104" s="17" t="s">
        <v>10</v>
      </c>
      <c r="G1104" s="17" t="s">
        <v>25</v>
      </c>
      <c r="H1104" s="2" t="s">
        <v>11</v>
      </c>
      <c r="I1104" s="2">
        <v>1</v>
      </c>
      <c r="J1104" s="5">
        <v>46093</v>
      </c>
      <c r="K1104" s="5">
        <v>46094</v>
      </c>
      <c r="L1104" s="2" t="s">
        <v>865</v>
      </c>
      <c r="M1104" s="5">
        <v>45754</v>
      </c>
      <c r="N1104" s="3">
        <f>VLOOKUP(NavDataRegion[[#This Row],[Spool No]],[1]Sheet2!$B:$U,20,0)</f>
        <v>10.5738</v>
      </c>
      <c r="O1104" s="2">
        <v>7</v>
      </c>
      <c r="P1104" s="2">
        <v>1</v>
      </c>
      <c r="Q1104" s="2"/>
    </row>
    <row r="1105" spans="1:17" ht="20.100000000000001" customHeight="1">
      <c r="A1105" s="2" t="s">
        <v>9</v>
      </c>
      <c r="B1105" s="2" t="s">
        <v>1141</v>
      </c>
      <c r="C1105" s="2" t="s">
        <v>1142</v>
      </c>
      <c r="D1105" s="2" t="e">
        <f>VLOOKUP(C:C,Vlookup!A:A,1,0)</f>
        <v>#N/A</v>
      </c>
      <c r="E1105" s="2">
        <v>23</v>
      </c>
      <c r="F1105" s="17" t="s">
        <v>10</v>
      </c>
      <c r="G1105" s="17" t="s">
        <v>25</v>
      </c>
      <c r="H1105" s="2" t="s">
        <v>11</v>
      </c>
      <c r="I1105" s="2">
        <v>1</v>
      </c>
      <c r="J1105" s="5">
        <v>46169</v>
      </c>
      <c r="K1105" s="5">
        <v>46170</v>
      </c>
      <c r="L1105" s="2" t="s">
        <v>865</v>
      </c>
      <c r="M1105" s="5">
        <v>46185</v>
      </c>
      <c r="N1105" s="3">
        <f>VLOOKUP(NavDataRegion[[#This Row],[Spool No]],[1]Sheet2!$B:$U,20,0)</f>
        <v>59.349679999999999</v>
      </c>
      <c r="O1105" s="2">
        <v>14</v>
      </c>
      <c r="P1105" s="2">
        <v>2</v>
      </c>
      <c r="Q1105" s="2"/>
    </row>
    <row r="1106" spans="1:17" ht="20.100000000000001" customHeight="1">
      <c r="A1106" s="2" t="s">
        <v>9</v>
      </c>
      <c r="B1106" s="2" t="s">
        <v>1147</v>
      </c>
      <c r="C1106" s="2" t="s">
        <v>1148</v>
      </c>
      <c r="D1106" s="2" t="e">
        <f>VLOOKUP(C:C,Vlookup!A:A,1,0)</f>
        <v>#N/A</v>
      </c>
      <c r="E1106" s="2">
        <v>16</v>
      </c>
      <c r="F1106" s="17" t="s">
        <v>10</v>
      </c>
      <c r="G1106" s="17" t="s">
        <v>25</v>
      </c>
      <c r="H1106" s="2" t="s">
        <v>11</v>
      </c>
      <c r="I1106" s="2">
        <v>1</v>
      </c>
      <c r="J1106" s="5">
        <v>46115</v>
      </c>
      <c r="K1106" s="5">
        <v>46118</v>
      </c>
      <c r="L1106" s="2" t="s">
        <v>865</v>
      </c>
      <c r="M1106" s="5">
        <v>46167</v>
      </c>
      <c r="N1106" s="3">
        <f>VLOOKUP(NavDataRegion[[#This Row],[Spool No]],[1]Sheet2!$B:$U,20,0)</f>
        <v>89.402879999999996</v>
      </c>
      <c r="O1106" s="2">
        <v>4</v>
      </c>
      <c r="P1106" s="2">
        <v>2</v>
      </c>
      <c r="Q1106" s="2"/>
    </row>
    <row r="1107" spans="1:17" ht="20.100000000000001" customHeight="1">
      <c r="A1107" s="2" t="s">
        <v>9</v>
      </c>
      <c r="B1107" s="2" t="s">
        <v>1151</v>
      </c>
      <c r="C1107" s="2" t="s">
        <v>1152</v>
      </c>
      <c r="D1107" s="2" t="e">
        <f>VLOOKUP(C:C,Vlookup!A:A,1,0)</f>
        <v>#N/A</v>
      </c>
      <c r="E1107" s="2">
        <v>14</v>
      </c>
      <c r="F1107" s="17" t="s">
        <v>10</v>
      </c>
      <c r="G1107" s="17" t="s">
        <v>25</v>
      </c>
      <c r="H1107" s="2" t="s">
        <v>11</v>
      </c>
      <c r="I1107" s="2">
        <v>1</v>
      </c>
      <c r="J1107" s="5">
        <v>46105</v>
      </c>
      <c r="K1107" s="5">
        <v>46106</v>
      </c>
      <c r="L1107" s="2" t="s">
        <v>865</v>
      </c>
      <c r="M1107" s="5">
        <v>45754</v>
      </c>
      <c r="N1107" s="3">
        <f>VLOOKUP(NavDataRegion[[#This Row],[Spool No]],[1]Sheet2!$B:$U,20,0)</f>
        <v>9.8141599999999993</v>
      </c>
      <c r="O1107" s="2">
        <v>6</v>
      </c>
      <c r="P1107" s="2">
        <v>2</v>
      </c>
      <c r="Q1107" s="2"/>
    </row>
    <row r="1108" spans="1:17" ht="20.100000000000001" customHeight="1">
      <c r="A1108" s="2" t="s">
        <v>9</v>
      </c>
      <c r="B1108" s="2" t="s">
        <v>1395</v>
      </c>
      <c r="C1108" s="2" t="s">
        <v>1910</v>
      </c>
      <c r="D1108" s="2" t="e">
        <f>VLOOKUP(C:C,Vlookup!A:A,1,0)</f>
        <v>#N/A</v>
      </c>
      <c r="E1108" s="2">
        <v>16</v>
      </c>
      <c r="F1108" s="17" t="s">
        <v>10</v>
      </c>
      <c r="G1108" s="17" t="s">
        <v>25</v>
      </c>
      <c r="H1108" s="2" t="s">
        <v>11</v>
      </c>
      <c r="I1108" s="2">
        <v>1</v>
      </c>
      <c r="J1108" s="5">
        <v>46105</v>
      </c>
      <c r="K1108" s="5">
        <v>46108</v>
      </c>
      <c r="L1108" s="2" t="s">
        <v>865</v>
      </c>
      <c r="M1108" s="5">
        <v>46167</v>
      </c>
      <c r="N1108" s="3">
        <f>VLOOKUP(NavDataRegion[[#This Row],[Spool No]],[1]Sheet2!$B:$U,20,0)</f>
        <v>19.8126</v>
      </c>
      <c r="O1108" s="2">
        <v>5</v>
      </c>
      <c r="P1108" s="2">
        <v>1</v>
      </c>
      <c r="Q1108" s="2"/>
    </row>
    <row r="1109" spans="1:17" ht="20.100000000000001" customHeight="1">
      <c r="A1109" s="2" t="s">
        <v>9</v>
      </c>
      <c r="B1109" s="2" t="s">
        <v>1155</v>
      </c>
      <c r="C1109" s="2" t="s">
        <v>1156</v>
      </c>
      <c r="D1109" s="2" t="e">
        <f>VLOOKUP(C:C,Vlookup!A:A,1,0)</f>
        <v>#N/A</v>
      </c>
      <c r="E1109" s="2">
        <v>16</v>
      </c>
      <c r="F1109" s="17" t="s">
        <v>10</v>
      </c>
      <c r="G1109" s="17" t="s">
        <v>25</v>
      </c>
      <c r="H1109" s="2" t="s">
        <v>11</v>
      </c>
      <c r="I1109" s="2">
        <v>1</v>
      </c>
      <c r="J1109" s="5">
        <v>46107</v>
      </c>
      <c r="K1109" s="5">
        <v>46111</v>
      </c>
      <c r="L1109" s="2" t="s">
        <v>865</v>
      </c>
      <c r="M1109" s="5">
        <v>46167</v>
      </c>
      <c r="N1109" s="3">
        <f>VLOOKUP(NavDataRegion[[#This Row],[Spool No]],[1]Sheet2!$B:$U,20,0)</f>
        <v>15.0352</v>
      </c>
      <c r="O1109" s="2">
        <v>6</v>
      </c>
      <c r="P1109" s="2">
        <v>2</v>
      </c>
      <c r="Q1109" s="2"/>
    </row>
    <row r="1110" spans="1:17" ht="20.100000000000001" customHeight="1">
      <c r="A1110" s="2" t="s">
        <v>9</v>
      </c>
      <c r="B1110" s="2" t="s">
        <v>1417</v>
      </c>
      <c r="C1110" s="2" t="s">
        <v>1418</v>
      </c>
      <c r="D1110" s="2" t="e">
        <f>VLOOKUP(C:C,Vlookup!A:A,1,0)</f>
        <v>#N/A</v>
      </c>
      <c r="E1110" s="2">
        <v>14</v>
      </c>
      <c r="F1110" s="17" t="s">
        <v>10</v>
      </c>
      <c r="G1110" s="17" t="s">
        <v>25</v>
      </c>
      <c r="H1110" s="2" t="s">
        <v>11</v>
      </c>
      <c r="I1110" s="2">
        <v>1</v>
      </c>
      <c r="J1110" s="5">
        <v>46098</v>
      </c>
      <c r="K1110" s="5">
        <v>46099</v>
      </c>
      <c r="L1110" s="2" t="s">
        <v>865</v>
      </c>
      <c r="M1110" s="5">
        <v>45754</v>
      </c>
      <c r="N1110" s="3">
        <f>VLOOKUP(NavDataRegion[[#This Row],[Spool No]],[1]Sheet2!$B:$U,20,0)</f>
        <v>4.5031600000000003</v>
      </c>
      <c r="O1110" s="2">
        <v>4</v>
      </c>
      <c r="P1110" s="2">
        <v>2</v>
      </c>
      <c r="Q1110" s="2"/>
    </row>
    <row r="1111" spans="1:17" ht="20.100000000000001" customHeight="1">
      <c r="A1111" s="2" t="s">
        <v>9</v>
      </c>
      <c r="B1111" s="2" t="s">
        <v>1211</v>
      </c>
      <c r="C1111" s="2" t="s">
        <v>1212</v>
      </c>
      <c r="D1111" s="2" t="e">
        <f>VLOOKUP(C:C,Vlookup!A:A,1,0)</f>
        <v>#N/A</v>
      </c>
      <c r="E1111" s="2">
        <v>14</v>
      </c>
      <c r="F1111" s="17" t="s">
        <v>10</v>
      </c>
      <c r="G1111" s="17" t="s">
        <v>25</v>
      </c>
      <c r="H1111" s="2" t="s">
        <v>11</v>
      </c>
      <c r="I1111" s="2">
        <v>1</v>
      </c>
      <c r="J1111" s="5">
        <v>46101</v>
      </c>
      <c r="K1111" s="5">
        <v>46104</v>
      </c>
      <c r="L1111" s="2" t="s">
        <v>865</v>
      </c>
      <c r="M1111" s="5">
        <v>45754</v>
      </c>
      <c r="N1111" s="3">
        <f>VLOOKUP(NavDataRegion[[#This Row],[Spool No]],[1]Sheet2!$B:$U,20,0)</f>
        <v>204.209</v>
      </c>
      <c r="O1111" s="2">
        <v>18</v>
      </c>
      <c r="P1111" s="2">
        <v>2</v>
      </c>
      <c r="Q1111" s="2"/>
    </row>
    <row r="1112" spans="1:17" ht="20.100000000000001" customHeight="1">
      <c r="A1112" s="2" t="s">
        <v>9</v>
      </c>
      <c r="B1112" s="2" t="s">
        <v>1185</v>
      </c>
      <c r="C1112" s="2" t="s">
        <v>1186</v>
      </c>
      <c r="D1112" s="2" t="e">
        <f>VLOOKUP(C:C,Vlookup!A:A,1,0)</f>
        <v>#N/A</v>
      </c>
      <c r="E1112" s="2">
        <v>14</v>
      </c>
      <c r="F1112" s="17" t="s">
        <v>10</v>
      </c>
      <c r="G1112" s="17" t="s">
        <v>25</v>
      </c>
      <c r="H1112" s="2" t="s">
        <v>11</v>
      </c>
      <c r="I1112" s="2">
        <v>1</v>
      </c>
      <c r="J1112" s="5">
        <v>46105</v>
      </c>
      <c r="K1112" s="5">
        <v>46106</v>
      </c>
      <c r="L1112" s="2" t="s">
        <v>865</v>
      </c>
      <c r="M1112" s="5">
        <v>45754</v>
      </c>
      <c r="N1112" s="3">
        <f>VLOOKUP(NavDataRegion[[#This Row],[Spool No]],[1]Sheet2!$B:$U,20,0)</f>
        <v>18.07572</v>
      </c>
      <c r="O1112" s="2">
        <v>10</v>
      </c>
      <c r="P1112" s="2">
        <v>2</v>
      </c>
      <c r="Q1112" s="2"/>
    </row>
    <row r="1113" spans="1:17" ht="20.100000000000001" customHeight="1">
      <c r="A1113" s="2" t="s">
        <v>9</v>
      </c>
      <c r="B1113" s="2" t="s">
        <v>1211</v>
      </c>
      <c r="C1113" s="2" t="s">
        <v>1729</v>
      </c>
      <c r="D1113" s="2" t="e">
        <f>VLOOKUP(C:C,Vlookup!A:A,1,0)</f>
        <v>#N/A</v>
      </c>
      <c r="E1113" s="2">
        <v>14</v>
      </c>
      <c r="F1113" s="17" t="s">
        <v>10</v>
      </c>
      <c r="G1113" s="17" t="s">
        <v>25</v>
      </c>
      <c r="H1113" s="2" t="s">
        <v>11</v>
      </c>
      <c r="I1113" s="2">
        <v>1</v>
      </c>
      <c r="J1113" s="5">
        <v>46101</v>
      </c>
      <c r="K1113" s="5">
        <v>46104</v>
      </c>
      <c r="L1113" s="2" t="s">
        <v>865</v>
      </c>
      <c r="M1113" s="5">
        <v>45754</v>
      </c>
      <c r="N1113" s="3">
        <f>VLOOKUP(NavDataRegion[[#This Row],[Spool No]],[1]Sheet2!$B:$U,20,0)</f>
        <v>25.190439999999999</v>
      </c>
      <c r="O1113" s="2">
        <v>10</v>
      </c>
      <c r="P1113" s="2">
        <v>2</v>
      </c>
      <c r="Q1113" s="2"/>
    </row>
    <row r="1114" spans="1:17" ht="20.100000000000001" customHeight="1">
      <c r="A1114" s="2" t="s">
        <v>9</v>
      </c>
      <c r="B1114" s="2" t="s">
        <v>1255</v>
      </c>
      <c r="C1114" s="2" t="s">
        <v>1841</v>
      </c>
      <c r="D1114" s="2" t="e">
        <f>VLOOKUP(C:C,Vlookup!A:A,1,0)</f>
        <v>#N/A</v>
      </c>
      <c r="E1114" s="2">
        <v>14</v>
      </c>
      <c r="F1114" s="17" t="s">
        <v>10</v>
      </c>
      <c r="G1114" s="17" t="s">
        <v>25</v>
      </c>
      <c r="H1114" s="2" t="s">
        <v>11</v>
      </c>
      <c r="I1114" s="2">
        <v>1</v>
      </c>
      <c r="J1114" s="5">
        <v>46101</v>
      </c>
      <c r="K1114" s="5">
        <v>46104</v>
      </c>
      <c r="L1114" s="2" t="s">
        <v>865</v>
      </c>
      <c r="M1114" s="5">
        <v>45754</v>
      </c>
      <c r="N1114" s="3">
        <f>VLOOKUP(NavDataRegion[[#This Row],[Spool No]],[1]Sheet2!$B:$U,20,0)</f>
        <v>2.1124000000000001</v>
      </c>
      <c r="O1114" s="2">
        <v>1.5</v>
      </c>
      <c r="P1114" s="2">
        <v>0.5</v>
      </c>
      <c r="Q1114" s="2"/>
    </row>
    <row r="1115" spans="1:17" ht="20.100000000000001" customHeight="1">
      <c r="A1115" s="2" t="s">
        <v>9</v>
      </c>
      <c r="B1115" s="2" t="s">
        <v>1353</v>
      </c>
      <c r="C1115" s="2" t="s">
        <v>1773</v>
      </c>
      <c r="D1115" s="2" t="e">
        <f>VLOOKUP(C:C,Vlookup!A:A,1,0)</f>
        <v>#N/A</v>
      </c>
      <c r="E1115" s="2">
        <v>16</v>
      </c>
      <c r="F1115" s="17" t="s">
        <v>10</v>
      </c>
      <c r="G1115" s="17" t="s">
        <v>25</v>
      </c>
      <c r="H1115" s="2" t="s">
        <v>11</v>
      </c>
      <c r="I1115" s="2">
        <v>1</v>
      </c>
      <c r="J1115" s="5">
        <v>46105</v>
      </c>
      <c r="K1115" s="5">
        <v>46108</v>
      </c>
      <c r="L1115" s="2" t="s">
        <v>865</v>
      </c>
      <c r="M1115" s="5">
        <v>46167</v>
      </c>
      <c r="N1115" s="3">
        <f>VLOOKUP(NavDataRegion[[#This Row],[Spool No]],[1]Sheet2!$B:$U,20,0)</f>
        <v>20.025950000000002</v>
      </c>
      <c r="O1115" s="2">
        <v>4.5</v>
      </c>
      <c r="P1115" s="2">
        <v>1.5</v>
      </c>
      <c r="Q1115" s="2"/>
    </row>
    <row r="1116" spans="1:17" ht="20.100000000000001" customHeight="1">
      <c r="A1116" s="2" t="s">
        <v>9</v>
      </c>
      <c r="B1116" s="2" t="s">
        <v>1259</v>
      </c>
      <c r="C1116" s="2" t="s">
        <v>1743</v>
      </c>
      <c r="D1116" s="2" t="e">
        <f>VLOOKUP(C:C,Vlookup!A:A,1,0)</f>
        <v>#N/A</v>
      </c>
      <c r="E1116" s="2">
        <v>14</v>
      </c>
      <c r="F1116" s="17" t="s">
        <v>10</v>
      </c>
      <c r="G1116" s="17" t="s">
        <v>25</v>
      </c>
      <c r="H1116" s="2" t="s">
        <v>11</v>
      </c>
      <c r="I1116" s="2">
        <v>1</v>
      </c>
      <c r="J1116" s="5">
        <v>46101</v>
      </c>
      <c r="K1116" s="5">
        <v>46104</v>
      </c>
      <c r="L1116" s="2" t="s">
        <v>865</v>
      </c>
      <c r="M1116" s="5">
        <v>45754</v>
      </c>
      <c r="N1116" s="3">
        <f>VLOOKUP(NavDataRegion[[#This Row],[Spool No]],[1]Sheet2!$B:$U,20,0)</f>
        <v>2.2776399999999999</v>
      </c>
      <c r="O1116" s="2">
        <v>1.5</v>
      </c>
      <c r="P1116" s="2">
        <v>0.5</v>
      </c>
      <c r="Q1116" s="2"/>
    </row>
    <row r="1117" spans="1:17" ht="20.100000000000001" customHeight="1">
      <c r="A1117" s="2" t="s">
        <v>9</v>
      </c>
      <c r="B1117" s="2" t="s">
        <v>1355</v>
      </c>
      <c r="C1117" s="2" t="s">
        <v>1774</v>
      </c>
      <c r="D1117" s="2" t="e">
        <f>VLOOKUP(C:C,Vlookup!A:A,1,0)</f>
        <v>#N/A</v>
      </c>
      <c r="E1117" s="2">
        <v>16</v>
      </c>
      <c r="F1117" s="17" t="s">
        <v>10</v>
      </c>
      <c r="G1117" s="17" t="s">
        <v>25</v>
      </c>
      <c r="H1117" s="2" t="s">
        <v>11</v>
      </c>
      <c r="I1117" s="2">
        <v>1</v>
      </c>
      <c r="J1117" s="5">
        <v>46105</v>
      </c>
      <c r="K1117" s="5">
        <v>46108</v>
      </c>
      <c r="L1117" s="2" t="s">
        <v>865</v>
      </c>
      <c r="M1117" s="5">
        <v>46167</v>
      </c>
      <c r="N1117" s="3">
        <f>VLOOKUP(NavDataRegion[[#This Row],[Spool No]],[1]Sheet2!$B:$U,20,0)</f>
        <v>21.005790000000001</v>
      </c>
      <c r="O1117" s="2">
        <v>7.5</v>
      </c>
      <c r="P1117" s="2">
        <v>1.5</v>
      </c>
      <c r="Q1117" s="2"/>
    </row>
    <row r="1118" spans="1:17" ht="20.100000000000001" customHeight="1">
      <c r="A1118" s="2" t="s">
        <v>9</v>
      </c>
      <c r="B1118" s="2" t="s">
        <v>1327</v>
      </c>
      <c r="C1118" s="2" t="s">
        <v>1328</v>
      </c>
      <c r="D1118" s="2" t="e">
        <f>VLOOKUP(C:C,Vlookup!A:A,1,0)</f>
        <v>#N/A</v>
      </c>
      <c r="E1118" s="2">
        <v>14</v>
      </c>
      <c r="F1118" s="17" t="s">
        <v>10</v>
      </c>
      <c r="G1118" s="17" t="s">
        <v>25</v>
      </c>
      <c r="H1118" s="2" t="s">
        <v>11</v>
      </c>
      <c r="I1118" s="2">
        <v>1</v>
      </c>
      <c r="J1118" s="5">
        <v>46093</v>
      </c>
      <c r="K1118" s="5">
        <v>46094</v>
      </c>
      <c r="L1118" s="2" t="s">
        <v>865</v>
      </c>
      <c r="M1118" s="5">
        <v>45754</v>
      </c>
      <c r="N1118" s="3">
        <f>VLOOKUP(NavDataRegion[[#This Row],[Spool No]],[1]Sheet2!$B:$U,20,0)</f>
        <v>11.700240000000001</v>
      </c>
      <c r="O1118" s="2">
        <v>5</v>
      </c>
      <c r="P1118" s="2">
        <v>1</v>
      </c>
      <c r="Q1118" s="2"/>
    </row>
    <row r="1119" spans="1:17" ht="20.100000000000001" customHeight="1">
      <c r="A1119" s="2" t="s">
        <v>9</v>
      </c>
      <c r="B1119" s="2" t="s">
        <v>1369</v>
      </c>
      <c r="C1119" s="2" t="s">
        <v>1370</v>
      </c>
      <c r="D1119" s="2" t="e">
        <f>VLOOKUP(C:C,Vlookup!A:A,1,0)</f>
        <v>#N/A</v>
      </c>
      <c r="E1119" s="2">
        <v>23</v>
      </c>
      <c r="F1119" s="17" t="s">
        <v>10</v>
      </c>
      <c r="G1119" s="17" t="s">
        <v>25</v>
      </c>
      <c r="H1119" s="2" t="s">
        <v>11</v>
      </c>
      <c r="I1119" s="2">
        <v>1</v>
      </c>
      <c r="J1119" s="5">
        <v>46135</v>
      </c>
      <c r="K1119" s="5">
        <v>46136</v>
      </c>
      <c r="L1119" s="2" t="s">
        <v>865</v>
      </c>
      <c r="M1119" s="5">
        <v>46185</v>
      </c>
      <c r="N1119" s="3">
        <f>VLOOKUP(NavDataRegion[[#This Row],[Spool No]],[1]Sheet2!$B:$U,20,0)</f>
        <v>19.64536</v>
      </c>
      <c r="O1119" s="2">
        <v>12</v>
      </c>
      <c r="P1119" s="2">
        <v>2</v>
      </c>
      <c r="Q1119" s="2"/>
    </row>
    <row r="1120" spans="1:17" ht="20.100000000000001" customHeight="1">
      <c r="A1120" s="2" t="s">
        <v>9</v>
      </c>
      <c r="B1120" s="2" t="s">
        <v>1327</v>
      </c>
      <c r="C1120" s="2" t="s">
        <v>1905</v>
      </c>
      <c r="D1120" s="2" t="e">
        <f>VLOOKUP(C:C,Vlookup!A:A,1,0)</f>
        <v>#N/A</v>
      </c>
      <c r="E1120" s="2">
        <v>14</v>
      </c>
      <c r="F1120" s="17" t="s">
        <v>10</v>
      </c>
      <c r="G1120" s="17" t="s">
        <v>25</v>
      </c>
      <c r="H1120" s="2" t="s">
        <v>11</v>
      </c>
      <c r="I1120" s="2">
        <v>1</v>
      </c>
      <c r="J1120" s="5">
        <v>46093</v>
      </c>
      <c r="K1120" s="5">
        <v>46094</v>
      </c>
      <c r="L1120" s="2" t="s">
        <v>865</v>
      </c>
      <c r="M1120" s="5">
        <v>45754</v>
      </c>
      <c r="N1120" s="3">
        <f>VLOOKUP(NavDataRegion[[#This Row],[Spool No]],[1]Sheet2!$B:$U,20,0)</f>
        <v>4.1314799999999998</v>
      </c>
      <c r="O1120" s="2">
        <v>2</v>
      </c>
      <c r="P1120" s="2">
        <v>1</v>
      </c>
      <c r="Q1120" s="2"/>
    </row>
    <row r="1121" spans="1:17" ht="20.100000000000001" customHeight="1">
      <c r="A1121" s="2" t="s">
        <v>9</v>
      </c>
      <c r="B1121" s="2" t="s">
        <v>1407</v>
      </c>
      <c r="C1121" s="2" t="s">
        <v>1408</v>
      </c>
      <c r="D1121" s="2" t="e">
        <f>VLOOKUP(C:C,Vlookup!A:A,1,0)</f>
        <v>#N/A</v>
      </c>
      <c r="E1121" s="2">
        <v>23</v>
      </c>
      <c r="F1121" s="17" t="s">
        <v>10</v>
      </c>
      <c r="G1121" s="17" t="s">
        <v>25</v>
      </c>
      <c r="H1121" s="2" t="s">
        <v>11</v>
      </c>
      <c r="I1121" s="2">
        <v>1</v>
      </c>
      <c r="J1121" s="5">
        <v>46169</v>
      </c>
      <c r="K1121" s="5">
        <v>46170</v>
      </c>
      <c r="L1121" s="2" t="s">
        <v>865</v>
      </c>
      <c r="M1121" s="5">
        <v>46185</v>
      </c>
      <c r="N1121" s="3">
        <f>VLOOKUP(NavDataRegion[[#This Row],[Spool No]],[1]Sheet2!$B:$U,20,0)</f>
        <v>55.584040000000002</v>
      </c>
      <c r="O1121" s="2">
        <v>12</v>
      </c>
      <c r="P1121" s="2">
        <v>2</v>
      </c>
      <c r="Q1121" s="2"/>
    </row>
    <row r="1122" spans="1:17" ht="20.100000000000001" customHeight="1">
      <c r="A1122" s="2" t="s">
        <v>9</v>
      </c>
      <c r="B1122" s="2" t="s">
        <v>1263</v>
      </c>
      <c r="C1122" s="2" t="s">
        <v>1264</v>
      </c>
      <c r="D1122" s="2" t="e">
        <f>VLOOKUP(C:C,Vlookup!A:A,1,0)</f>
        <v>#N/A</v>
      </c>
      <c r="E1122" s="2">
        <v>14</v>
      </c>
      <c r="F1122" s="17" t="s">
        <v>10</v>
      </c>
      <c r="G1122" s="17" t="s">
        <v>25</v>
      </c>
      <c r="H1122" s="2" t="s">
        <v>11</v>
      </c>
      <c r="I1122" s="2">
        <v>1</v>
      </c>
      <c r="J1122" s="5">
        <v>46101</v>
      </c>
      <c r="K1122" s="5">
        <v>46104</v>
      </c>
      <c r="L1122" s="2" t="s">
        <v>865</v>
      </c>
      <c r="M1122" s="5">
        <v>45754</v>
      </c>
      <c r="N1122" s="3">
        <f>VLOOKUP(NavDataRegion[[#This Row],[Spool No]],[1]Sheet2!$B:$U,20,0)</f>
        <v>0.89192000000000005</v>
      </c>
      <c r="O1122" s="2">
        <v>1</v>
      </c>
      <c r="P1122" s="2">
        <v>0.5</v>
      </c>
      <c r="Q1122" s="2"/>
    </row>
    <row r="1123" spans="1:17" ht="20.100000000000001" customHeight="1">
      <c r="A1123" s="2" t="s">
        <v>9</v>
      </c>
      <c r="B1123" s="2" t="s">
        <v>923</v>
      </c>
      <c r="C1123" s="2" t="s">
        <v>1661</v>
      </c>
      <c r="D1123" s="2" t="e">
        <f>VLOOKUP(C:C,Vlookup!A:A,1,0)</f>
        <v>#N/A</v>
      </c>
      <c r="E1123" s="2">
        <v>16</v>
      </c>
      <c r="F1123" s="17" t="s">
        <v>10</v>
      </c>
      <c r="G1123" s="17" t="s">
        <v>25</v>
      </c>
      <c r="H1123" s="2" t="s">
        <v>11</v>
      </c>
      <c r="I1123" s="2">
        <v>1</v>
      </c>
      <c r="J1123" s="5">
        <v>46105</v>
      </c>
      <c r="K1123" s="5">
        <v>46108</v>
      </c>
      <c r="L1123" s="2" t="s">
        <v>865</v>
      </c>
      <c r="M1123" s="5">
        <v>46167</v>
      </c>
      <c r="N1123" s="3">
        <f>VLOOKUP(NavDataRegion[[#This Row],[Spool No]],[1]Sheet2!$B:$U,20,0)</f>
        <v>77.58193</v>
      </c>
      <c r="O1123" s="2">
        <v>6</v>
      </c>
      <c r="P1123" s="2">
        <v>2</v>
      </c>
      <c r="Q1123" s="2"/>
    </row>
    <row r="1124" spans="1:17" ht="20.100000000000001" customHeight="1">
      <c r="A1124" s="2" t="s">
        <v>9</v>
      </c>
      <c r="B1124" s="2" t="s">
        <v>979</v>
      </c>
      <c r="C1124" s="2" t="s">
        <v>1495</v>
      </c>
      <c r="D1124" s="2" t="e">
        <f>VLOOKUP(C:C,Vlookup!A:A,1,0)</f>
        <v>#N/A</v>
      </c>
      <c r="E1124" s="2">
        <v>14</v>
      </c>
      <c r="F1124" s="17" t="s">
        <v>10</v>
      </c>
      <c r="G1124" s="17" t="s">
        <v>25</v>
      </c>
      <c r="H1124" s="2" t="s">
        <v>11</v>
      </c>
      <c r="I1124" s="2">
        <v>1</v>
      </c>
      <c r="J1124" s="5">
        <v>46100</v>
      </c>
      <c r="K1124" s="5">
        <v>46101</v>
      </c>
      <c r="L1124" s="2" t="s">
        <v>865</v>
      </c>
      <c r="M1124" s="5">
        <v>45754</v>
      </c>
      <c r="N1124" s="3">
        <f>VLOOKUP(NavDataRegion[[#This Row],[Spool No]],[1]Sheet2!$B:$U,20,0)</f>
        <v>28.33464</v>
      </c>
      <c r="O1124" s="2">
        <v>8</v>
      </c>
      <c r="P1124" s="2">
        <v>2</v>
      </c>
      <c r="Q1124" s="2"/>
    </row>
    <row r="1125" spans="1:17" ht="20.100000000000001" customHeight="1">
      <c r="A1125" s="2" t="s">
        <v>9</v>
      </c>
      <c r="B1125" s="2" t="s">
        <v>1423</v>
      </c>
      <c r="C1125" s="2" t="s">
        <v>1424</v>
      </c>
      <c r="D1125" s="2" t="e">
        <f>VLOOKUP(C:C,Vlookup!A:A,1,0)</f>
        <v>#N/A</v>
      </c>
      <c r="E1125" s="2">
        <v>14</v>
      </c>
      <c r="F1125" s="17" t="s">
        <v>10</v>
      </c>
      <c r="G1125" s="17" t="s">
        <v>25</v>
      </c>
      <c r="H1125" s="2" t="s">
        <v>11</v>
      </c>
      <c r="I1125" s="2">
        <v>1</v>
      </c>
      <c r="J1125" s="5">
        <v>46098</v>
      </c>
      <c r="K1125" s="5">
        <v>46099</v>
      </c>
      <c r="L1125" s="2" t="s">
        <v>865</v>
      </c>
      <c r="M1125" s="5">
        <v>45754</v>
      </c>
      <c r="N1125" s="3">
        <f>VLOOKUP(NavDataRegion[[#This Row],[Spool No]],[1]Sheet2!$B:$U,20,0)</f>
        <v>6.1244399999999999</v>
      </c>
      <c r="O1125" s="2">
        <v>4</v>
      </c>
      <c r="P1125" s="2">
        <v>1</v>
      </c>
      <c r="Q1125" s="2"/>
    </row>
    <row r="1126" spans="1:17" ht="20.100000000000001" customHeight="1">
      <c r="A1126" s="2" t="s">
        <v>9</v>
      </c>
      <c r="B1126" s="2" t="s">
        <v>1423</v>
      </c>
      <c r="C1126" s="2" t="s">
        <v>1777</v>
      </c>
      <c r="D1126" s="2" t="e">
        <f>VLOOKUP(C:C,Vlookup!A:A,1,0)</f>
        <v>#N/A</v>
      </c>
      <c r="E1126" s="2">
        <v>14</v>
      </c>
      <c r="F1126" s="17" t="s">
        <v>10</v>
      </c>
      <c r="G1126" s="17" t="s">
        <v>25</v>
      </c>
      <c r="H1126" s="2" t="s">
        <v>11</v>
      </c>
      <c r="I1126" s="2">
        <v>1</v>
      </c>
      <c r="J1126" s="5">
        <v>46098</v>
      </c>
      <c r="K1126" s="5">
        <v>46099</v>
      </c>
      <c r="L1126" s="2" t="s">
        <v>865</v>
      </c>
      <c r="M1126" s="5">
        <v>45754</v>
      </c>
      <c r="N1126" s="3">
        <f>VLOOKUP(NavDataRegion[[#This Row],[Spool No]],[1]Sheet2!$B:$U,20,0)</f>
        <v>4.4193600000000002</v>
      </c>
      <c r="O1126" s="2">
        <v>0</v>
      </c>
      <c r="P1126" s="2">
        <v>1</v>
      </c>
      <c r="Q1126" s="2"/>
    </row>
    <row r="1127" spans="1:17" ht="20.100000000000001" customHeight="1">
      <c r="A1127" s="2" t="s">
        <v>9</v>
      </c>
      <c r="B1127" s="2" t="s">
        <v>1433</v>
      </c>
      <c r="C1127" s="2" t="s">
        <v>1434</v>
      </c>
      <c r="D1127" s="2" t="e">
        <f>VLOOKUP(C:C,Vlookup!A:A,1,0)</f>
        <v>#N/A</v>
      </c>
      <c r="E1127" s="2">
        <v>14</v>
      </c>
      <c r="F1127" s="17" t="s">
        <v>10</v>
      </c>
      <c r="G1127" s="17" t="s">
        <v>25</v>
      </c>
      <c r="H1127" s="2" t="s">
        <v>11</v>
      </c>
      <c r="I1127" s="2">
        <v>1</v>
      </c>
      <c r="J1127" s="5">
        <v>46098</v>
      </c>
      <c r="K1127" s="5">
        <v>46099</v>
      </c>
      <c r="L1127" s="2" t="s">
        <v>865</v>
      </c>
      <c r="M1127" s="5">
        <v>45754</v>
      </c>
      <c r="N1127" s="3">
        <f>VLOOKUP(NavDataRegion[[#This Row],[Spool No]],[1]Sheet2!$B:$U,20,0)</f>
        <v>0.64980000000000004</v>
      </c>
      <c r="O1127" s="2">
        <v>0.75</v>
      </c>
      <c r="P1127" s="2">
        <v>0.75</v>
      </c>
      <c r="Q1127" s="2"/>
    </row>
    <row r="1128" spans="1:17" ht="20.100000000000001" customHeight="1">
      <c r="A1128" s="2" t="s">
        <v>9</v>
      </c>
      <c r="B1128" s="2" t="s">
        <v>1279</v>
      </c>
      <c r="C1128" s="2" t="s">
        <v>1751</v>
      </c>
      <c r="D1128" s="2" t="e">
        <f>VLOOKUP(C:C,Vlookup!A:A,1,0)</f>
        <v>#N/A</v>
      </c>
      <c r="E1128" s="2">
        <v>14</v>
      </c>
      <c r="F1128" s="17" t="s">
        <v>10</v>
      </c>
      <c r="G1128" s="17" t="s">
        <v>25</v>
      </c>
      <c r="H1128" s="2" t="s">
        <v>11</v>
      </c>
      <c r="I1128" s="2">
        <v>1</v>
      </c>
      <c r="J1128" s="5">
        <v>46101</v>
      </c>
      <c r="K1128" s="5">
        <v>46104</v>
      </c>
      <c r="L1128" s="2" t="s">
        <v>865</v>
      </c>
      <c r="M1128" s="5">
        <v>45754</v>
      </c>
      <c r="N1128" s="3">
        <f>VLOOKUP(NavDataRegion[[#This Row],[Spool No]],[1]Sheet2!$B:$U,20,0)</f>
        <v>4.3723400000000003</v>
      </c>
      <c r="O1128" s="2">
        <v>1</v>
      </c>
      <c r="P1128" s="2">
        <v>0.5</v>
      </c>
      <c r="Q1128" s="2"/>
    </row>
    <row r="1129" spans="1:17" ht="20.100000000000001" customHeight="1">
      <c r="A1129" s="2" t="s">
        <v>9</v>
      </c>
      <c r="B1129" s="2" t="s">
        <v>923</v>
      </c>
      <c r="C1129" s="2" t="s">
        <v>1469</v>
      </c>
      <c r="D1129" s="2" t="e">
        <f>VLOOKUP(C:C,Vlookup!A:A,1,0)</f>
        <v>#N/A</v>
      </c>
      <c r="E1129" s="2">
        <v>23</v>
      </c>
      <c r="F1129" s="17" t="s">
        <v>10</v>
      </c>
      <c r="G1129" s="17" t="s">
        <v>25</v>
      </c>
      <c r="H1129" s="2" t="s">
        <v>11</v>
      </c>
      <c r="I1129" s="2">
        <v>1</v>
      </c>
      <c r="J1129" s="5">
        <v>46135</v>
      </c>
      <c r="K1129" s="5">
        <v>46136</v>
      </c>
      <c r="L1129" s="2" t="s">
        <v>865</v>
      </c>
      <c r="M1129" s="5">
        <v>46185</v>
      </c>
      <c r="N1129" s="3">
        <f>VLOOKUP(NavDataRegion[[#This Row],[Spool No]],[1]Sheet2!$B:$U,20,0)</f>
        <v>210.80506</v>
      </c>
      <c r="O1129" s="2">
        <v>16</v>
      </c>
      <c r="P1129" s="2">
        <v>2</v>
      </c>
      <c r="Q1129" s="2"/>
    </row>
    <row r="1130" spans="1:17" ht="20.100000000000001" customHeight="1">
      <c r="A1130" s="2" t="s">
        <v>9</v>
      </c>
      <c r="B1130" s="2" t="s">
        <v>1303</v>
      </c>
      <c r="C1130" s="2" t="s">
        <v>1608</v>
      </c>
      <c r="D1130" s="2" t="e">
        <f>VLOOKUP(C:C,Vlookup!A:A,1,0)</f>
        <v>#N/A</v>
      </c>
      <c r="E1130" s="2">
        <v>14</v>
      </c>
      <c r="F1130" s="17" t="s">
        <v>10</v>
      </c>
      <c r="G1130" s="17" t="s">
        <v>25</v>
      </c>
      <c r="H1130" s="2" t="s">
        <v>11</v>
      </c>
      <c r="I1130" s="2">
        <v>1</v>
      </c>
      <c r="J1130" s="5">
        <v>46100</v>
      </c>
      <c r="K1130" s="5">
        <v>46101</v>
      </c>
      <c r="L1130" s="2" t="s">
        <v>865</v>
      </c>
      <c r="M1130" s="5">
        <v>45754</v>
      </c>
      <c r="N1130" s="3">
        <f>VLOOKUP(NavDataRegion[[#This Row],[Spool No]],[1]Sheet2!$B:$U,20,0)</f>
        <v>29.179880000000001</v>
      </c>
      <c r="O1130" s="2">
        <v>6</v>
      </c>
      <c r="P1130" s="2">
        <v>2</v>
      </c>
      <c r="Q1130" s="2"/>
    </row>
    <row r="1131" spans="1:17" ht="20.100000000000001" customHeight="1">
      <c r="A1131" s="2" t="s">
        <v>9</v>
      </c>
      <c r="B1131" s="2" t="s">
        <v>1015</v>
      </c>
      <c r="C1131" s="2" t="s">
        <v>1504</v>
      </c>
      <c r="D1131" s="2" t="e">
        <f>VLOOKUP(C:C,Vlookup!A:A,1,0)</f>
        <v>#N/A</v>
      </c>
      <c r="E1131" s="2">
        <v>14</v>
      </c>
      <c r="F1131" s="17" t="s">
        <v>10</v>
      </c>
      <c r="G1131" s="17" t="s">
        <v>25</v>
      </c>
      <c r="H1131" s="2" t="s">
        <v>11</v>
      </c>
      <c r="I1131" s="2">
        <v>1</v>
      </c>
      <c r="J1131" s="5">
        <v>46105</v>
      </c>
      <c r="K1131" s="5">
        <v>46106</v>
      </c>
      <c r="L1131" s="2" t="s">
        <v>865</v>
      </c>
      <c r="M1131" s="5">
        <v>45754</v>
      </c>
      <c r="N1131" s="3">
        <f>VLOOKUP(NavDataRegion[[#This Row],[Spool No]],[1]Sheet2!$B:$U,20,0)</f>
        <v>22.642980000000001</v>
      </c>
      <c r="O1131" s="2">
        <v>6</v>
      </c>
      <c r="P1131" s="2">
        <v>2</v>
      </c>
      <c r="Q1131" s="2"/>
    </row>
    <row r="1132" spans="1:17" ht="20.100000000000001" customHeight="1">
      <c r="A1132" s="2" t="s">
        <v>9</v>
      </c>
      <c r="B1132" s="2" t="s">
        <v>1057</v>
      </c>
      <c r="C1132" s="2" t="s">
        <v>1518</v>
      </c>
      <c r="D1132" s="2" t="e">
        <f>VLOOKUP(C:C,Vlookup!A:A,1,0)</f>
        <v>#N/A</v>
      </c>
      <c r="E1132" s="2">
        <v>23</v>
      </c>
      <c r="F1132" s="17" t="s">
        <v>10</v>
      </c>
      <c r="G1132" s="17" t="s">
        <v>25</v>
      </c>
      <c r="H1132" s="2" t="s">
        <v>11</v>
      </c>
      <c r="I1132" s="2">
        <v>1</v>
      </c>
      <c r="J1132" s="5">
        <v>46169</v>
      </c>
      <c r="K1132" s="5">
        <v>46170</v>
      </c>
      <c r="L1132" s="2" t="s">
        <v>865</v>
      </c>
      <c r="M1132" s="5">
        <v>46185</v>
      </c>
      <c r="N1132" s="3">
        <f>VLOOKUP(NavDataRegion[[#This Row],[Spool No]],[1]Sheet2!$B:$U,20,0)</f>
        <v>88.36788</v>
      </c>
      <c r="O1132" s="2">
        <v>12</v>
      </c>
      <c r="P1132" s="2">
        <v>2</v>
      </c>
      <c r="Q1132" s="2"/>
    </row>
    <row r="1133" spans="1:17" ht="20.100000000000001" customHeight="1">
      <c r="A1133" s="2" t="s">
        <v>9</v>
      </c>
      <c r="B1133" s="2" t="s">
        <v>1289</v>
      </c>
      <c r="C1133" s="2" t="s">
        <v>1945</v>
      </c>
      <c r="D1133" s="2" t="e">
        <f>VLOOKUP(C:C,Vlookup!A:A,1,0)</f>
        <v>#N/A</v>
      </c>
      <c r="E1133" s="2">
        <v>14</v>
      </c>
      <c r="F1133" s="17" t="s">
        <v>10</v>
      </c>
      <c r="G1133" s="17" t="s">
        <v>25</v>
      </c>
      <c r="H1133" s="2" t="s">
        <v>11</v>
      </c>
      <c r="I1133" s="2">
        <v>1</v>
      </c>
      <c r="J1133" s="5">
        <v>46101</v>
      </c>
      <c r="K1133" s="5">
        <v>46104</v>
      </c>
      <c r="L1133" s="2" t="s">
        <v>865</v>
      </c>
      <c r="M1133" s="5">
        <v>45754</v>
      </c>
      <c r="N1133" s="3">
        <f>VLOOKUP(NavDataRegion[[#This Row],[Spool No]],[1]Sheet2!$B:$U,20,0)</f>
        <v>7.94496</v>
      </c>
      <c r="O1133" s="2">
        <v>2</v>
      </c>
      <c r="P1133" s="2">
        <v>1</v>
      </c>
      <c r="Q1133" s="2"/>
    </row>
    <row r="1134" spans="1:17" ht="20.100000000000001" customHeight="1">
      <c r="A1134" s="2" t="s">
        <v>9</v>
      </c>
      <c r="B1134" s="2" t="s">
        <v>923</v>
      </c>
      <c r="C1134" s="2" t="s">
        <v>1936</v>
      </c>
      <c r="D1134" s="2" t="e">
        <f>VLOOKUP(C:C,Vlookup!A:A,1,0)</f>
        <v>#N/A</v>
      </c>
      <c r="E1134" s="2">
        <v>16</v>
      </c>
      <c r="F1134" s="17" t="s">
        <v>10</v>
      </c>
      <c r="G1134" s="17" t="s">
        <v>25</v>
      </c>
      <c r="H1134" s="2" t="s">
        <v>11</v>
      </c>
      <c r="I1134" s="2">
        <v>1</v>
      </c>
      <c r="J1134" s="5">
        <v>46113</v>
      </c>
      <c r="K1134" s="5">
        <v>46118</v>
      </c>
      <c r="L1134" s="2" t="s">
        <v>865</v>
      </c>
      <c r="M1134" s="5">
        <v>46167</v>
      </c>
      <c r="N1134" s="3">
        <f>VLOOKUP(NavDataRegion[[#This Row],[Spool No]],[1]Sheet2!$B:$U,20,0)</f>
        <v>21.617239999999999</v>
      </c>
      <c r="O1134" s="2">
        <v>5</v>
      </c>
      <c r="P1134" s="2">
        <v>1</v>
      </c>
      <c r="Q1134" s="2"/>
    </row>
    <row r="1135" spans="1:17" ht="20.100000000000001" customHeight="1">
      <c r="A1135" s="2" t="s">
        <v>9</v>
      </c>
      <c r="B1135" s="2" t="s">
        <v>1303</v>
      </c>
      <c r="C1135" s="2" t="s">
        <v>1304</v>
      </c>
      <c r="D1135" s="2" t="e">
        <f>VLOOKUP(C:C,Vlookup!A:A,1,0)</f>
        <v>#N/A</v>
      </c>
      <c r="E1135" s="2">
        <v>14</v>
      </c>
      <c r="F1135" s="17" t="s">
        <v>10</v>
      </c>
      <c r="G1135" s="17" t="s">
        <v>25</v>
      </c>
      <c r="H1135" s="2" t="s">
        <v>11</v>
      </c>
      <c r="I1135" s="2">
        <v>1</v>
      </c>
      <c r="J1135" s="5">
        <v>46101</v>
      </c>
      <c r="K1135" s="5">
        <v>46104</v>
      </c>
      <c r="L1135" s="2" t="s">
        <v>865</v>
      </c>
      <c r="M1135" s="5">
        <v>45754</v>
      </c>
      <c r="N1135" s="3">
        <f>VLOOKUP(NavDataRegion[[#This Row],[Spool No]],[1]Sheet2!$B:$U,20,0)</f>
        <v>40.571719999999999</v>
      </c>
      <c r="O1135" s="2">
        <v>32</v>
      </c>
      <c r="P1135" s="2">
        <v>2</v>
      </c>
      <c r="Q1135" s="2"/>
    </row>
    <row r="1136" spans="1:17" ht="20.100000000000001" customHeight="1">
      <c r="A1136" s="2" t="s">
        <v>9</v>
      </c>
      <c r="B1136" s="2" t="s">
        <v>1329</v>
      </c>
      <c r="C1136" s="2" t="s">
        <v>1330</v>
      </c>
      <c r="D1136" s="2" t="e">
        <f>VLOOKUP(C:C,Vlookup!A:A,1,0)</f>
        <v>#N/A</v>
      </c>
      <c r="E1136" s="2">
        <v>14</v>
      </c>
      <c r="F1136" s="17" t="s">
        <v>10</v>
      </c>
      <c r="G1136" s="17" t="s">
        <v>25</v>
      </c>
      <c r="H1136" s="2" t="s">
        <v>11</v>
      </c>
      <c r="I1136" s="2">
        <v>1</v>
      </c>
      <c r="J1136" s="5">
        <v>46093</v>
      </c>
      <c r="K1136" s="5">
        <v>46094</v>
      </c>
      <c r="L1136" s="2" t="s">
        <v>865</v>
      </c>
      <c r="M1136" s="5">
        <v>45754</v>
      </c>
      <c r="N1136" s="3">
        <f>VLOOKUP(NavDataRegion[[#This Row],[Spool No]],[1]Sheet2!$B:$U,20,0)</f>
        <v>6.3146000000000004</v>
      </c>
      <c r="O1136" s="2">
        <v>4</v>
      </c>
      <c r="P1136" s="2">
        <v>1</v>
      </c>
      <c r="Q1136" s="2"/>
    </row>
    <row r="1137" spans="1:17" ht="20.100000000000001" customHeight="1">
      <c r="A1137" s="2" t="s">
        <v>9</v>
      </c>
      <c r="B1137" s="2" t="s">
        <v>1289</v>
      </c>
      <c r="C1137" s="2" t="s">
        <v>1939</v>
      </c>
      <c r="D1137" s="2" t="e">
        <f>VLOOKUP(C:C,Vlookup!A:A,1,0)</f>
        <v>#N/A</v>
      </c>
      <c r="E1137" s="2">
        <v>16</v>
      </c>
      <c r="F1137" s="17" t="s">
        <v>10</v>
      </c>
      <c r="G1137" s="17" t="s">
        <v>25</v>
      </c>
      <c r="H1137" s="2" t="s">
        <v>11</v>
      </c>
      <c r="I1137" s="2">
        <v>1</v>
      </c>
      <c r="J1137" s="5">
        <v>46113</v>
      </c>
      <c r="K1137" s="5">
        <v>46118</v>
      </c>
      <c r="L1137" s="2" t="s">
        <v>865</v>
      </c>
      <c r="M1137" s="5">
        <v>46167</v>
      </c>
      <c r="N1137" s="3">
        <f>VLOOKUP(NavDataRegion[[#This Row],[Spool No]],[1]Sheet2!$B:$U,20,0)</f>
        <v>22.396920000000001</v>
      </c>
      <c r="O1137" s="2">
        <v>4</v>
      </c>
      <c r="P1137" s="2">
        <v>1</v>
      </c>
      <c r="Q1137" s="2"/>
    </row>
    <row r="1138" spans="1:17" ht="20.100000000000001" customHeight="1">
      <c r="A1138" s="2" t="s">
        <v>9</v>
      </c>
      <c r="B1138" s="2" t="s">
        <v>1277</v>
      </c>
      <c r="C1138" s="2" t="s">
        <v>1595</v>
      </c>
      <c r="D1138" s="2" t="e">
        <f>VLOOKUP(C:C,Vlookup!A:A,1,0)</f>
        <v>#N/A</v>
      </c>
      <c r="E1138" s="2">
        <v>14</v>
      </c>
      <c r="F1138" s="17" t="s">
        <v>10</v>
      </c>
      <c r="G1138" s="17" t="s">
        <v>25</v>
      </c>
      <c r="H1138" s="2" t="s">
        <v>11</v>
      </c>
      <c r="I1138" s="2">
        <v>1</v>
      </c>
      <c r="J1138" s="5">
        <v>46105</v>
      </c>
      <c r="K1138" s="5">
        <v>46107</v>
      </c>
      <c r="L1138" s="2" t="s">
        <v>865</v>
      </c>
      <c r="M1138" s="5">
        <v>45754</v>
      </c>
      <c r="N1138" s="3">
        <f>VLOOKUP(NavDataRegion[[#This Row],[Spool No]],[1]Sheet2!$B:$U,20,0)</f>
        <v>19.81176</v>
      </c>
      <c r="O1138" s="2">
        <v>6</v>
      </c>
      <c r="P1138" s="2">
        <v>0.5</v>
      </c>
      <c r="Q1138" s="2"/>
    </row>
    <row r="1139" spans="1:17" ht="20.100000000000001" customHeight="1">
      <c r="A1139" s="2" t="s">
        <v>9</v>
      </c>
      <c r="B1139" s="2" t="s">
        <v>1057</v>
      </c>
      <c r="C1139" s="2" t="s">
        <v>1058</v>
      </c>
      <c r="D1139" s="2" t="e">
        <f>VLOOKUP(C:C,Vlookup!A:A,1,0)</f>
        <v>#N/A</v>
      </c>
      <c r="E1139" s="2">
        <v>16</v>
      </c>
      <c r="F1139" s="17" t="s">
        <v>10</v>
      </c>
      <c r="G1139" s="17" t="s">
        <v>25</v>
      </c>
      <c r="H1139" s="2" t="s">
        <v>11</v>
      </c>
      <c r="I1139" s="2">
        <v>1</v>
      </c>
      <c r="J1139" s="5">
        <v>46105</v>
      </c>
      <c r="K1139" s="5">
        <v>46108</v>
      </c>
      <c r="L1139" s="2" t="s">
        <v>865</v>
      </c>
      <c r="M1139" s="5">
        <v>46167</v>
      </c>
      <c r="N1139" s="3">
        <f>VLOOKUP(NavDataRegion[[#This Row],[Spool No]],[1]Sheet2!$B:$U,20,0)</f>
        <v>32.052399999999999</v>
      </c>
      <c r="O1139" s="2">
        <v>10</v>
      </c>
      <c r="P1139" s="2">
        <v>2</v>
      </c>
      <c r="Q1139" s="2"/>
    </row>
    <row r="1140" spans="1:17" ht="20.100000000000001" customHeight="1">
      <c r="A1140" s="2" t="s">
        <v>9</v>
      </c>
      <c r="B1140" s="2" t="s">
        <v>1155</v>
      </c>
      <c r="C1140" s="2" t="s">
        <v>1552</v>
      </c>
      <c r="D1140" s="2" t="e">
        <f>VLOOKUP(C:C,Vlookup!A:A,1,0)</f>
        <v>#N/A</v>
      </c>
      <c r="E1140" s="2">
        <v>23</v>
      </c>
      <c r="F1140" s="17" t="s">
        <v>10</v>
      </c>
      <c r="G1140" s="17" t="s">
        <v>25</v>
      </c>
      <c r="H1140" s="2" t="s">
        <v>11</v>
      </c>
      <c r="I1140" s="2">
        <v>1</v>
      </c>
      <c r="J1140" s="5">
        <v>46169</v>
      </c>
      <c r="K1140" s="5">
        <v>46170</v>
      </c>
      <c r="L1140" s="2" t="s">
        <v>865</v>
      </c>
      <c r="M1140" s="5">
        <v>46185</v>
      </c>
      <c r="N1140" s="3">
        <f>VLOOKUP(NavDataRegion[[#This Row],[Spool No]],[1]Sheet2!$B:$U,20,0)</f>
        <v>93.760959999999997</v>
      </c>
      <c r="O1140" s="2">
        <v>12</v>
      </c>
      <c r="P1140" s="2">
        <v>2</v>
      </c>
      <c r="Q1140" s="2"/>
    </row>
    <row r="1141" spans="1:17" ht="20.100000000000001" customHeight="1">
      <c r="A1141" s="2" t="s">
        <v>9</v>
      </c>
      <c r="B1141" s="2" t="s">
        <v>1141</v>
      </c>
      <c r="C1141" s="2" t="s">
        <v>1712</v>
      </c>
      <c r="D1141" s="2" t="e">
        <f>VLOOKUP(C:C,Vlookup!A:A,1,0)</f>
        <v>#N/A</v>
      </c>
      <c r="E1141" s="2">
        <v>16</v>
      </c>
      <c r="F1141" s="17" t="s">
        <v>10</v>
      </c>
      <c r="G1141" s="17" t="s">
        <v>25</v>
      </c>
      <c r="H1141" s="2" t="s">
        <v>11</v>
      </c>
      <c r="I1141" s="2">
        <v>1</v>
      </c>
      <c r="J1141" s="5">
        <v>46105</v>
      </c>
      <c r="K1141" s="5">
        <v>46108</v>
      </c>
      <c r="L1141" s="2" t="s">
        <v>865</v>
      </c>
      <c r="M1141" s="5">
        <v>46167</v>
      </c>
      <c r="N1141" s="3">
        <f>VLOOKUP(NavDataRegion[[#This Row],[Spool No]],[1]Sheet2!$B:$U,20,0)</f>
        <v>33.092120000000001</v>
      </c>
      <c r="O1141" s="2">
        <v>8</v>
      </c>
      <c r="P1141" s="2">
        <v>2</v>
      </c>
      <c r="Q1141" s="2"/>
    </row>
    <row r="1142" spans="1:17" ht="20.100000000000001" customHeight="1">
      <c r="A1142" s="2" t="s">
        <v>9</v>
      </c>
      <c r="B1142" s="2" t="s">
        <v>1437</v>
      </c>
      <c r="C1142" s="2" t="s">
        <v>1438</v>
      </c>
      <c r="D1142" s="2" t="e">
        <f>VLOOKUP(C:C,Vlookup!A:A,1,0)</f>
        <v>#N/A</v>
      </c>
      <c r="E1142" s="2">
        <v>14</v>
      </c>
      <c r="F1142" s="17" t="s">
        <v>10</v>
      </c>
      <c r="G1142" s="17" t="s">
        <v>25</v>
      </c>
      <c r="H1142" s="2" t="s">
        <v>11</v>
      </c>
      <c r="I1142" s="2">
        <v>1</v>
      </c>
      <c r="J1142" s="5">
        <v>46098</v>
      </c>
      <c r="K1142" s="5">
        <v>46099</v>
      </c>
      <c r="L1142" s="2" t="s">
        <v>865</v>
      </c>
      <c r="M1142" s="5">
        <v>45754</v>
      </c>
      <c r="N1142" s="3">
        <f>VLOOKUP(NavDataRegion[[#This Row],[Spool No]],[1]Sheet2!$B:$U,20,0)</f>
        <v>1.2085999999999999</v>
      </c>
      <c r="O1142" s="2">
        <v>0.75</v>
      </c>
      <c r="P1142" s="2">
        <v>0.75</v>
      </c>
      <c r="Q1142" s="2"/>
    </row>
    <row r="1143" spans="1:17" ht="20.100000000000001" customHeight="1">
      <c r="A1143" s="2" t="s">
        <v>9</v>
      </c>
      <c r="B1143" s="2" t="s">
        <v>1175</v>
      </c>
      <c r="C1143" s="2" t="s">
        <v>1563</v>
      </c>
      <c r="D1143" s="2" t="e">
        <f>VLOOKUP(C:C,Vlookup!A:A,1,0)</f>
        <v>#N/A</v>
      </c>
      <c r="E1143" s="2">
        <v>14</v>
      </c>
      <c r="F1143" s="17" t="s">
        <v>10</v>
      </c>
      <c r="G1143" s="17" t="s">
        <v>25</v>
      </c>
      <c r="H1143" s="2" t="s">
        <v>11</v>
      </c>
      <c r="I1143" s="2">
        <v>1</v>
      </c>
      <c r="J1143" s="5">
        <v>46105</v>
      </c>
      <c r="K1143" s="5">
        <v>46106</v>
      </c>
      <c r="L1143" s="2" t="s">
        <v>865</v>
      </c>
      <c r="M1143" s="5">
        <v>45754</v>
      </c>
      <c r="N1143" s="3">
        <f>VLOOKUP(NavDataRegion[[#This Row],[Spool No]],[1]Sheet2!$B:$U,20,0)</f>
        <v>18.116759999999999</v>
      </c>
      <c r="O1143" s="2">
        <v>2</v>
      </c>
      <c r="P1143" s="2">
        <v>2</v>
      </c>
      <c r="Q1143" s="2"/>
    </row>
    <row r="1144" spans="1:17" ht="20.100000000000001" customHeight="1">
      <c r="A1144" s="2" t="s">
        <v>9</v>
      </c>
      <c r="B1144" s="2" t="s">
        <v>1439</v>
      </c>
      <c r="C1144" s="2" t="s">
        <v>1440</v>
      </c>
      <c r="D1144" s="2" t="e">
        <f>VLOOKUP(C:C,Vlookup!A:A,1,0)</f>
        <v>#N/A</v>
      </c>
      <c r="E1144" s="2">
        <v>14</v>
      </c>
      <c r="F1144" s="17" t="s">
        <v>10</v>
      </c>
      <c r="G1144" s="17" t="s">
        <v>25</v>
      </c>
      <c r="H1144" s="2" t="s">
        <v>11</v>
      </c>
      <c r="I1144" s="2">
        <v>1</v>
      </c>
      <c r="J1144" s="5">
        <v>46098</v>
      </c>
      <c r="K1144" s="5">
        <v>46099</v>
      </c>
      <c r="L1144" s="2" t="s">
        <v>865</v>
      </c>
      <c r="M1144" s="5">
        <v>45754</v>
      </c>
      <c r="N1144" s="3">
        <f>VLOOKUP(NavDataRegion[[#This Row],[Spool No]],[1]Sheet2!$B:$U,20,0)</f>
        <v>1.3648</v>
      </c>
      <c r="O1144" s="2">
        <v>0.75</v>
      </c>
      <c r="P1144" s="2">
        <v>0.75</v>
      </c>
      <c r="Q1144" s="2"/>
    </row>
    <row r="1145" spans="1:17" ht="20.100000000000001" customHeight="1">
      <c r="A1145" s="2" t="s">
        <v>9</v>
      </c>
      <c r="B1145" s="2" t="s">
        <v>1443</v>
      </c>
      <c r="C1145" s="2" t="s">
        <v>1444</v>
      </c>
      <c r="D1145" s="2" t="e">
        <f>VLOOKUP(C:C,Vlookup!A:A,1,0)</f>
        <v>#N/A</v>
      </c>
      <c r="E1145" s="2">
        <v>14</v>
      </c>
      <c r="F1145" s="17" t="s">
        <v>10</v>
      </c>
      <c r="G1145" s="17" t="s">
        <v>25</v>
      </c>
      <c r="H1145" s="2" t="s">
        <v>11</v>
      </c>
      <c r="I1145" s="2">
        <v>1</v>
      </c>
      <c r="J1145" s="5">
        <v>46098</v>
      </c>
      <c r="K1145" s="5">
        <v>46099</v>
      </c>
      <c r="L1145" s="2" t="s">
        <v>865</v>
      </c>
      <c r="M1145" s="5">
        <v>45754</v>
      </c>
      <c r="N1145" s="3">
        <f>VLOOKUP(NavDataRegion[[#This Row],[Spool No]],[1]Sheet2!$B:$U,20,0)</f>
        <v>0.64980000000000004</v>
      </c>
      <c r="O1145" s="2">
        <v>0.75</v>
      </c>
      <c r="P1145" s="2">
        <v>0.75</v>
      </c>
      <c r="Q1145" s="2"/>
    </row>
    <row r="1146" spans="1:17" ht="20.100000000000001" customHeight="1">
      <c r="A1146" s="2" t="s">
        <v>9</v>
      </c>
      <c r="B1146" s="2" t="s">
        <v>1447</v>
      </c>
      <c r="C1146" s="2" t="s">
        <v>1448</v>
      </c>
      <c r="D1146" s="2" t="e">
        <f>VLOOKUP(C:C,Vlookup!A:A,1,0)</f>
        <v>#N/A</v>
      </c>
      <c r="E1146" s="2">
        <v>14</v>
      </c>
      <c r="F1146" s="17" t="s">
        <v>10</v>
      </c>
      <c r="G1146" s="17" t="s">
        <v>25</v>
      </c>
      <c r="H1146" s="2" t="s">
        <v>11</v>
      </c>
      <c r="I1146" s="2">
        <v>1</v>
      </c>
      <c r="J1146" s="5">
        <v>46098</v>
      </c>
      <c r="K1146" s="5">
        <v>46099</v>
      </c>
      <c r="L1146" s="2" t="s">
        <v>865</v>
      </c>
      <c r="M1146" s="5">
        <v>45754</v>
      </c>
      <c r="N1146" s="3">
        <f>VLOOKUP(NavDataRegion[[#This Row],[Spool No]],[1]Sheet2!$B:$U,20,0)</f>
        <v>0.64980000000000004</v>
      </c>
      <c r="O1146" s="2">
        <v>0.75</v>
      </c>
      <c r="P1146" s="2">
        <v>0.75</v>
      </c>
      <c r="Q1146" s="2"/>
    </row>
    <row r="1147" spans="1:17" ht="20.100000000000001" customHeight="1">
      <c r="A1147" s="13" t="s">
        <v>9</v>
      </c>
      <c r="B1147" s="13" t="s">
        <v>1449</v>
      </c>
      <c r="C1147" s="13" t="s">
        <v>1450</v>
      </c>
      <c r="D1147" s="13" t="e">
        <f>VLOOKUP(C:C,Vlookup!A:A,1,0)</f>
        <v>#N/A</v>
      </c>
      <c r="E1147" s="2">
        <v>14</v>
      </c>
      <c r="F1147" s="17" t="s">
        <v>10</v>
      </c>
      <c r="G1147" s="17" t="s">
        <v>25</v>
      </c>
      <c r="H1147" s="2" t="s">
        <v>11</v>
      </c>
      <c r="I1147" s="2">
        <v>1</v>
      </c>
      <c r="J1147" s="19">
        <v>46098</v>
      </c>
      <c r="K1147" s="5">
        <v>46099</v>
      </c>
      <c r="L1147" s="2" t="s">
        <v>865</v>
      </c>
      <c r="M1147" s="5">
        <v>45754</v>
      </c>
      <c r="N1147" s="3">
        <f>VLOOKUP(NavDataRegion[[#This Row],[Spool No]],[1]Sheet2!$B:$U,20,0)</f>
        <v>0.81699999999999995</v>
      </c>
      <c r="O1147" s="2">
        <v>0.75</v>
      </c>
      <c r="P1147" s="2">
        <v>0.75</v>
      </c>
      <c r="Q1147" s="2"/>
    </row>
    <row r="1148" spans="1:17" ht="20.100000000000001" customHeight="1">
      <c r="A1148" s="13" t="s">
        <v>9</v>
      </c>
      <c r="B1148" s="13" t="s">
        <v>1141</v>
      </c>
      <c r="C1148" s="13" t="s">
        <v>1818</v>
      </c>
      <c r="D1148" s="13" t="e">
        <f>VLOOKUP(C:C,Vlookup!A:A,1,0)</f>
        <v>#N/A</v>
      </c>
      <c r="E1148" s="2">
        <v>16</v>
      </c>
      <c r="F1148" s="17" t="s">
        <v>10</v>
      </c>
      <c r="G1148" s="17" t="s">
        <v>25</v>
      </c>
      <c r="H1148" s="2" t="s">
        <v>11</v>
      </c>
      <c r="I1148" s="2">
        <v>1</v>
      </c>
      <c r="J1148" s="5">
        <v>46105</v>
      </c>
      <c r="K1148" s="5">
        <v>46111</v>
      </c>
      <c r="L1148" s="2" t="s">
        <v>865</v>
      </c>
      <c r="M1148" s="5">
        <v>46167</v>
      </c>
      <c r="N1148" s="3">
        <f>VLOOKUP(NavDataRegion[[#This Row],[Spool No]],[1]Sheet2!$B:$U,20,0)</f>
        <v>28.940919999999998</v>
      </c>
      <c r="O1148" s="2">
        <v>14</v>
      </c>
      <c r="P1148" s="2">
        <v>2</v>
      </c>
      <c r="Q1148" s="2"/>
    </row>
    <row r="1149" spans="1:17" ht="20.100000000000001" customHeight="1">
      <c r="A1149" s="2" t="s">
        <v>9</v>
      </c>
      <c r="B1149" s="2" t="s">
        <v>1315</v>
      </c>
      <c r="C1149" s="2" t="s">
        <v>1614</v>
      </c>
      <c r="D1149" s="2" t="e">
        <f>VLOOKUP(C:C,Vlookup!A:A,1,0)</f>
        <v>#N/A</v>
      </c>
      <c r="E1149" s="2">
        <v>14</v>
      </c>
      <c r="F1149" s="17" t="s">
        <v>10</v>
      </c>
      <c r="G1149" s="17" t="s">
        <v>25</v>
      </c>
      <c r="H1149" s="2" t="s">
        <v>11</v>
      </c>
      <c r="I1149" s="2">
        <v>1</v>
      </c>
      <c r="J1149" s="5">
        <v>46100</v>
      </c>
      <c r="K1149" s="5">
        <v>46101</v>
      </c>
      <c r="L1149" s="2" t="s">
        <v>865</v>
      </c>
      <c r="M1149" s="5">
        <v>45754</v>
      </c>
      <c r="N1149" s="3">
        <f>VLOOKUP(NavDataRegion[[#This Row],[Spool No]],[1]Sheet2!$B:$U,20,0)</f>
        <v>15.19228</v>
      </c>
      <c r="O1149" s="2">
        <v>8</v>
      </c>
      <c r="P1149" s="2">
        <v>2</v>
      </c>
      <c r="Q1149" s="2"/>
    </row>
    <row r="1150" spans="1:17" ht="20.100000000000001" customHeight="1">
      <c r="A1150" s="2" t="s">
        <v>9</v>
      </c>
      <c r="B1150" s="2" t="s">
        <v>1141</v>
      </c>
      <c r="C1150" s="2" t="s">
        <v>1923</v>
      </c>
      <c r="D1150" s="2" t="e">
        <f>VLOOKUP(C:C,Vlookup!A:A,1,0)</f>
        <v>#N/A</v>
      </c>
      <c r="E1150" s="2">
        <v>16</v>
      </c>
      <c r="F1150" s="17" t="s">
        <v>10</v>
      </c>
      <c r="G1150" s="17" t="s">
        <v>25</v>
      </c>
      <c r="H1150" s="2" t="s">
        <v>11</v>
      </c>
      <c r="I1150" s="2">
        <v>1</v>
      </c>
      <c r="J1150" s="5">
        <v>46105</v>
      </c>
      <c r="K1150" s="5">
        <v>46111</v>
      </c>
      <c r="L1150" s="2" t="s">
        <v>865</v>
      </c>
      <c r="M1150" s="5">
        <v>46167</v>
      </c>
      <c r="N1150" s="3">
        <f>VLOOKUP(NavDataRegion[[#This Row],[Spool No]],[1]Sheet2!$B:$U,20,0)</f>
        <v>20.645800000000001</v>
      </c>
      <c r="O1150" s="2">
        <v>16</v>
      </c>
      <c r="P1150" s="2">
        <v>2</v>
      </c>
      <c r="Q1150" s="2"/>
    </row>
    <row r="1151" spans="1:17" ht="20.100000000000001" customHeight="1">
      <c r="A1151" s="2" t="s">
        <v>9</v>
      </c>
      <c r="B1151" s="2" t="s">
        <v>1315</v>
      </c>
      <c r="C1151" s="2" t="s">
        <v>1763</v>
      </c>
      <c r="D1151" s="2" t="e">
        <f>VLOOKUP(C:C,Vlookup!A:A,1,0)</f>
        <v>#N/A</v>
      </c>
      <c r="E1151" s="2">
        <v>14</v>
      </c>
      <c r="F1151" s="17" t="s">
        <v>10</v>
      </c>
      <c r="G1151" s="17" t="s">
        <v>25</v>
      </c>
      <c r="H1151" s="2" t="s">
        <v>11</v>
      </c>
      <c r="I1151" s="2">
        <v>1</v>
      </c>
      <c r="J1151" s="5">
        <v>46100</v>
      </c>
      <c r="K1151" s="5">
        <v>46101</v>
      </c>
      <c r="L1151" s="2" t="s">
        <v>865</v>
      </c>
      <c r="M1151" s="5">
        <v>45754</v>
      </c>
      <c r="N1151" s="3">
        <f>VLOOKUP(NavDataRegion[[#This Row],[Spool No]],[1]Sheet2!$B:$U,20,0)</f>
        <v>15.633800000000001</v>
      </c>
      <c r="O1151" s="2">
        <v>10</v>
      </c>
      <c r="P1151" s="2">
        <v>2</v>
      </c>
      <c r="Q1151" s="2"/>
    </row>
    <row r="1152" spans="1:17" ht="20.100000000000001" customHeight="1">
      <c r="A1152" s="2" t="s">
        <v>9</v>
      </c>
      <c r="B1152" s="2" t="s">
        <v>1315</v>
      </c>
      <c r="C1152" s="2" t="s">
        <v>1316</v>
      </c>
      <c r="D1152" s="2" t="e">
        <f>VLOOKUP(C:C,Vlookup!A:A,1,0)</f>
        <v>#N/A</v>
      </c>
      <c r="E1152" s="2">
        <v>14</v>
      </c>
      <c r="F1152" s="17" t="s">
        <v>10</v>
      </c>
      <c r="G1152" s="17" t="s">
        <v>25</v>
      </c>
      <c r="H1152" s="2" t="s">
        <v>11</v>
      </c>
      <c r="I1152" s="2">
        <v>1</v>
      </c>
      <c r="J1152" s="5">
        <v>46101</v>
      </c>
      <c r="K1152" s="5">
        <v>46104</v>
      </c>
      <c r="L1152" s="2" t="s">
        <v>865</v>
      </c>
      <c r="M1152" s="5">
        <v>45754</v>
      </c>
      <c r="N1152" s="3">
        <f>VLOOKUP(NavDataRegion[[#This Row],[Spool No]],[1]Sheet2!$B:$U,20,0)</f>
        <v>49.261200000000002</v>
      </c>
      <c r="O1152" s="2">
        <v>16</v>
      </c>
      <c r="P1152" s="2">
        <v>2</v>
      </c>
      <c r="Q1152" s="2"/>
    </row>
    <row r="1153" spans="1:17" ht="20.100000000000001" customHeight="1">
      <c r="A1153" s="2" t="s">
        <v>9</v>
      </c>
      <c r="B1153" s="2" t="s">
        <v>1369</v>
      </c>
      <c r="C1153" s="2" t="s">
        <v>1632</v>
      </c>
      <c r="D1153" s="2" t="e">
        <f>VLOOKUP(C:C,Vlookup!A:A,1,0)</f>
        <v>#N/A</v>
      </c>
      <c r="E1153" s="2">
        <v>14</v>
      </c>
      <c r="F1153" s="17" t="s">
        <v>10</v>
      </c>
      <c r="G1153" s="17" t="s">
        <v>25</v>
      </c>
      <c r="H1153" s="2" t="s">
        <v>11</v>
      </c>
      <c r="I1153" s="2">
        <v>1</v>
      </c>
      <c r="J1153" s="5">
        <v>46100</v>
      </c>
      <c r="K1153" s="5">
        <v>46101</v>
      </c>
      <c r="L1153" s="2" t="s">
        <v>865</v>
      </c>
      <c r="M1153" s="5">
        <v>45754</v>
      </c>
      <c r="N1153" s="3">
        <f>VLOOKUP(NavDataRegion[[#This Row],[Spool No]],[1]Sheet2!$B:$U,20,0)</f>
        <v>57.375839999999997</v>
      </c>
      <c r="O1153" s="2">
        <v>10</v>
      </c>
      <c r="P1153" s="2">
        <v>2</v>
      </c>
      <c r="Q1153" s="2"/>
    </row>
    <row r="1154" spans="1:17" ht="20.100000000000001" customHeight="1">
      <c r="A1154" s="2" t="s">
        <v>9</v>
      </c>
      <c r="B1154" s="2" t="s">
        <v>1407</v>
      </c>
      <c r="C1154" s="2" t="s">
        <v>1638</v>
      </c>
      <c r="D1154" s="2" t="e">
        <f>VLOOKUP(C:C,Vlookup!A:A,1,0)</f>
        <v>#N/A</v>
      </c>
      <c r="E1154" s="2">
        <v>14</v>
      </c>
      <c r="F1154" s="17" t="s">
        <v>10</v>
      </c>
      <c r="G1154" s="17" t="s">
        <v>25</v>
      </c>
      <c r="H1154" s="2" t="s">
        <v>11</v>
      </c>
      <c r="I1154" s="2">
        <v>1</v>
      </c>
      <c r="J1154" s="5">
        <v>46100</v>
      </c>
      <c r="K1154" s="5">
        <v>46101</v>
      </c>
      <c r="L1154" s="2" t="s">
        <v>865</v>
      </c>
      <c r="M1154" s="5">
        <v>45754</v>
      </c>
      <c r="N1154" s="3">
        <f>VLOOKUP(NavDataRegion[[#This Row],[Spool No]],[1]Sheet2!$B:$U,20,0)</f>
        <v>30.32432</v>
      </c>
      <c r="O1154" s="2">
        <v>6</v>
      </c>
      <c r="P1154" s="2">
        <v>2</v>
      </c>
      <c r="Q1154" s="2"/>
    </row>
    <row r="1155" spans="1:17" ht="20.100000000000001" customHeight="1">
      <c r="A1155" s="2" t="s">
        <v>9</v>
      </c>
      <c r="B1155" s="2" t="s">
        <v>1331</v>
      </c>
      <c r="C1155" s="2" t="s">
        <v>1332</v>
      </c>
      <c r="D1155" s="2" t="e">
        <f>VLOOKUP(C:C,Vlookup!A:A,1,0)</f>
        <v>#N/A</v>
      </c>
      <c r="E1155" s="2">
        <v>14</v>
      </c>
      <c r="F1155" s="17" t="s">
        <v>10</v>
      </c>
      <c r="G1155" s="17" t="s">
        <v>25</v>
      </c>
      <c r="H1155" s="2" t="s">
        <v>11</v>
      </c>
      <c r="I1155" s="2">
        <v>1</v>
      </c>
      <c r="J1155" s="5">
        <v>46093</v>
      </c>
      <c r="K1155" s="5">
        <v>46094</v>
      </c>
      <c r="L1155" s="2" t="s">
        <v>865</v>
      </c>
      <c r="M1155" s="5">
        <v>45754</v>
      </c>
      <c r="N1155" s="3">
        <f>VLOOKUP(NavDataRegion[[#This Row],[Spool No]],[1]Sheet2!$B:$U,20,0)</f>
        <v>6.6397199999999996</v>
      </c>
      <c r="O1155" s="2">
        <v>3</v>
      </c>
      <c r="P1155" s="2">
        <v>1</v>
      </c>
      <c r="Q1155" s="2"/>
    </row>
    <row r="1156" spans="1:17" ht="20.100000000000001" customHeight="1">
      <c r="A1156" s="2" t="s">
        <v>9</v>
      </c>
      <c r="B1156" s="2" t="s">
        <v>1305</v>
      </c>
      <c r="C1156" s="2" t="s">
        <v>1306</v>
      </c>
      <c r="D1156" s="2" t="e">
        <f>VLOOKUP(C:C,Vlookup!A:A,1,0)</f>
        <v>#N/A</v>
      </c>
      <c r="E1156" s="2">
        <v>14</v>
      </c>
      <c r="F1156" s="17" t="s">
        <v>10</v>
      </c>
      <c r="G1156" s="17" t="s">
        <v>25</v>
      </c>
      <c r="H1156" s="2" t="s">
        <v>11</v>
      </c>
      <c r="I1156" s="2">
        <v>1</v>
      </c>
      <c r="J1156" s="5">
        <v>46105</v>
      </c>
      <c r="K1156" s="5">
        <v>46107</v>
      </c>
      <c r="L1156" s="2" t="s">
        <v>865</v>
      </c>
      <c r="M1156" s="5">
        <v>45754</v>
      </c>
      <c r="N1156" s="3">
        <f>VLOOKUP(NavDataRegion[[#This Row],[Spool No]],[1]Sheet2!$B:$U,20,0)</f>
        <v>39.060760000000002</v>
      </c>
      <c r="O1156" s="2">
        <v>4</v>
      </c>
      <c r="P1156" s="2">
        <v>2</v>
      </c>
      <c r="Q1156" s="2"/>
    </row>
    <row r="1157" spans="1:17" ht="20.100000000000001" customHeight="1">
      <c r="A1157" s="2" t="s">
        <v>9</v>
      </c>
      <c r="B1157" s="2" t="s">
        <v>1331</v>
      </c>
      <c r="C1157" s="2" t="s">
        <v>1621</v>
      </c>
      <c r="D1157" s="2" t="e">
        <f>VLOOKUP(C:C,Vlookup!A:A,1,0)</f>
        <v>#N/A</v>
      </c>
      <c r="E1157" s="2">
        <v>14</v>
      </c>
      <c r="F1157" s="17" t="s">
        <v>10</v>
      </c>
      <c r="G1157" s="17" t="s">
        <v>25</v>
      </c>
      <c r="H1157" s="2" t="s">
        <v>11</v>
      </c>
      <c r="I1157" s="2">
        <v>1</v>
      </c>
      <c r="J1157" s="5">
        <v>46093</v>
      </c>
      <c r="K1157" s="5">
        <v>46094</v>
      </c>
      <c r="L1157" s="2" t="s">
        <v>865</v>
      </c>
      <c r="M1157" s="5">
        <v>45754</v>
      </c>
      <c r="N1157" s="3">
        <f>VLOOKUP(NavDataRegion[[#This Row],[Spool No]],[1]Sheet2!$B:$U,20,0)</f>
        <v>9.9893999999999998</v>
      </c>
      <c r="O1157" s="2">
        <v>1</v>
      </c>
      <c r="P1157" s="2">
        <v>1</v>
      </c>
      <c r="Q1157" s="2"/>
    </row>
    <row r="1158" spans="1:17" ht="20.100000000000001" customHeight="1">
      <c r="A1158" s="2" t="s">
        <v>9</v>
      </c>
      <c r="B1158" s="2" t="s">
        <v>1331</v>
      </c>
      <c r="C1158" s="2" t="s">
        <v>1768</v>
      </c>
      <c r="D1158" s="2" t="e">
        <f>VLOOKUP(C:C,Vlookup!A:A,1,0)</f>
        <v>#N/A</v>
      </c>
      <c r="E1158" s="2">
        <v>14</v>
      </c>
      <c r="F1158" s="17" t="s">
        <v>10</v>
      </c>
      <c r="G1158" s="17" t="s">
        <v>25</v>
      </c>
      <c r="H1158" s="2" t="s">
        <v>11</v>
      </c>
      <c r="I1158" s="2">
        <v>1</v>
      </c>
      <c r="J1158" s="5">
        <v>46093</v>
      </c>
      <c r="K1158" s="5">
        <v>46094</v>
      </c>
      <c r="L1158" s="2" t="s">
        <v>865</v>
      </c>
      <c r="M1158" s="5">
        <v>45754</v>
      </c>
      <c r="N1158" s="3">
        <f>VLOOKUP(NavDataRegion[[#This Row],[Spool No]],[1]Sheet2!$B:$U,20,0)</f>
        <v>9.9343199999999996</v>
      </c>
      <c r="O1158" s="2">
        <v>1</v>
      </c>
      <c r="P1158" s="2">
        <v>1</v>
      </c>
      <c r="Q1158" s="2"/>
    </row>
    <row r="1159" spans="1:17" ht="20.100000000000001" customHeight="1">
      <c r="A1159" s="2" t="s">
        <v>9</v>
      </c>
      <c r="B1159" s="2" t="s">
        <v>1305</v>
      </c>
      <c r="C1159" s="2" t="s">
        <v>1609</v>
      </c>
      <c r="D1159" s="2" t="e">
        <f>VLOOKUP(C:C,Vlookup!A:A,1,0)</f>
        <v>#N/A</v>
      </c>
      <c r="E1159" s="2">
        <v>14</v>
      </c>
      <c r="F1159" s="17" t="s">
        <v>10</v>
      </c>
      <c r="G1159" s="17" t="s">
        <v>25</v>
      </c>
      <c r="H1159" s="2" t="s">
        <v>11</v>
      </c>
      <c r="I1159" s="2">
        <v>1</v>
      </c>
      <c r="J1159" s="5">
        <v>46105</v>
      </c>
      <c r="K1159" s="5">
        <v>46107</v>
      </c>
      <c r="L1159" s="2" t="s">
        <v>865</v>
      </c>
      <c r="M1159" s="5">
        <v>45754</v>
      </c>
      <c r="N1159" s="3">
        <f>VLOOKUP(NavDataRegion[[#This Row],[Spool No]],[1]Sheet2!$B:$U,20,0)</f>
        <v>35.717199999999998</v>
      </c>
      <c r="O1159" s="2">
        <v>2</v>
      </c>
      <c r="P1159" s="2">
        <v>2</v>
      </c>
      <c r="Q1159" s="2"/>
    </row>
    <row r="1160" spans="1:17" ht="20.100000000000001" customHeight="1">
      <c r="A1160" s="2" t="s">
        <v>9</v>
      </c>
      <c r="B1160" s="2" t="s">
        <v>1317</v>
      </c>
      <c r="C1160" s="2" t="s">
        <v>1615</v>
      </c>
      <c r="D1160" s="2" t="e">
        <f>VLOOKUP(C:C,Vlookup!A:A,1,0)</f>
        <v>#N/A</v>
      </c>
      <c r="E1160" s="2">
        <v>14</v>
      </c>
      <c r="F1160" s="17" t="s">
        <v>10</v>
      </c>
      <c r="G1160" s="17" t="s">
        <v>25</v>
      </c>
      <c r="H1160" s="2" t="s">
        <v>11</v>
      </c>
      <c r="I1160" s="2">
        <v>1</v>
      </c>
      <c r="J1160" s="5">
        <v>46101</v>
      </c>
      <c r="K1160" s="5">
        <v>46104</v>
      </c>
      <c r="L1160" s="2" t="s">
        <v>865</v>
      </c>
      <c r="M1160" s="5">
        <v>45754</v>
      </c>
      <c r="N1160" s="3">
        <f>VLOOKUP(NavDataRegion[[#This Row],[Spool No]],[1]Sheet2!$B:$U,20,0)</f>
        <v>45.6</v>
      </c>
      <c r="O1160" s="2">
        <v>2</v>
      </c>
      <c r="P1160" s="2">
        <v>2</v>
      </c>
      <c r="Q1160" s="2"/>
    </row>
    <row r="1161" spans="1:17" ht="20.100000000000001" customHeight="1">
      <c r="A1161" s="2" t="s">
        <v>9</v>
      </c>
      <c r="B1161" s="2" t="s">
        <v>1147</v>
      </c>
      <c r="C1161" s="2" t="s">
        <v>1713</v>
      </c>
      <c r="D1161" s="2" t="e">
        <f>VLOOKUP(C:C,Vlookup!A:A,1,0)</f>
        <v>#N/A</v>
      </c>
      <c r="E1161" s="2">
        <v>16</v>
      </c>
      <c r="F1161" s="17" t="s">
        <v>10</v>
      </c>
      <c r="G1161" s="17" t="s">
        <v>25</v>
      </c>
      <c r="H1161" s="2" t="s">
        <v>11</v>
      </c>
      <c r="I1161" s="2">
        <v>1</v>
      </c>
      <c r="J1161" s="5">
        <v>46105</v>
      </c>
      <c r="K1161" s="5">
        <v>46108</v>
      </c>
      <c r="L1161" s="2" t="s">
        <v>865</v>
      </c>
      <c r="M1161" s="5">
        <v>46167</v>
      </c>
      <c r="N1161" s="3">
        <f>VLOOKUP(NavDataRegion[[#This Row],[Spool No]],[1]Sheet2!$B:$U,20,0)</f>
        <v>34.341079999999998</v>
      </c>
      <c r="O1161" s="2">
        <v>6</v>
      </c>
      <c r="P1161" s="2">
        <v>2</v>
      </c>
      <c r="Q1161" s="2"/>
    </row>
    <row r="1162" spans="1:17" ht="20.100000000000001" customHeight="1">
      <c r="A1162" s="2" t="s">
        <v>9</v>
      </c>
      <c r="B1162" s="2" t="s">
        <v>925</v>
      </c>
      <c r="C1162" s="2" t="s">
        <v>1662</v>
      </c>
      <c r="D1162" s="2" t="e">
        <f>VLOOKUP(C:C,Vlookup!A:A,1,0)</f>
        <v>#N/A</v>
      </c>
      <c r="E1162" s="2">
        <v>14</v>
      </c>
      <c r="F1162" s="17" t="s">
        <v>10</v>
      </c>
      <c r="G1162" s="17" t="s">
        <v>25</v>
      </c>
      <c r="H1162" s="2" t="s">
        <v>11</v>
      </c>
      <c r="I1162" s="2">
        <v>1</v>
      </c>
      <c r="J1162" s="5">
        <v>46105</v>
      </c>
      <c r="K1162" s="5">
        <v>46106</v>
      </c>
      <c r="L1162" s="2" t="s">
        <v>865</v>
      </c>
      <c r="M1162" s="5">
        <v>45754</v>
      </c>
      <c r="N1162" s="3">
        <f>VLOOKUP(NavDataRegion[[#This Row],[Spool No]],[1]Sheet2!$B:$U,20,0)</f>
        <v>28.705559999999998</v>
      </c>
      <c r="O1162" s="2">
        <v>12</v>
      </c>
      <c r="P1162" s="2">
        <v>2</v>
      </c>
      <c r="Q1162" s="2"/>
    </row>
    <row r="1163" spans="1:17" ht="20.100000000000001" customHeight="1">
      <c r="A1163" s="2" t="s">
        <v>9</v>
      </c>
      <c r="B1163" s="2" t="s">
        <v>1057</v>
      </c>
      <c r="C1163" s="2" t="s">
        <v>1697</v>
      </c>
      <c r="D1163" s="2" t="e">
        <f>VLOOKUP(C:C,Vlookup!A:A,1,0)</f>
        <v>#N/A</v>
      </c>
      <c r="E1163" s="2">
        <v>23</v>
      </c>
      <c r="F1163" s="17" t="s">
        <v>10</v>
      </c>
      <c r="G1163" s="17" t="s">
        <v>25</v>
      </c>
      <c r="H1163" s="2" t="s">
        <v>11</v>
      </c>
      <c r="I1163" s="2">
        <v>1</v>
      </c>
      <c r="J1163" s="5">
        <v>46169</v>
      </c>
      <c r="K1163" s="5">
        <v>46170</v>
      </c>
      <c r="L1163" s="2" t="s">
        <v>865</v>
      </c>
      <c r="M1163" s="5">
        <v>46185</v>
      </c>
      <c r="N1163" s="3">
        <f>VLOOKUP(NavDataRegion[[#This Row],[Spool No]],[1]Sheet2!$B:$U,20,0)</f>
        <v>95.409639999999996</v>
      </c>
      <c r="O1163" s="2">
        <v>14</v>
      </c>
      <c r="P1163" s="2">
        <v>2</v>
      </c>
      <c r="Q1163" s="2"/>
    </row>
    <row r="1164" spans="1:17" ht="20.100000000000001" customHeight="1">
      <c r="A1164" s="2" t="s">
        <v>9</v>
      </c>
      <c r="B1164" s="2" t="s">
        <v>1317</v>
      </c>
      <c r="C1164" s="2" t="s">
        <v>1318</v>
      </c>
      <c r="D1164" s="2" t="e">
        <f>VLOOKUP(C:C,Vlookup!A:A,1,0)</f>
        <v>#N/A</v>
      </c>
      <c r="E1164" s="2">
        <v>14</v>
      </c>
      <c r="F1164" s="17" t="s">
        <v>10</v>
      </c>
      <c r="G1164" s="17" t="s">
        <v>25</v>
      </c>
      <c r="H1164" s="2" t="s">
        <v>11</v>
      </c>
      <c r="I1164" s="2">
        <v>1</v>
      </c>
      <c r="J1164" s="5">
        <v>46105</v>
      </c>
      <c r="K1164" s="5">
        <v>46107</v>
      </c>
      <c r="L1164" s="2" t="s">
        <v>865</v>
      </c>
      <c r="M1164" s="5">
        <v>45754</v>
      </c>
      <c r="N1164" s="3">
        <f>VLOOKUP(NavDataRegion[[#This Row],[Spool No]],[1]Sheet2!$B:$U,20,0)</f>
        <v>53.089399999999998</v>
      </c>
      <c r="O1164" s="2">
        <v>6</v>
      </c>
      <c r="P1164" s="2">
        <v>2</v>
      </c>
      <c r="Q1164" s="2"/>
    </row>
    <row r="1165" spans="1:17" ht="20.100000000000001" customHeight="1">
      <c r="A1165" s="2" t="s">
        <v>9</v>
      </c>
      <c r="B1165" s="2" t="s">
        <v>1147</v>
      </c>
      <c r="C1165" s="2" t="s">
        <v>1819</v>
      </c>
      <c r="D1165" s="2" t="e">
        <f>VLOOKUP(C:C,Vlookup!A:A,1,0)</f>
        <v>#N/A</v>
      </c>
      <c r="E1165" s="2">
        <v>16</v>
      </c>
      <c r="F1165" s="17" t="s">
        <v>10</v>
      </c>
      <c r="G1165" s="17" t="s">
        <v>25</v>
      </c>
      <c r="H1165" s="2" t="s">
        <v>11</v>
      </c>
      <c r="I1165" s="2">
        <v>1</v>
      </c>
      <c r="J1165" s="5">
        <v>46105</v>
      </c>
      <c r="K1165" s="5">
        <v>46111</v>
      </c>
      <c r="L1165" s="2" t="s">
        <v>865</v>
      </c>
      <c r="M1165" s="5">
        <v>46167</v>
      </c>
      <c r="N1165" s="3">
        <f>VLOOKUP(NavDataRegion[[#This Row],[Spool No]],[1]Sheet2!$B:$U,20,0)</f>
        <v>98.530240000000006</v>
      </c>
      <c r="O1165" s="2">
        <v>6</v>
      </c>
      <c r="P1165" s="2">
        <v>2</v>
      </c>
      <c r="Q1165" s="2"/>
    </row>
    <row r="1166" spans="1:17" ht="20.100000000000001" customHeight="1">
      <c r="A1166" s="2" t="s">
        <v>9</v>
      </c>
      <c r="B1166" s="2" t="s">
        <v>1149</v>
      </c>
      <c r="C1166" s="2" t="s">
        <v>1714</v>
      </c>
      <c r="D1166" s="2" t="e">
        <f>VLOOKUP(C:C,Vlookup!A:A,1,0)</f>
        <v>#N/A</v>
      </c>
      <c r="E1166" s="2">
        <v>14</v>
      </c>
      <c r="F1166" s="17" t="s">
        <v>10</v>
      </c>
      <c r="G1166" s="17" t="s">
        <v>25</v>
      </c>
      <c r="H1166" s="2" t="s">
        <v>11</v>
      </c>
      <c r="I1166" s="2">
        <v>1</v>
      </c>
      <c r="J1166" s="5">
        <v>46105</v>
      </c>
      <c r="K1166" s="5">
        <v>46106</v>
      </c>
      <c r="L1166" s="2" t="s">
        <v>865</v>
      </c>
      <c r="M1166" s="5">
        <v>45754</v>
      </c>
      <c r="N1166" s="3">
        <f>VLOOKUP(NavDataRegion[[#This Row],[Spool No]],[1]Sheet2!$B:$U,20,0)</f>
        <v>18.572120000000002</v>
      </c>
      <c r="O1166" s="2">
        <v>10</v>
      </c>
      <c r="P1166" s="2">
        <v>2</v>
      </c>
      <c r="Q1166" s="2"/>
    </row>
    <row r="1167" spans="1:17" ht="20.100000000000001" customHeight="1">
      <c r="A1167" s="2" t="s">
        <v>9</v>
      </c>
      <c r="B1167" s="2" t="s">
        <v>1149</v>
      </c>
      <c r="C1167" s="2" t="s">
        <v>1550</v>
      </c>
      <c r="D1167" s="2" t="e">
        <f>VLOOKUP(C:C,Vlookup!A:A,1,0)</f>
        <v>#N/A</v>
      </c>
      <c r="E1167" s="2">
        <v>16</v>
      </c>
      <c r="F1167" s="17" t="s">
        <v>10</v>
      </c>
      <c r="G1167" s="17" t="s">
        <v>25</v>
      </c>
      <c r="H1167" s="2" t="s">
        <v>11</v>
      </c>
      <c r="I1167" s="2">
        <v>1</v>
      </c>
      <c r="J1167" s="5">
        <v>46105</v>
      </c>
      <c r="K1167" s="5">
        <v>46108</v>
      </c>
      <c r="L1167" s="2" t="s">
        <v>865</v>
      </c>
      <c r="M1167" s="5">
        <v>46167</v>
      </c>
      <c r="N1167" s="3">
        <f>VLOOKUP(NavDataRegion[[#This Row],[Spool No]],[1]Sheet2!$B:$U,20,0)</f>
        <v>31.4588</v>
      </c>
      <c r="O1167" s="2">
        <v>14</v>
      </c>
      <c r="P1167" s="2">
        <v>2</v>
      </c>
      <c r="Q1167" s="2"/>
    </row>
    <row r="1168" spans="1:17" ht="20.100000000000001" customHeight="1">
      <c r="A1168" s="2" t="s">
        <v>9</v>
      </c>
      <c r="B1168" s="2" t="s">
        <v>1321</v>
      </c>
      <c r="C1168" s="2" t="s">
        <v>1765</v>
      </c>
      <c r="D1168" s="2" t="e">
        <f>VLOOKUP(C:C,Vlookup!A:A,1,0)</f>
        <v>#N/A</v>
      </c>
      <c r="E1168" s="2">
        <v>14</v>
      </c>
      <c r="F1168" s="17" t="s">
        <v>10</v>
      </c>
      <c r="G1168" s="17" t="s">
        <v>25</v>
      </c>
      <c r="H1168" s="2" t="s">
        <v>11</v>
      </c>
      <c r="I1168" s="2">
        <v>1</v>
      </c>
      <c r="J1168" s="5">
        <v>46101</v>
      </c>
      <c r="K1168" s="5">
        <v>46104</v>
      </c>
      <c r="L1168" s="2" t="s">
        <v>865</v>
      </c>
      <c r="M1168" s="5">
        <v>45754</v>
      </c>
      <c r="N1168" s="3">
        <f>VLOOKUP(NavDataRegion[[#This Row],[Spool No]],[1]Sheet2!$B:$U,20,0)</f>
        <v>30.056280000000001</v>
      </c>
      <c r="O1168" s="2">
        <v>6</v>
      </c>
      <c r="P1168" s="2">
        <v>1</v>
      </c>
      <c r="Q1168" s="2"/>
    </row>
    <row r="1169" spans="1:17" ht="20.100000000000001" customHeight="1">
      <c r="A1169" s="2" t="s">
        <v>9</v>
      </c>
      <c r="B1169" s="2" t="s">
        <v>1303</v>
      </c>
      <c r="C1169" s="2" t="s">
        <v>1761</v>
      </c>
      <c r="D1169" s="2" t="e">
        <f>VLOOKUP(C:C,Vlookup!A:A,1,0)</f>
        <v>#N/A</v>
      </c>
      <c r="E1169" s="2">
        <v>23</v>
      </c>
      <c r="F1169" s="17" t="s">
        <v>10</v>
      </c>
      <c r="G1169" s="17" t="s">
        <v>25</v>
      </c>
      <c r="H1169" s="2" t="s">
        <v>11</v>
      </c>
      <c r="I1169" s="2">
        <v>1</v>
      </c>
      <c r="J1169" s="5">
        <v>46170</v>
      </c>
      <c r="K1169" s="5">
        <v>46175</v>
      </c>
      <c r="L1169" s="2" t="s">
        <v>865</v>
      </c>
      <c r="M1169" s="5">
        <v>46185</v>
      </c>
      <c r="N1169" s="3">
        <f>VLOOKUP(NavDataRegion[[#This Row],[Spool No]],[1]Sheet2!$B:$U,20,0)</f>
        <v>52.398479999999999</v>
      </c>
      <c r="O1169" s="2">
        <v>2</v>
      </c>
      <c r="P1169" s="2">
        <v>2</v>
      </c>
      <c r="Q1169" s="2"/>
    </row>
    <row r="1170" spans="1:17" ht="20.100000000000001" customHeight="1">
      <c r="A1170" s="2" t="s">
        <v>9</v>
      </c>
      <c r="B1170" s="2" t="s">
        <v>1335</v>
      </c>
      <c r="C1170" s="2" t="s">
        <v>1622</v>
      </c>
      <c r="D1170" s="2" t="e">
        <f>VLOOKUP(C:C,Vlookup!A:A,1,0)</f>
        <v>#N/A</v>
      </c>
      <c r="E1170" s="2">
        <v>14</v>
      </c>
      <c r="F1170" s="17" t="s">
        <v>10</v>
      </c>
      <c r="G1170" s="17" t="s">
        <v>25</v>
      </c>
      <c r="H1170" s="2" t="s">
        <v>11</v>
      </c>
      <c r="I1170" s="2">
        <v>1</v>
      </c>
      <c r="J1170" s="5">
        <v>46093</v>
      </c>
      <c r="K1170" s="5">
        <v>46094</v>
      </c>
      <c r="L1170" s="2" t="s">
        <v>865</v>
      </c>
      <c r="M1170" s="5">
        <v>45754</v>
      </c>
      <c r="N1170" s="3">
        <f>VLOOKUP(NavDataRegion[[#This Row],[Spool No]],[1]Sheet2!$B:$U,20,0)</f>
        <v>7.0571999999999999</v>
      </c>
      <c r="O1170" s="2">
        <v>2</v>
      </c>
      <c r="P1170" s="2">
        <v>1</v>
      </c>
      <c r="Q1170" s="2"/>
    </row>
    <row r="1171" spans="1:17" ht="20.100000000000001" customHeight="1">
      <c r="A1171" s="2" t="s">
        <v>9</v>
      </c>
      <c r="B1171" s="2" t="s">
        <v>1373</v>
      </c>
      <c r="C1171" s="2" t="s">
        <v>1374</v>
      </c>
      <c r="D1171" s="2" t="e">
        <f>VLOOKUP(C:C,Vlookup!A:A,1,0)</f>
        <v>#N/A</v>
      </c>
      <c r="E1171" s="2">
        <v>14</v>
      </c>
      <c r="F1171" s="17" t="s">
        <v>10</v>
      </c>
      <c r="G1171" s="17" t="s">
        <v>25</v>
      </c>
      <c r="H1171" s="2" t="s">
        <v>11</v>
      </c>
      <c r="I1171" s="2">
        <v>1</v>
      </c>
      <c r="J1171" s="5">
        <v>46093</v>
      </c>
      <c r="K1171" s="5">
        <v>46094</v>
      </c>
      <c r="L1171" s="2" t="s">
        <v>865</v>
      </c>
      <c r="M1171" s="5">
        <v>45754</v>
      </c>
      <c r="N1171" s="3">
        <f>VLOOKUP(NavDataRegion[[#This Row],[Spool No]],[1]Sheet2!$B:$U,20,0)</f>
        <v>8.4777199999999997</v>
      </c>
      <c r="O1171" s="2">
        <v>4</v>
      </c>
      <c r="P1171" s="2">
        <v>1</v>
      </c>
      <c r="Q1171" s="2"/>
    </row>
    <row r="1172" spans="1:17" ht="20.100000000000001" customHeight="1">
      <c r="A1172" s="2" t="s">
        <v>9</v>
      </c>
      <c r="B1172" s="2" t="s">
        <v>1375</v>
      </c>
      <c r="C1172" s="2" t="s">
        <v>1376</v>
      </c>
      <c r="D1172" s="2" t="e">
        <f>VLOOKUP(C:C,Vlookup!A:A,1,0)</f>
        <v>#N/A</v>
      </c>
      <c r="E1172" s="2">
        <v>14</v>
      </c>
      <c r="F1172" s="17" t="s">
        <v>10</v>
      </c>
      <c r="G1172" s="17" t="s">
        <v>25</v>
      </c>
      <c r="H1172" s="2" t="s">
        <v>11</v>
      </c>
      <c r="I1172" s="2">
        <v>1</v>
      </c>
      <c r="J1172" s="5">
        <v>46093</v>
      </c>
      <c r="K1172" s="5">
        <v>46094</v>
      </c>
      <c r="L1172" s="2" t="s">
        <v>865</v>
      </c>
      <c r="M1172" s="5">
        <v>45754</v>
      </c>
      <c r="N1172" s="3">
        <f>VLOOKUP(NavDataRegion[[#This Row],[Spool No]],[1]Sheet2!$B:$U,20,0)</f>
        <v>8.4096799999999998</v>
      </c>
      <c r="O1172" s="2">
        <v>3</v>
      </c>
      <c r="P1172" s="2">
        <v>1</v>
      </c>
      <c r="Q1172" s="2"/>
    </row>
    <row r="1173" spans="1:17" ht="20.100000000000001" customHeight="1">
      <c r="A1173" s="2" t="s">
        <v>9</v>
      </c>
      <c r="B1173" s="2" t="s">
        <v>1407</v>
      </c>
      <c r="C1173" s="2" t="s">
        <v>1861</v>
      </c>
      <c r="D1173" s="2" t="e">
        <f>VLOOKUP(C:C,Vlookup!A:A,1,0)</f>
        <v>#N/A</v>
      </c>
      <c r="E1173" s="2">
        <v>14</v>
      </c>
      <c r="F1173" s="17" t="s">
        <v>10</v>
      </c>
      <c r="G1173" s="17" t="s">
        <v>25</v>
      </c>
      <c r="H1173" s="2" t="s">
        <v>11</v>
      </c>
      <c r="I1173" s="2">
        <v>1</v>
      </c>
      <c r="J1173" s="5">
        <v>46100</v>
      </c>
      <c r="K1173" s="5">
        <v>46101</v>
      </c>
      <c r="L1173" s="2" t="s">
        <v>865</v>
      </c>
      <c r="M1173" s="5">
        <v>45754</v>
      </c>
      <c r="N1173" s="3">
        <f>VLOOKUP(NavDataRegion[[#This Row],[Spool No]],[1]Sheet2!$B:$U,20,0)</f>
        <v>46.61</v>
      </c>
      <c r="O1173" s="2">
        <v>4</v>
      </c>
      <c r="P1173" s="2">
        <v>2</v>
      </c>
      <c r="Q1173" s="2"/>
    </row>
    <row r="1174" spans="1:17" ht="20.100000000000001" customHeight="1">
      <c r="A1174" s="2" t="s">
        <v>9</v>
      </c>
      <c r="B1174" s="2" t="s">
        <v>1149</v>
      </c>
      <c r="C1174" s="2" t="s">
        <v>1887</v>
      </c>
      <c r="D1174" s="2" t="e">
        <f>VLOOKUP(C:C,Vlookup!A:A,1,0)</f>
        <v>#N/A</v>
      </c>
      <c r="E1174" s="2">
        <v>16</v>
      </c>
      <c r="F1174" s="17" t="s">
        <v>10</v>
      </c>
      <c r="G1174" s="17" t="s">
        <v>25</v>
      </c>
      <c r="H1174" s="2" t="s">
        <v>11</v>
      </c>
      <c r="I1174" s="2">
        <v>1</v>
      </c>
      <c r="J1174" s="5">
        <v>46105</v>
      </c>
      <c r="K1174" s="5">
        <v>46108</v>
      </c>
      <c r="L1174" s="2" t="s">
        <v>865</v>
      </c>
      <c r="M1174" s="5">
        <v>46167</v>
      </c>
      <c r="N1174" s="3">
        <f>VLOOKUP(NavDataRegion[[#This Row],[Spool No]],[1]Sheet2!$B:$U,20,0)</f>
        <v>40.442279999999997</v>
      </c>
      <c r="O1174" s="2">
        <v>16</v>
      </c>
      <c r="P1174" s="2">
        <v>2</v>
      </c>
      <c r="Q1174" s="2"/>
    </row>
    <row r="1175" spans="1:17" ht="20.100000000000001" customHeight="1">
      <c r="A1175" s="2" t="s">
        <v>9</v>
      </c>
      <c r="B1175" s="2" t="s">
        <v>1337</v>
      </c>
      <c r="C1175" s="2" t="s">
        <v>1338</v>
      </c>
      <c r="D1175" s="2" t="e">
        <f>VLOOKUP(C:C,Vlookup!A:A,1,0)</f>
        <v>#N/A</v>
      </c>
      <c r="E1175" s="2">
        <v>14</v>
      </c>
      <c r="F1175" s="17" t="s">
        <v>10</v>
      </c>
      <c r="G1175" s="17" t="s">
        <v>25</v>
      </c>
      <c r="H1175" s="2" t="s">
        <v>11</v>
      </c>
      <c r="I1175" s="2">
        <v>1</v>
      </c>
      <c r="J1175" s="5">
        <v>46101</v>
      </c>
      <c r="K1175" s="5">
        <v>46104</v>
      </c>
      <c r="L1175" s="2" t="s">
        <v>865</v>
      </c>
      <c r="M1175" s="5">
        <v>45754</v>
      </c>
      <c r="N1175" s="3">
        <f>VLOOKUP(NavDataRegion[[#This Row],[Spool No]],[1]Sheet2!$B:$U,20,0)</f>
        <v>0.26406000000000002</v>
      </c>
      <c r="O1175" s="2">
        <v>0</v>
      </c>
      <c r="P1175" s="2">
        <v>0.5</v>
      </c>
      <c r="Q1175" s="2"/>
    </row>
    <row r="1176" spans="1:17" ht="20.100000000000001" customHeight="1">
      <c r="A1176" s="2" t="s">
        <v>9</v>
      </c>
      <c r="B1176" s="2" t="s">
        <v>1151</v>
      </c>
      <c r="C1176" s="2" t="s">
        <v>1551</v>
      </c>
      <c r="D1176" s="2" t="e">
        <f>VLOOKUP(C:C,Vlookup!A:A,1,0)</f>
        <v>#N/A</v>
      </c>
      <c r="E1176" s="2">
        <v>16</v>
      </c>
      <c r="F1176" s="17" t="s">
        <v>10</v>
      </c>
      <c r="G1176" s="17" t="s">
        <v>25</v>
      </c>
      <c r="H1176" s="2" t="s">
        <v>11</v>
      </c>
      <c r="I1176" s="2">
        <v>1</v>
      </c>
      <c r="J1176" s="5">
        <v>46105</v>
      </c>
      <c r="K1176" s="5">
        <v>46111</v>
      </c>
      <c r="L1176" s="2" t="s">
        <v>865</v>
      </c>
      <c r="M1176" s="5">
        <v>46167</v>
      </c>
      <c r="N1176" s="3">
        <f>VLOOKUP(NavDataRegion[[#This Row],[Spool No]],[1]Sheet2!$B:$U,20,0)</f>
        <v>55.372959999999999</v>
      </c>
      <c r="O1176" s="2">
        <v>28</v>
      </c>
      <c r="P1176" s="2">
        <v>2</v>
      </c>
      <c r="Q1176" s="2"/>
    </row>
    <row r="1177" spans="1:17" ht="20.100000000000001" customHeight="1">
      <c r="A1177" s="2" t="s">
        <v>9</v>
      </c>
      <c r="B1177" s="2" t="s">
        <v>1429</v>
      </c>
      <c r="C1177" s="2" t="s">
        <v>1912</v>
      </c>
      <c r="D1177" s="2" t="e">
        <f>VLOOKUP(C:C,Vlookup!A:A,1,0)</f>
        <v>#N/A</v>
      </c>
      <c r="E1177" s="2">
        <v>14</v>
      </c>
      <c r="F1177" s="17" t="s">
        <v>10</v>
      </c>
      <c r="G1177" s="17" t="s">
        <v>25</v>
      </c>
      <c r="H1177" s="2" t="s">
        <v>11</v>
      </c>
      <c r="I1177" s="2">
        <v>1</v>
      </c>
      <c r="J1177" s="5">
        <v>46100</v>
      </c>
      <c r="K1177" s="5">
        <v>46101</v>
      </c>
      <c r="L1177" s="2" t="s">
        <v>865</v>
      </c>
      <c r="M1177" s="5">
        <v>45754</v>
      </c>
      <c r="N1177" s="3">
        <f>VLOOKUP(NavDataRegion[[#This Row],[Spool No]],[1]Sheet2!$B:$U,20,0)</f>
        <v>33.136600000000001</v>
      </c>
      <c r="O1177" s="2">
        <v>4</v>
      </c>
      <c r="P1177" s="2">
        <v>2</v>
      </c>
      <c r="Q1177" s="2"/>
    </row>
    <row r="1178" spans="1:17" ht="20.100000000000001" customHeight="1">
      <c r="A1178" s="2" t="s">
        <v>9</v>
      </c>
      <c r="B1178" s="2" t="s">
        <v>1347</v>
      </c>
      <c r="C1178" s="2" t="s">
        <v>1907</v>
      </c>
      <c r="D1178" s="2" t="e">
        <f>VLOOKUP(C:C,Vlookup!A:A,1,0)</f>
        <v>#N/A</v>
      </c>
      <c r="E1178" s="2">
        <v>14</v>
      </c>
      <c r="F1178" s="17" t="s">
        <v>10</v>
      </c>
      <c r="G1178" s="17" t="s">
        <v>281</v>
      </c>
      <c r="H1178" s="2" t="s">
        <v>11</v>
      </c>
      <c r="I1178" s="2">
        <v>1</v>
      </c>
      <c r="J1178" s="5">
        <v>46101</v>
      </c>
      <c r="K1178" s="5">
        <v>46104</v>
      </c>
      <c r="L1178" s="2" t="s">
        <v>865</v>
      </c>
      <c r="M1178" s="5">
        <v>45754</v>
      </c>
      <c r="N1178" s="3">
        <f>VLOOKUP(NavDataRegion[[#This Row],[Spool No]],[1]Sheet2!$B:$U,20,0)</f>
        <v>26.620999999999999</v>
      </c>
      <c r="O1178" s="2">
        <v>2.25</v>
      </c>
      <c r="P1178" s="2">
        <v>0.75</v>
      </c>
      <c r="Q1178" s="2"/>
    </row>
    <row r="1179" spans="1:17" ht="20.100000000000001" customHeight="1">
      <c r="A1179" s="2" t="s">
        <v>9</v>
      </c>
      <c r="B1179" s="2" t="s">
        <v>1397</v>
      </c>
      <c r="C1179" s="2" t="s">
        <v>1398</v>
      </c>
      <c r="D1179" s="2" t="e">
        <f>VLOOKUP(C:C,Vlookup!A:A,1,0)</f>
        <v>#N/A</v>
      </c>
      <c r="E1179" s="2">
        <v>14</v>
      </c>
      <c r="F1179" s="17" t="s">
        <v>10</v>
      </c>
      <c r="G1179" s="17" t="s">
        <v>25</v>
      </c>
      <c r="H1179" s="2" t="s">
        <v>11</v>
      </c>
      <c r="I1179" s="2">
        <v>1</v>
      </c>
      <c r="J1179" s="5">
        <v>46101</v>
      </c>
      <c r="K1179" s="5">
        <v>46104</v>
      </c>
      <c r="L1179" s="2" t="s">
        <v>865</v>
      </c>
      <c r="M1179" s="5">
        <v>45754</v>
      </c>
      <c r="N1179" s="3">
        <f>VLOOKUP(NavDataRegion[[#This Row],[Spool No]],[1]Sheet2!$B:$U,20,0)</f>
        <v>5.8646000000000003</v>
      </c>
      <c r="O1179" s="2">
        <v>3.75</v>
      </c>
      <c r="P1179" s="2">
        <v>0.75</v>
      </c>
      <c r="Q1179" s="2"/>
    </row>
    <row r="1180" spans="1:17" ht="20.100000000000001" customHeight="1">
      <c r="A1180" s="2" t="s">
        <v>9</v>
      </c>
      <c r="B1180" s="2" t="s">
        <v>1153</v>
      </c>
      <c r="C1180" s="2" t="s">
        <v>1154</v>
      </c>
      <c r="D1180" s="2" t="e">
        <f>VLOOKUP(C:C,Vlookup!A:A,1,0)</f>
        <v>#N/A</v>
      </c>
      <c r="E1180" s="2">
        <v>16</v>
      </c>
      <c r="F1180" s="17" t="s">
        <v>10</v>
      </c>
      <c r="G1180" s="17" t="s">
        <v>25</v>
      </c>
      <c r="H1180" s="2" t="s">
        <v>11</v>
      </c>
      <c r="I1180" s="2">
        <v>1</v>
      </c>
      <c r="J1180" s="5">
        <v>46105</v>
      </c>
      <c r="K1180" s="5">
        <v>46108</v>
      </c>
      <c r="L1180" s="2" t="s">
        <v>865</v>
      </c>
      <c r="M1180" s="5">
        <v>46167</v>
      </c>
      <c r="N1180" s="3">
        <f>VLOOKUP(NavDataRegion[[#This Row],[Spool No]],[1]Sheet2!$B:$U,20,0)</f>
        <v>61.723480000000002</v>
      </c>
      <c r="O1180" s="2">
        <v>28</v>
      </c>
      <c r="P1180" s="2">
        <v>2</v>
      </c>
      <c r="Q1180" s="2"/>
    </row>
    <row r="1181" spans="1:17" ht="20.100000000000001" customHeight="1">
      <c r="A1181" s="2" t="s">
        <v>9</v>
      </c>
      <c r="B1181" s="2" t="s">
        <v>1155</v>
      </c>
      <c r="C1181" s="2" t="s">
        <v>1715</v>
      </c>
      <c r="D1181" s="2" t="e">
        <f>VLOOKUP(C:C,Vlookup!A:A,1,0)</f>
        <v>#N/A</v>
      </c>
      <c r="E1181" s="2">
        <v>16</v>
      </c>
      <c r="F1181" s="17" t="s">
        <v>10</v>
      </c>
      <c r="G1181" s="17" t="s">
        <v>25</v>
      </c>
      <c r="H1181" s="2" t="s">
        <v>11</v>
      </c>
      <c r="I1181" s="2">
        <v>1</v>
      </c>
      <c r="J1181" s="5">
        <v>46105</v>
      </c>
      <c r="K1181" s="5">
        <v>46108</v>
      </c>
      <c r="L1181" s="2" t="s">
        <v>865</v>
      </c>
      <c r="M1181" s="5">
        <v>46167</v>
      </c>
      <c r="N1181" s="3">
        <f>VLOOKUP(NavDataRegion[[#This Row],[Spool No]],[1]Sheet2!$B:$U,20,0)</f>
        <v>14.72124</v>
      </c>
      <c r="O1181" s="2">
        <v>8</v>
      </c>
      <c r="P1181" s="2">
        <v>2</v>
      </c>
      <c r="Q1181" s="2"/>
    </row>
    <row r="1182" spans="1:17" ht="20.100000000000001" customHeight="1">
      <c r="A1182" s="2" t="s">
        <v>9</v>
      </c>
      <c r="B1182" s="2" t="s">
        <v>1407</v>
      </c>
      <c r="C1182" s="2" t="s">
        <v>1776</v>
      </c>
      <c r="D1182" s="2" t="e">
        <f>VLOOKUP(C:C,Vlookup!A:A,1,0)</f>
        <v>#N/A</v>
      </c>
      <c r="E1182" s="2">
        <v>14</v>
      </c>
      <c r="F1182" s="17" t="s">
        <v>10</v>
      </c>
      <c r="G1182" s="17" t="s">
        <v>25</v>
      </c>
      <c r="H1182" s="2" t="s">
        <v>11</v>
      </c>
      <c r="I1182" s="2">
        <v>1</v>
      </c>
      <c r="J1182" s="5">
        <v>46101</v>
      </c>
      <c r="K1182" s="5">
        <v>46104</v>
      </c>
      <c r="L1182" s="2" t="s">
        <v>865</v>
      </c>
      <c r="M1182" s="5">
        <v>45754</v>
      </c>
      <c r="N1182" s="3">
        <f>VLOOKUP(NavDataRegion[[#This Row],[Spool No]],[1]Sheet2!$B:$U,20,0)</f>
        <v>23.7118</v>
      </c>
      <c r="O1182" s="2">
        <v>2</v>
      </c>
      <c r="P1182" s="2">
        <v>2</v>
      </c>
      <c r="Q1182" s="2"/>
    </row>
    <row r="1183" spans="1:17" ht="20.100000000000001" customHeight="1">
      <c r="A1183" s="2" t="s">
        <v>9</v>
      </c>
      <c r="B1183" s="2" t="s">
        <v>1155</v>
      </c>
      <c r="C1183" s="2" t="s">
        <v>1821</v>
      </c>
      <c r="D1183" s="2" t="e">
        <f>VLOOKUP(C:C,Vlookup!A:A,1,0)</f>
        <v>#N/A</v>
      </c>
      <c r="E1183" s="2">
        <v>23</v>
      </c>
      <c r="F1183" s="17" t="s">
        <v>10</v>
      </c>
      <c r="G1183" s="17" t="s">
        <v>25</v>
      </c>
      <c r="H1183" s="2" t="s">
        <v>11</v>
      </c>
      <c r="I1183" s="2">
        <v>1</v>
      </c>
      <c r="J1183" s="5">
        <v>46170</v>
      </c>
      <c r="K1183" s="5">
        <v>46175</v>
      </c>
      <c r="L1183" s="2" t="s">
        <v>865</v>
      </c>
      <c r="M1183" s="5">
        <v>46185</v>
      </c>
      <c r="N1183" s="3">
        <f>VLOOKUP(NavDataRegion[[#This Row],[Spool No]],[1]Sheet2!$B:$U,20,0)</f>
        <v>73.575119999999998</v>
      </c>
      <c r="O1183" s="2">
        <v>6</v>
      </c>
      <c r="P1183" s="2">
        <v>2</v>
      </c>
      <c r="Q1183" s="2"/>
    </row>
    <row r="1184" spans="1:17" ht="20.100000000000001" customHeight="1">
      <c r="A1184" s="2" t="s">
        <v>9</v>
      </c>
      <c r="B1184" s="2" t="s">
        <v>1379</v>
      </c>
      <c r="C1184" s="2" t="s">
        <v>1380</v>
      </c>
      <c r="D1184" s="2" t="e">
        <f>VLOOKUP(C:C,Vlookup!A:A,1,0)</f>
        <v>#N/A</v>
      </c>
      <c r="E1184" s="2">
        <v>14</v>
      </c>
      <c r="F1184" s="17" t="s">
        <v>10</v>
      </c>
      <c r="G1184" s="17" t="s">
        <v>25</v>
      </c>
      <c r="H1184" s="2" t="s">
        <v>11</v>
      </c>
      <c r="I1184" s="2">
        <v>1</v>
      </c>
      <c r="J1184" s="5">
        <v>46106</v>
      </c>
      <c r="K1184" s="5">
        <v>46107</v>
      </c>
      <c r="L1184" s="2" t="s">
        <v>865</v>
      </c>
      <c r="M1184" s="5">
        <v>45754</v>
      </c>
      <c r="N1184" s="3">
        <f>VLOOKUP(NavDataRegion[[#This Row],[Spool No]],[1]Sheet2!$B:$U,20,0)</f>
        <v>12.79664</v>
      </c>
      <c r="O1184" s="2">
        <v>4</v>
      </c>
      <c r="P1184" s="2">
        <v>1</v>
      </c>
      <c r="Q1184" s="2"/>
    </row>
    <row r="1185" spans="1:17" ht="20.100000000000001" customHeight="1">
      <c r="A1185" s="2" t="s">
        <v>9</v>
      </c>
      <c r="B1185" s="2" t="s">
        <v>1211</v>
      </c>
      <c r="C1185" s="2" t="s">
        <v>1833</v>
      </c>
      <c r="D1185" s="2" t="e">
        <f>VLOOKUP(C:C,Vlookup!A:A,1,0)</f>
        <v>#N/A</v>
      </c>
      <c r="E1185" s="2">
        <v>23</v>
      </c>
      <c r="F1185" s="17" t="s">
        <v>10</v>
      </c>
      <c r="G1185" s="17" t="s">
        <v>25</v>
      </c>
      <c r="H1185" s="2" t="s">
        <v>11</v>
      </c>
      <c r="I1185" s="2">
        <v>1</v>
      </c>
      <c r="J1185" s="5">
        <v>46135</v>
      </c>
      <c r="K1185" s="5">
        <v>46136</v>
      </c>
      <c r="L1185" s="2" t="s">
        <v>865</v>
      </c>
      <c r="M1185" s="5">
        <v>46185</v>
      </c>
      <c r="N1185" s="3">
        <f>VLOOKUP(NavDataRegion[[#This Row],[Spool No]],[1]Sheet2!$B:$U,20,0)</f>
        <v>33.293680000000002</v>
      </c>
      <c r="O1185" s="2">
        <v>2</v>
      </c>
      <c r="P1185" s="2">
        <v>2</v>
      </c>
      <c r="Q1185" s="2"/>
    </row>
    <row r="1186" spans="1:17" ht="20.100000000000001" customHeight="1">
      <c r="A1186" s="2" t="s">
        <v>9</v>
      </c>
      <c r="B1186" s="2" t="s">
        <v>1451</v>
      </c>
      <c r="C1186" s="2" t="s">
        <v>1452</v>
      </c>
      <c r="D1186" s="2" t="e">
        <f>VLOOKUP(C:C,Vlookup!A:A,1,0)</f>
        <v>#N/A</v>
      </c>
      <c r="E1186" s="2">
        <v>14</v>
      </c>
      <c r="F1186" s="17" t="s">
        <v>10</v>
      </c>
      <c r="G1186" s="17" t="s">
        <v>25</v>
      </c>
      <c r="H1186" s="2" t="s">
        <v>11</v>
      </c>
      <c r="I1186" s="2">
        <v>1</v>
      </c>
      <c r="J1186" s="5">
        <v>46098</v>
      </c>
      <c r="K1186" s="5">
        <v>46099</v>
      </c>
      <c r="L1186" s="2" t="s">
        <v>865</v>
      </c>
      <c r="M1186" s="5">
        <v>45754</v>
      </c>
      <c r="N1186" s="3">
        <f>VLOOKUP(NavDataRegion[[#This Row],[Spool No]],[1]Sheet2!$B:$U,20,0)</f>
        <v>0.93140000000000001</v>
      </c>
      <c r="O1186" s="2">
        <v>0.75</v>
      </c>
      <c r="P1186" s="2">
        <v>0.75</v>
      </c>
      <c r="Q1186" s="2"/>
    </row>
    <row r="1187" spans="1:17" ht="20.100000000000001" customHeight="1">
      <c r="A1187" s="2" t="s">
        <v>9</v>
      </c>
      <c r="B1187" s="2" t="s">
        <v>961</v>
      </c>
      <c r="C1187" s="2" t="s">
        <v>1675</v>
      </c>
      <c r="D1187" s="2" t="e">
        <f>VLOOKUP(C:C,Vlookup!A:A,1,0)</f>
        <v>#N/A</v>
      </c>
      <c r="E1187" s="2">
        <v>16</v>
      </c>
      <c r="F1187" s="17" t="s">
        <v>10</v>
      </c>
      <c r="G1187" s="17" t="s">
        <v>25</v>
      </c>
      <c r="H1187" s="2" t="s">
        <v>11</v>
      </c>
      <c r="I1187" s="2">
        <v>1</v>
      </c>
      <c r="J1187" s="5">
        <v>46100</v>
      </c>
      <c r="K1187" s="5">
        <v>46118</v>
      </c>
      <c r="L1187" s="2" t="s">
        <v>865</v>
      </c>
      <c r="M1187" s="5">
        <v>46167</v>
      </c>
      <c r="N1187" s="3">
        <f>VLOOKUP(NavDataRegion[[#This Row],[Spool No]],[1]Sheet2!$B:$U,20,0)</f>
        <v>46.932679999999998</v>
      </c>
      <c r="O1187" s="2">
        <v>4</v>
      </c>
      <c r="P1187" s="2">
        <v>1</v>
      </c>
      <c r="Q1187" s="2"/>
    </row>
    <row r="1188" spans="1:17" ht="20.100000000000001" customHeight="1">
      <c r="A1188" s="2" t="s">
        <v>9</v>
      </c>
      <c r="B1188" s="2" t="s">
        <v>1431</v>
      </c>
      <c r="C1188" s="2" t="s">
        <v>1432</v>
      </c>
      <c r="D1188" s="2" t="e">
        <f>VLOOKUP(C:C,Vlookup!A:A,1,0)</f>
        <v>#N/A</v>
      </c>
      <c r="E1188" s="2">
        <v>14</v>
      </c>
      <c r="F1188" s="17" t="s">
        <v>10</v>
      </c>
      <c r="G1188" s="17" t="s">
        <v>25</v>
      </c>
      <c r="H1188" s="2" t="s">
        <v>11</v>
      </c>
      <c r="I1188" s="2">
        <v>1</v>
      </c>
      <c r="J1188" s="5">
        <v>46100</v>
      </c>
      <c r="K1188" s="5">
        <v>46101</v>
      </c>
      <c r="L1188" s="2" t="s">
        <v>865</v>
      </c>
      <c r="M1188" s="5">
        <v>45754</v>
      </c>
      <c r="N1188" s="3">
        <f>VLOOKUP(NavDataRegion[[#This Row],[Spool No]],[1]Sheet2!$B:$U,20,0)</f>
        <v>45.6</v>
      </c>
      <c r="O1188" s="2">
        <v>2</v>
      </c>
      <c r="P1188" s="2">
        <v>2</v>
      </c>
      <c r="Q1188" s="2"/>
    </row>
    <row r="1189" spans="1:17" ht="20.100000000000001" customHeight="1">
      <c r="A1189" s="2" t="s">
        <v>9</v>
      </c>
      <c r="B1189" s="2" t="s">
        <v>1157</v>
      </c>
      <c r="C1189" s="2" t="s">
        <v>1555</v>
      </c>
      <c r="D1189" s="2" t="e">
        <f>VLOOKUP(C:C,Vlookup!A:A,1,0)</f>
        <v>#N/A</v>
      </c>
      <c r="E1189" s="2">
        <v>16</v>
      </c>
      <c r="F1189" s="17" t="s">
        <v>10</v>
      </c>
      <c r="G1189" s="17" t="s">
        <v>25</v>
      </c>
      <c r="H1189" s="2" t="s">
        <v>11</v>
      </c>
      <c r="I1189" s="2">
        <v>1</v>
      </c>
      <c r="J1189" s="5">
        <v>46106</v>
      </c>
      <c r="K1189" s="5">
        <v>46108</v>
      </c>
      <c r="L1189" s="2" t="s">
        <v>865</v>
      </c>
      <c r="M1189" s="5">
        <v>46167</v>
      </c>
      <c r="N1189" s="3">
        <f>VLOOKUP(NavDataRegion[[#This Row],[Spool No]],[1]Sheet2!$B:$U,20,0)</f>
        <v>96.916359999999997</v>
      </c>
      <c r="O1189" s="2">
        <v>28</v>
      </c>
      <c r="P1189" s="2">
        <v>2</v>
      </c>
      <c r="Q1189" s="2"/>
    </row>
    <row r="1190" spans="1:17" ht="20.100000000000001" customHeight="1">
      <c r="A1190" s="2" t="s">
        <v>9</v>
      </c>
      <c r="B1190" s="2" t="s">
        <v>1431</v>
      </c>
      <c r="C1190" s="2" t="s">
        <v>1779</v>
      </c>
      <c r="D1190" s="2" t="e">
        <f>VLOOKUP(C:C,Vlookup!A:A,1,0)</f>
        <v>#N/A</v>
      </c>
      <c r="E1190" s="2">
        <v>14</v>
      </c>
      <c r="F1190" s="17" t="s">
        <v>10</v>
      </c>
      <c r="G1190" s="17" t="s">
        <v>25</v>
      </c>
      <c r="H1190" s="2" t="s">
        <v>11</v>
      </c>
      <c r="I1190" s="2">
        <v>1</v>
      </c>
      <c r="J1190" s="5">
        <v>46100</v>
      </c>
      <c r="K1190" s="5">
        <v>46101</v>
      </c>
      <c r="L1190" s="2" t="s">
        <v>865</v>
      </c>
      <c r="M1190" s="5">
        <v>45754</v>
      </c>
      <c r="N1190" s="3">
        <f>VLOOKUP(NavDataRegion[[#This Row],[Spool No]],[1]Sheet2!$B:$U,20,0)</f>
        <v>45.6</v>
      </c>
      <c r="O1190" s="2">
        <v>2</v>
      </c>
      <c r="P1190" s="2">
        <v>2</v>
      </c>
      <c r="Q1190" s="2"/>
    </row>
    <row r="1191" spans="1:17" ht="20.100000000000001" customHeight="1">
      <c r="A1191" s="2" t="s">
        <v>9</v>
      </c>
      <c r="B1191" s="2" t="s">
        <v>923</v>
      </c>
      <c r="C1191" s="2" t="s">
        <v>1868</v>
      </c>
      <c r="D1191" s="2" t="e">
        <f>VLOOKUP(C:C,Vlookup!A:A,1,0)</f>
        <v>#N/A</v>
      </c>
      <c r="E1191" s="2">
        <v>23</v>
      </c>
      <c r="F1191" s="17" t="s">
        <v>10</v>
      </c>
      <c r="G1191" s="17" t="s">
        <v>25</v>
      </c>
      <c r="H1191" s="2" t="s">
        <v>11</v>
      </c>
      <c r="I1191" s="2">
        <v>1</v>
      </c>
      <c r="J1191" s="5">
        <v>46169</v>
      </c>
      <c r="K1191" s="5">
        <v>46175</v>
      </c>
      <c r="L1191" s="2" t="s">
        <v>865</v>
      </c>
      <c r="M1191" s="5">
        <v>46185</v>
      </c>
      <c r="N1191" s="3">
        <f>VLOOKUP(NavDataRegion[[#This Row],[Spool No]],[1]Sheet2!$B:$U,20,0)</f>
        <v>94.017060000000001</v>
      </c>
      <c r="O1191" s="2">
        <v>8</v>
      </c>
      <c r="P1191" s="2">
        <v>2</v>
      </c>
      <c r="Q1191" s="2"/>
    </row>
    <row r="1192" spans="1:17" ht="20.100000000000001" customHeight="1">
      <c r="A1192" s="2" t="s">
        <v>9</v>
      </c>
      <c r="B1192" s="2" t="s">
        <v>925</v>
      </c>
      <c r="C1192" s="2" t="s">
        <v>1869</v>
      </c>
      <c r="D1192" s="2" t="e">
        <f>VLOOKUP(C:C,Vlookup!A:A,1,0)</f>
        <v>#N/A</v>
      </c>
      <c r="E1192" s="2">
        <v>16</v>
      </c>
      <c r="F1192" s="17" t="s">
        <v>10</v>
      </c>
      <c r="G1192" s="17" t="s">
        <v>25</v>
      </c>
      <c r="H1192" s="2" t="s">
        <v>11</v>
      </c>
      <c r="I1192" s="2">
        <v>1</v>
      </c>
      <c r="J1192" s="5">
        <v>46107</v>
      </c>
      <c r="K1192" s="5">
        <v>46111</v>
      </c>
      <c r="L1192" s="2" t="s">
        <v>865</v>
      </c>
      <c r="M1192" s="5">
        <v>46167</v>
      </c>
      <c r="N1192" s="3">
        <f>VLOOKUP(NavDataRegion[[#This Row],[Spool No]],[1]Sheet2!$B:$U,20,0)</f>
        <v>106.47172</v>
      </c>
      <c r="O1192" s="2">
        <v>22</v>
      </c>
      <c r="P1192" s="2">
        <v>2</v>
      </c>
      <c r="Q1192" s="2"/>
    </row>
    <row r="1193" spans="1:17" ht="20.100000000000001" customHeight="1">
      <c r="A1193" s="2" t="s">
        <v>9</v>
      </c>
      <c r="B1193" s="2" t="s">
        <v>1423</v>
      </c>
      <c r="C1193" s="2" t="s">
        <v>1639</v>
      </c>
      <c r="D1193" s="2" t="e">
        <f>VLOOKUP(C:C,Vlookup!A:A,1,0)</f>
        <v>#N/A</v>
      </c>
      <c r="E1193" s="2">
        <v>14</v>
      </c>
      <c r="F1193" s="17" t="s">
        <v>10</v>
      </c>
      <c r="G1193" s="17" t="s">
        <v>25</v>
      </c>
      <c r="H1193" s="2" t="s">
        <v>11</v>
      </c>
      <c r="I1193" s="2">
        <v>1</v>
      </c>
      <c r="J1193" s="5">
        <v>46101</v>
      </c>
      <c r="K1193" s="5">
        <v>46104</v>
      </c>
      <c r="L1193" s="2" t="s">
        <v>865</v>
      </c>
      <c r="M1193" s="5">
        <v>45754</v>
      </c>
      <c r="N1193" s="3">
        <f>VLOOKUP(NavDataRegion[[#This Row],[Spool No]],[1]Sheet2!$B:$U,20,0)</f>
        <v>43.59648</v>
      </c>
      <c r="O1193" s="2">
        <v>6</v>
      </c>
      <c r="P1193" s="2">
        <v>1</v>
      </c>
      <c r="Q1193" s="2"/>
    </row>
    <row r="1194" spans="1:17" ht="20.100000000000001" customHeight="1">
      <c r="A1194" s="2" t="s">
        <v>9</v>
      </c>
      <c r="B1194" s="2" t="s">
        <v>1175</v>
      </c>
      <c r="C1194" s="2" t="s">
        <v>1890</v>
      </c>
      <c r="D1194" s="2" t="e">
        <f>VLOOKUP(C:C,Vlookup!A:A,1,0)</f>
        <v>#N/A</v>
      </c>
      <c r="E1194" s="2">
        <v>16</v>
      </c>
      <c r="F1194" s="17" t="s">
        <v>10</v>
      </c>
      <c r="G1194" s="17" t="s">
        <v>25</v>
      </c>
      <c r="H1194" s="2" t="s">
        <v>11</v>
      </c>
      <c r="I1194" s="2">
        <v>1</v>
      </c>
      <c r="J1194" s="5">
        <v>46105</v>
      </c>
      <c r="K1194" s="5">
        <v>46108</v>
      </c>
      <c r="L1194" s="2" t="s">
        <v>865</v>
      </c>
      <c r="M1194" s="5">
        <v>46167</v>
      </c>
      <c r="N1194" s="3">
        <f>VLOOKUP(NavDataRegion[[#This Row],[Spool No]],[1]Sheet2!$B:$U,20,0)</f>
        <v>20.060479999999998</v>
      </c>
      <c r="O1194" s="2">
        <v>10</v>
      </c>
      <c r="P1194" s="2">
        <v>2</v>
      </c>
      <c r="Q1194" s="2"/>
    </row>
    <row r="1195" spans="1:17" ht="20.100000000000001" customHeight="1">
      <c r="A1195" s="2" t="s">
        <v>9</v>
      </c>
      <c r="B1195" s="2" t="s">
        <v>1155</v>
      </c>
      <c r="C1195" s="2" t="s">
        <v>1888</v>
      </c>
      <c r="D1195" s="2" t="e">
        <f>VLOOKUP(C:C,Vlookup!A:A,1,0)</f>
        <v>#N/A</v>
      </c>
      <c r="E1195" s="2">
        <v>23</v>
      </c>
      <c r="F1195" s="17" t="s">
        <v>10</v>
      </c>
      <c r="G1195" s="17" t="s">
        <v>25</v>
      </c>
      <c r="H1195" s="2" t="s">
        <v>11</v>
      </c>
      <c r="I1195" s="2">
        <v>1</v>
      </c>
      <c r="J1195" s="5">
        <v>46135</v>
      </c>
      <c r="K1195" s="5">
        <v>46136</v>
      </c>
      <c r="L1195" s="2" t="s">
        <v>865</v>
      </c>
      <c r="M1195" s="5">
        <v>46185</v>
      </c>
      <c r="N1195" s="3">
        <f>VLOOKUP(NavDataRegion[[#This Row],[Spool No]],[1]Sheet2!$B:$U,20,0)</f>
        <v>47.550559999999997</v>
      </c>
      <c r="O1195" s="2">
        <v>4</v>
      </c>
      <c r="P1195" s="2">
        <v>2</v>
      </c>
      <c r="Q1195" s="2"/>
    </row>
    <row r="1196" spans="1:17" ht="20.100000000000001" customHeight="1">
      <c r="A1196" s="2" t="s">
        <v>9</v>
      </c>
      <c r="B1196" s="2" t="s">
        <v>1185</v>
      </c>
      <c r="C1196" s="2" t="s">
        <v>1827</v>
      </c>
      <c r="D1196" s="2" t="e">
        <f>VLOOKUP(C:C,Vlookup!A:A,1,0)</f>
        <v>#N/A</v>
      </c>
      <c r="E1196" s="2">
        <v>16</v>
      </c>
      <c r="F1196" s="17" t="s">
        <v>10</v>
      </c>
      <c r="G1196" s="17" t="s">
        <v>25</v>
      </c>
      <c r="H1196" s="2" t="s">
        <v>11</v>
      </c>
      <c r="I1196" s="2">
        <v>1</v>
      </c>
      <c r="J1196" s="5">
        <v>46105</v>
      </c>
      <c r="K1196" s="5">
        <v>46108</v>
      </c>
      <c r="L1196" s="2" t="s">
        <v>865</v>
      </c>
      <c r="M1196" s="5">
        <v>46167</v>
      </c>
      <c r="N1196" s="3">
        <f>VLOOKUP(NavDataRegion[[#This Row],[Spool No]],[1]Sheet2!$B:$U,20,0)</f>
        <v>46.61</v>
      </c>
      <c r="O1196" s="2">
        <v>4</v>
      </c>
      <c r="P1196" s="2">
        <v>2</v>
      </c>
      <c r="Q1196" s="2"/>
    </row>
    <row r="1197" spans="1:17" ht="20.100000000000001" customHeight="1">
      <c r="A1197" s="2" t="s">
        <v>9</v>
      </c>
      <c r="B1197" s="2" t="s">
        <v>1185</v>
      </c>
      <c r="C1197" s="2" t="s">
        <v>1891</v>
      </c>
      <c r="D1197" s="2" t="e">
        <f>VLOOKUP(C:C,Vlookup!A:A,1,0)</f>
        <v>#N/A</v>
      </c>
      <c r="E1197" s="2">
        <v>16</v>
      </c>
      <c r="F1197" s="17" t="s">
        <v>10</v>
      </c>
      <c r="G1197" s="17" t="s">
        <v>25</v>
      </c>
      <c r="H1197" s="2" t="s">
        <v>11</v>
      </c>
      <c r="I1197" s="2">
        <v>1</v>
      </c>
      <c r="J1197" s="5">
        <v>46108</v>
      </c>
      <c r="K1197" s="5">
        <v>46111</v>
      </c>
      <c r="L1197" s="2" t="s">
        <v>865</v>
      </c>
      <c r="M1197" s="5">
        <v>46167</v>
      </c>
      <c r="N1197" s="3">
        <f>VLOOKUP(NavDataRegion[[#This Row],[Spool No]],[1]Sheet2!$B:$U,20,0)</f>
        <v>16.983000000000001</v>
      </c>
      <c r="O1197" s="2">
        <v>6</v>
      </c>
      <c r="P1197" s="2">
        <v>2</v>
      </c>
      <c r="Q1197" s="2"/>
    </row>
    <row r="1198" spans="1:17" ht="20.100000000000001" customHeight="1">
      <c r="A1198" s="2" t="s">
        <v>9</v>
      </c>
      <c r="B1198" s="2" t="s">
        <v>1317</v>
      </c>
      <c r="C1198" s="2" t="s">
        <v>1904</v>
      </c>
      <c r="D1198" s="2" t="e">
        <f>VLOOKUP(C:C,Vlookup!A:A,1,0)</f>
        <v>#N/A</v>
      </c>
      <c r="E1198" s="2">
        <v>16</v>
      </c>
      <c r="F1198" s="17" t="s">
        <v>10</v>
      </c>
      <c r="G1198" s="17" t="s">
        <v>25</v>
      </c>
      <c r="H1198" s="2" t="s">
        <v>11</v>
      </c>
      <c r="I1198" s="2">
        <v>1</v>
      </c>
      <c r="J1198" s="5">
        <v>46107</v>
      </c>
      <c r="K1198" s="5">
        <v>46111</v>
      </c>
      <c r="L1198" s="2" t="s">
        <v>865</v>
      </c>
      <c r="M1198" s="5">
        <v>46167</v>
      </c>
      <c r="N1198" s="3">
        <f>VLOOKUP(NavDataRegion[[#This Row],[Spool No]],[1]Sheet2!$B:$U,20,0)</f>
        <v>110.41292</v>
      </c>
      <c r="O1198" s="2">
        <v>14</v>
      </c>
      <c r="P1198" s="2">
        <v>2</v>
      </c>
      <c r="Q1198" s="2"/>
    </row>
    <row r="1199" spans="1:17" ht="20.100000000000001" customHeight="1">
      <c r="A1199" s="2" t="s">
        <v>9</v>
      </c>
      <c r="B1199" s="2" t="s">
        <v>1211</v>
      </c>
      <c r="C1199" s="2" t="s">
        <v>1572</v>
      </c>
      <c r="D1199" s="2" t="e">
        <f>VLOOKUP(C:C,Vlookup!A:A,1,0)</f>
        <v>#N/A</v>
      </c>
      <c r="E1199" s="2">
        <v>16</v>
      </c>
      <c r="F1199" s="17" t="s">
        <v>10</v>
      </c>
      <c r="G1199" s="17" t="s">
        <v>25</v>
      </c>
      <c r="H1199" s="2" t="s">
        <v>11</v>
      </c>
      <c r="I1199" s="2">
        <v>1</v>
      </c>
      <c r="J1199" s="5">
        <v>46105</v>
      </c>
      <c r="K1199" s="5">
        <v>46108</v>
      </c>
      <c r="L1199" s="2" t="s">
        <v>865</v>
      </c>
      <c r="M1199" s="5">
        <v>46167</v>
      </c>
      <c r="N1199" s="3">
        <f>VLOOKUP(NavDataRegion[[#This Row],[Spool No]],[1]Sheet2!$B:$U,20,0)</f>
        <v>45.107120000000002</v>
      </c>
      <c r="O1199" s="2">
        <v>18</v>
      </c>
      <c r="P1199" s="2">
        <v>2</v>
      </c>
      <c r="Q1199" s="2"/>
    </row>
    <row r="1200" spans="1:17" ht="20.100000000000001" customHeight="1">
      <c r="A1200" s="2" t="s">
        <v>9</v>
      </c>
      <c r="B1200" s="2" t="s">
        <v>1431</v>
      </c>
      <c r="C1200" s="2" t="s">
        <v>1863</v>
      </c>
      <c r="D1200" s="2" t="e">
        <f>VLOOKUP(C:C,Vlookup!A:A,1,0)</f>
        <v>#N/A</v>
      </c>
      <c r="E1200" s="2">
        <v>14</v>
      </c>
      <c r="F1200" s="17" t="s">
        <v>10</v>
      </c>
      <c r="G1200" s="17" t="s">
        <v>25</v>
      </c>
      <c r="H1200" s="2" t="s">
        <v>11</v>
      </c>
      <c r="I1200" s="2">
        <v>1</v>
      </c>
      <c r="J1200" s="5">
        <v>46100</v>
      </c>
      <c r="K1200" s="5">
        <v>46101</v>
      </c>
      <c r="L1200" s="2" t="s">
        <v>865</v>
      </c>
      <c r="M1200" s="5">
        <v>45754</v>
      </c>
      <c r="N1200" s="3">
        <f>VLOOKUP(NavDataRegion[[#This Row],[Spool No]],[1]Sheet2!$B:$U,20,0)</f>
        <v>39.3108</v>
      </c>
      <c r="O1200" s="2">
        <v>8</v>
      </c>
      <c r="P1200" s="2">
        <v>2</v>
      </c>
      <c r="Q1200" s="2"/>
    </row>
    <row r="1201" spans="1:17" ht="20.100000000000001" customHeight="1">
      <c r="A1201" s="2" t="s">
        <v>9</v>
      </c>
      <c r="B1201" s="2" t="s">
        <v>1431</v>
      </c>
      <c r="C1201" s="2" t="s">
        <v>1913</v>
      </c>
      <c r="D1201" s="2" t="e">
        <f>VLOOKUP(C:C,Vlookup!A:A,1,0)</f>
        <v>#N/A</v>
      </c>
      <c r="E1201" s="2">
        <v>14</v>
      </c>
      <c r="F1201" s="17" t="s">
        <v>10</v>
      </c>
      <c r="G1201" s="17" t="s">
        <v>25</v>
      </c>
      <c r="H1201" s="2" t="s">
        <v>11</v>
      </c>
      <c r="I1201" s="2">
        <v>1</v>
      </c>
      <c r="J1201" s="5">
        <v>46100</v>
      </c>
      <c r="K1201" s="5">
        <v>46101</v>
      </c>
      <c r="L1201" s="2" t="s">
        <v>865</v>
      </c>
      <c r="M1201" s="5">
        <v>45754</v>
      </c>
      <c r="N1201" s="3">
        <f>VLOOKUP(NavDataRegion[[#This Row],[Spool No]],[1]Sheet2!$B:$U,20,0)</f>
        <v>40.238320000000002</v>
      </c>
      <c r="O1201" s="2">
        <v>6</v>
      </c>
      <c r="P1201" s="2">
        <v>2</v>
      </c>
      <c r="Q1201" s="2"/>
    </row>
    <row r="1202" spans="1:17" ht="20.100000000000001" customHeight="1">
      <c r="A1202" s="2" t="s">
        <v>9</v>
      </c>
      <c r="B1202" s="2" t="s">
        <v>1317</v>
      </c>
      <c r="C1202" s="2" t="s">
        <v>1764</v>
      </c>
      <c r="D1202" s="2" t="e">
        <f>VLOOKUP(C:C,Vlookup!A:A,1,0)</f>
        <v>#N/A</v>
      </c>
      <c r="E1202" s="2">
        <v>16</v>
      </c>
      <c r="F1202" s="17" t="s">
        <v>10</v>
      </c>
      <c r="G1202" s="17" t="s">
        <v>25</v>
      </c>
      <c r="H1202" s="2" t="s">
        <v>11</v>
      </c>
      <c r="I1202" s="2">
        <v>1</v>
      </c>
      <c r="J1202" s="5">
        <v>46105</v>
      </c>
      <c r="K1202" s="5">
        <v>46108</v>
      </c>
      <c r="L1202" s="2" t="s">
        <v>865</v>
      </c>
      <c r="M1202" s="5">
        <v>46167</v>
      </c>
      <c r="N1202" s="3">
        <f>VLOOKUP(NavDataRegion[[#This Row],[Spool No]],[1]Sheet2!$B:$U,20,0)</f>
        <v>49.600279999999998</v>
      </c>
      <c r="O1202" s="2">
        <v>6</v>
      </c>
      <c r="P1202" s="2">
        <v>2</v>
      </c>
      <c r="Q1202" s="2"/>
    </row>
    <row r="1203" spans="1:17" ht="20.100000000000001" customHeight="1">
      <c r="A1203" s="2" t="s">
        <v>9</v>
      </c>
      <c r="B1203" s="2" t="s">
        <v>1407</v>
      </c>
      <c r="C1203" s="2" t="s">
        <v>1911</v>
      </c>
      <c r="D1203" s="2" t="e">
        <f>VLOOKUP(C:C,Vlookup!A:A,1,0)</f>
        <v>#N/A</v>
      </c>
      <c r="E1203" s="2">
        <v>16</v>
      </c>
      <c r="F1203" s="17" t="s">
        <v>10</v>
      </c>
      <c r="G1203" s="17" t="s">
        <v>25</v>
      </c>
      <c r="H1203" s="2" t="s">
        <v>11</v>
      </c>
      <c r="I1203" s="2">
        <v>1</v>
      </c>
      <c r="J1203" s="5">
        <v>46106</v>
      </c>
      <c r="K1203" s="5">
        <v>46108</v>
      </c>
      <c r="L1203" s="2" t="s">
        <v>865</v>
      </c>
      <c r="M1203" s="5">
        <v>46167</v>
      </c>
      <c r="N1203" s="3">
        <f>VLOOKUP(NavDataRegion[[#This Row],[Spool No]],[1]Sheet2!$B:$U,20,0)</f>
        <v>59.930959999999999</v>
      </c>
      <c r="O1203" s="2">
        <v>22</v>
      </c>
      <c r="P1203" s="2">
        <v>2</v>
      </c>
      <c r="Q1203" s="2"/>
    </row>
    <row r="1204" spans="1:17" ht="20.100000000000001" customHeight="1">
      <c r="A1204" s="2" t="s">
        <v>9</v>
      </c>
      <c r="B1204" s="2" t="s">
        <v>1427</v>
      </c>
      <c r="C1204" s="2" t="s">
        <v>1428</v>
      </c>
      <c r="D1204" s="2" t="e">
        <f>VLOOKUP(C:C,Vlookup!A:A,1,0)</f>
        <v>#N/A</v>
      </c>
      <c r="E1204" s="2">
        <v>14</v>
      </c>
      <c r="F1204" s="17" t="s">
        <v>10</v>
      </c>
      <c r="G1204" s="17" t="s">
        <v>25</v>
      </c>
      <c r="H1204" s="2" t="s">
        <v>11</v>
      </c>
      <c r="I1204" s="2">
        <v>1</v>
      </c>
      <c r="J1204" s="5">
        <v>46101</v>
      </c>
      <c r="K1204" s="5">
        <v>46104</v>
      </c>
      <c r="L1204" s="2" t="s">
        <v>865</v>
      </c>
      <c r="M1204" s="5">
        <v>45754</v>
      </c>
      <c r="N1204" s="3">
        <f>VLOOKUP(NavDataRegion[[#This Row],[Spool No]],[1]Sheet2!$B:$U,20,0)</f>
        <v>10.768359999999999</v>
      </c>
      <c r="O1204" s="2">
        <v>9</v>
      </c>
      <c r="P1204" s="2">
        <v>2</v>
      </c>
      <c r="Q1204" s="2"/>
    </row>
    <row r="1205" spans="1:17" ht="20.100000000000001" customHeight="1">
      <c r="A1205" s="2" t="s">
        <v>9</v>
      </c>
      <c r="B1205" s="2" t="s">
        <v>923</v>
      </c>
      <c r="C1205" s="2" t="s">
        <v>1942</v>
      </c>
      <c r="D1205" s="2" t="e">
        <f>VLOOKUP(C:C,Vlookup!A:A,1,0)</f>
        <v>#N/A</v>
      </c>
      <c r="E1205" s="2">
        <v>23</v>
      </c>
      <c r="F1205" s="17" t="s">
        <v>10</v>
      </c>
      <c r="G1205" s="17" t="s">
        <v>25</v>
      </c>
      <c r="H1205" s="2" t="s">
        <v>11</v>
      </c>
      <c r="I1205" s="2">
        <v>1</v>
      </c>
      <c r="J1205" s="5">
        <v>46141</v>
      </c>
      <c r="K1205" s="5">
        <v>46147</v>
      </c>
      <c r="L1205" s="2" t="s">
        <v>865</v>
      </c>
      <c r="M1205" s="5">
        <v>46185</v>
      </c>
      <c r="N1205" s="3">
        <f>VLOOKUP(NavDataRegion[[#This Row],[Spool No]],[1]Sheet2!$B:$U,20,0)</f>
        <v>38.352519999999998</v>
      </c>
      <c r="O1205" s="2">
        <v>4</v>
      </c>
      <c r="P1205" s="2">
        <v>2</v>
      </c>
      <c r="Q1205" s="2"/>
    </row>
    <row r="1206" spans="1:17" ht="20.100000000000001" customHeight="1">
      <c r="A1206" s="2" t="s">
        <v>9</v>
      </c>
      <c r="B1206" s="2" t="s">
        <v>1429</v>
      </c>
      <c r="C1206" s="2" t="s">
        <v>1430</v>
      </c>
      <c r="D1206" s="2" t="e">
        <f>VLOOKUP(C:C,Vlookup!A:A,1,0)</f>
        <v>#N/A</v>
      </c>
      <c r="E1206" s="2">
        <v>14</v>
      </c>
      <c r="F1206" s="17" t="s">
        <v>10</v>
      </c>
      <c r="G1206" s="17" t="s">
        <v>25</v>
      </c>
      <c r="H1206" s="2" t="s">
        <v>11</v>
      </c>
      <c r="I1206" s="2">
        <v>1</v>
      </c>
      <c r="J1206" s="5">
        <v>46105</v>
      </c>
      <c r="K1206" s="5">
        <v>46107</v>
      </c>
      <c r="L1206" s="2" t="s">
        <v>865</v>
      </c>
      <c r="M1206" s="5">
        <v>45754</v>
      </c>
      <c r="N1206" s="3">
        <f>VLOOKUP(NavDataRegion[[#This Row],[Spool No]],[1]Sheet2!$B:$U,20,0)</f>
        <v>92.365160000000003</v>
      </c>
      <c r="O1206" s="2">
        <v>8</v>
      </c>
      <c r="P1206" s="2">
        <v>2</v>
      </c>
      <c r="Q1206" s="2"/>
    </row>
    <row r="1207" spans="1:17" ht="20.100000000000001" customHeight="1">
      <c r="A1207" s="2" t="s">
        <v>9</v>
      </c>
      <c r="B1207" s="2" t="s">
        <v>351</v>
      </c>
      <c r="C1207" s="2" t="s">
        <v>492</v>
      </c>
      <c r="D1207" s="2" t="e">
        <f>VLOOKUP(C:C,Vlookup!A:A,1,0)</f>
        <v>#N/A</v>
      </c>
      <c r="E1207" s="2">
        <v>22</v>
      </c>
      <c r="F1207" s="2" t="s">
        <v>10</v>
      </c>
      <c r="G1207" s="2" t="s">
        <v>25</v>
      </c>
      <c r="H1207" s="2" t="s">
        <v>11</v>
      </c>
      <c r="I1207" s="2">
        <v>1</v>
      </c>
      <c r="J1207" s="5">
        <v>46121</v>
      </c>
      <c r="K1207" s="5">
        <v>46135</v>
      </c>
      <c r="L1207" s="2" t="s">
        <v>865</v>
      </c>
      <c r="M1207" s="5">
        <v>46167</v>
      </c>
      <c r="N1207" s="3">
        <f>VLOOKUP(NavDataRegion[[#This Row],[Spool No]],[1]Sheet2!$B:$U,20,0)</f>
        <v>85.055850000000007</v>
      </c>
      <c r="O1207" s="2">
        <v>25</v>
      </c>
      <c r="P1207" s="2">
        <v>2.5</v>
      </c>
      <c r="Q1207" s="2"/>
    </row>
    <row r="1208" spans="1:17" ht="20.100000000000001" customHeight="1">
      <c r="A1208" s="2" t="s">
        <v>9</v>
      </c>
      <c r="B1208" s="2" t="s">
        <v>212</v>
      </c>
      <c r="C1208" s="2" t="s">
        <v>423</v>
      </c>
      <c r="D1208" s="2" t="e">
        <f>VLOOKUP(C:C,Vlookup!A:A,1,0)</f>
        <v>#N/A</v>
      </c>
      <c r="E1208" s="2">
        <v>17</v>
      </c>
      <c r="F1208" s="2" t="s">
        <v>424</v>
      </c>
      <c r="G1208" s="2" t="s">
        <v>16</v>
      </c>
      <c r="H1208" s="2" t="s">
        <v>11</v>
      </c>
      <c r="I1208" s="2">
        <v>1</v>
      </c>
      <c r="J1208" s="5">
        <v>46108</v>
      </c>
      <c r="K1208" s="5">
        <v>46111</v>
      </c>
      <c r="L1208" s="2" t="s">
        <v>865</v>
      </c>
      <c r="M1208" s="5">
        <v>45754</v>
      </c>
      <c r="N1208" s="3">
        <f>VLOOKUP(NavDataRegion[[#This Row],[Spool No]],[1]Sheet2!$B:$U,20,0)</f>
        <v>66.127275151999996</v>
      </c>
      <c r="O1208" s="2">
        <v>14.5</v>
      </c>
      <c r="P1208" s="2">
        <v>4</v>
      </c>
      <c r="Q1208" s="2"/>
    </row>
    <row r="1209" spans="1:17" ht="20.100000000000001" customHeight="1">
      <c r="A1209" s="2" t="s">
        <v>9</v>
      </c>
      <c r="B1209" s="2" t="s">
        <v>1039</v>
      </c>
      <c r="C1209" s="2" t="s">
        <v>1040</v>
      </c>
      <c r="D1209" s="2" t="e">
        <f>VLOOKUP(C:C,Vlookup!A:A,1,0)</f>
        <v>#N/A</v>
      </c>
      <c r="E1209" s="2">
        <v>16</v>
      </c>
      <c r="F1209" s="17" t="s">
        <v>10</v>
      </c>
      <c r="G1209" s="17" t="s">
        <v>25</v>
      </c>
      <c r="H1209" s="2" t="s">
        <v>11</v>
      </c>
      <c r="I1209" s="2">
        <v>1</v>
      </c>
      <c r="J1209" s="5">
        <v>46115</v>
      </c>
      <c r="K1209" s="5">
        <v>46120</v>
      </c>
      <c r="L1209" s="2" t="s">
        <v>865</v>
      </c>
      <c r="M1209" s="5">
        <v>46167</v>
      </c>
      <c r="N1209" s="3">
        <f>VLOOKUP(NavDataRegion[[#This Row],[Spool No]],[1]Sheet2!$B:$U,20,0)</f>
        <v>33.782719999999998</v>
      </c>
      <c r="O1209" s="2">
        <v>16</v>
      </c>
      <c r="P1209" s="2">
        <v>1</v>
      </c>
      <c r="Q1209" s="2"/>
    </row>
    <row r="1210" spans="1:17" ht="20.100000000000001" customHeight="1">
      <c r="A1210" s="2" t="s">
        <v>9</v>
      </c>
      <c r="B1210" s="2" t="s">
        <v>12</v>
      </c>
      <c r="C1210" s="2" t="s">
        <v>13</v>
      </c>
      <c r="D1210" s="2" t="e">
        <f>VLOOKUP(C:C,Vlookup!A:A,1,0)</f>
        <v>#N/A</v>
      </c>
      <c r="E1210" s="2">
        <v>15</v>
      </c>
      <c r="F1210" s="2" t="s">
        <v>10</v>
      </c>
      <c r="G1210" s="2" t="s">
        <v>281</v>
      </c>
      <c r="H1210" s="2" t="s">
        <v>11</v>
      </c>
      <c r="I1210" s="2">
        <v>1</v>
      </c>
      <c r="J1210" s="5">
        <v>46105</v>
      </c>
      <c r="K1210" s="5">
        <v>46106</v>
      </c>
      <c r="L1210" s="2" t="s">
        <v>865</v>
      </c>
      <c r="M1210" s="5">
        <v>45754</v>
      </c>
      <c r="N1210" s="3">
        <f>VLOOKUP(NavDataRegion[[#This Row],[Spool No]],[1]Sheet2!$B:$U,20,0)</f>
        <v>7.2738500000000004</v>
      </c>
      <c r="O1210" s="2">
        <v>9.25</v>
      </c>
      <c r="P1210" s="2">
        <v>3</v>
      </c>
      <c r="Q1210" s="2"/>
    </row>
    <row r="1211" spans="1:17" ht="20.100000000000001" customHeight="1">
      <c r="A1211" s="2" t="s">
        <v>9</v>
      </c>
      <c r="B1211" s="2" t="s">
        <v>12</v>
      </c>
      <c r="C1211" s="2" t="s">
        <v>353</v>
      </c>
      <c r="D1211" s="2" t="e">
        <f>VLOOKUP(C:C,Vlookup!A:A,1,0)</f>
        <v>#N/A</v>
      </c>
      <c r="E1211" s="2">
        <v>15</v>
      </c>
      <c r="F1211" s="2" t="s">
        <v>10</v>
      </c>
      <c r="G1211" s="2" t="s">
        <v>281</v>
      </c>
      <c r="H1211" s="2" t="s">
        <v>11</v>
      </c>
      <c r="I1211" s="2">
        <v>1</v>
      </c>
      <c r="J1211" s="5">
        <v>46105</v>
      </c>
      <c r="K1211" s="5">
        <v>46106</v>
      </c>
      <c r="L1211" s="2" t="s">
        <v>865</v>
      </c>
      <c r="M1211" s="5">
        <v>45754</v>
      </c>
      <c r="N1211" s="3">
        <f>VLOOKUP(NavDataRegion[[#This Row],[Spool No]],[1]Sheet2!$B:$U,20,0)</f>
        <v>7.2738500000000004</v>
      </c>
      <c r="O1211" s="2">
        <v>9.25</v>
      </c>
      <c r="P1211" s="2">
        <v>3</v>
      </c>
      <c r="Q1211" s="2"/>
    </row>
    <row r="1212" spans="1:17" ht="20.100000000000001" customHeight="1">
      <c r="A1212" s="2" t="s">
        <v>9</v>
      </c>
      <c r="B1212" s="2" t="s">
        <v>1107</v>
      </c>
      <c r="C1212" s="2" t="s">
        <v>1108</v>
      </c>
      <c r="D1212" s="2" t="e">
        <f>VLOOKUP(C:C,Vlookup!A:A,1,0)</f>
        <v>#N/A</v>
      </c>
      <c r="E1212" s="2">
        <v>16</v>
      </c>
      <c r="F1212" s="17" t="s">
        <v>10</v>
      </c>
      <c r="G1212" s="17" t="s">
        <v>25</v>
      </c>
      <c r="H1212" s="2" t="s">
        <v>11</v>
      </c>
      <c r="I1212" s="2">
        <v>1</v>
      </c>
      <c r="J1212" s="5">
        <v>46112</v>
      </c>
      <c r="K1212" s="5">
        <v>46118</v>
      </c>
      <c r="L1212" s="2" t="s">
        <v>865</v>
      </c>
      <c r="M1212" s="5">
        <v>46167</v>
      </c>
      <c r="N1212" s="3">
        <f>VLOOKUP(NavDataRegion[[#This Row],[Spool No]],[1]Sheet2!$B:$U,20,0)</f>
        <v>9.0387199999999996</v>
      </c>
      <c r="O1212" s="2">
        <v>6</v>
      </c>
      <c r="P1212" s="2">
        <v>1</v>
      </c>
      <c r="Q1212" s="2"/>
    </row>
    <row r="1213" spans="1:17" ht="20.100000000000001" customHeight="1">
      <c r="A1213" s="2" t="s">
        <v>9</v>
      </c>
      <c r="B1213" s="2" t="s">
        <v>12</v>
      </c>
      <c r="C1213" s="2" t="s">
        <v>493</v>
      </c>
      <c r="D1213" s="2" t="e">
        <f>VLOOKUP(C:C,Vlookup!A:A,1,0)</f>
        <v>#N/A</v>
      </c>
      <c r="E1213" s="2">
        <v>15</v>
      </c>
      <c r="F1213" s="2" t="s">
        <v>10</v>
      </c>
      <c r="G1213" s="2" t="s">
        <v>281</v>
      </c>
      <c r="H1213" s="2" t="s">
        <v>11</v>
      </c>
      <c r="I1213" s="2">
        <v>1</v>
      </c>
      <c r="J1213" s="5">
        <v>46105</v>
      </c>
      <c r="K1213" s="5">
        <v>46106</v>
      </c>
      <c r="L1213" s="2" t="s">
        <v>865</v>
      </c>
      <c r="M1213" s="5">
        <v>45754</v>
      </c>
      <c r="N1213" s="3">
        <f>VLOOKUP(NavDataRegion[[#This Row],[Spool No]],[1]Sheet2!$B:$U,20,0)</f>
        <v>7.2738500000000004</v>
      </c>
      <c r="O1213" s="2">
        <v>9.25</v>
      </c>
      <c r="P1213" s="2">
        <v>3</v>
      </c>
      <c r="Q1213" s="2"/>
    </row>
    <row r="1214" spans="1:17" ht="20.100000000000001" customHeight="1">
      <c r="A1214" s="2" t="s">
        <v>9</v>
      </c>
      <c r="B1214" s="2" t="s">
        <v>1125</v>
      </c>
      <c r="C1214" s="2" t="s">
        <v>1126</v>
      </c>
      <c r="D1214" s="2" t="e">
        <f>VLOOKUP(C:C,Vlookup!A:A,1,0)</f>
        <v>#N/A</v>
      </c>
      <c r="E1214" s="2">
        <v>16</v>
      </c>
      <c r="F1214" s="17" t="s">
        <v>10</v>
      </c>
      <c r="G1214" s="17" t="s">
        <v>25</v>
      </c>
      <c r="H1214" s="2" t="s">
        <v>11</v>
      </c>
      <c r="I1214" s="2">
        <v>1</v>
      </c>
      <c r="J1214" s="5">
        <v>46112</v>
      </c>
      <c r="K1214" s="5">
        <v>46118</v>
      </c>
      <c r="L1214" s="2" t="s">
        <v>865</v>
      </c>
      <c r="M1214" s="5">
        <v>46167</v>
      </c>
      <c r="N1214" s="3">
        <f>VLOOKUP(NavDataRegion[[#This Row],[Spool No]],[1]Sheet2!$B:$U,20,0)</f>
        <v>7.89452</v>
      </c>
      <c r="O1214" s="2">
        <v>3</v>
      </c>
      <c r="P1214" s="2">
        <v>1</v>
      </c>
      <c r="Q1214" s="2"/>
    </row>
    <row r="1215" spans="1:17" ht="20.100000000000001" customHeight="1">
      <c r="A1215" s="2" t="s">
        <v>9</v>
      </c>
      <c r="B1215" s="2" t="s">
        <v>12</v>
      </c>
      <c r="C1215" s="2" t="s">
        <v>614</v>
      </c>
      <c r="D1215" s="2" t="e">
        <f>VLOOKUP(C:C,Vlookup!A:A,1,0)</f>
        <v>#N/A</v>
      </c>
      <c r="E1215" s="2">
        <v>15</v>
      </c>
      <c r="F1215" s="2" t="s">
        <v>10</v>
      </c>
      <c r="G1215" s="2" t="s">
        <v>281</v>
      </c>
      <c r="H1215" s="2" t="s">
        <v>11</v>
      </c>
      <c r="I1215" s="2">
        <v>1</v>
      </c>
      <c r="J1215" s="5">
        <v>46105</v>
      </c>
      <c r="K1215" s="5">
        <v>46106</v>
      </c>
      <c r="L1215" s="2" t="s">
        <v>865</v>
      </c>
      <c r="M1215" s="5">
        <v>45754</v>
      </c>
      <c r="N1215" s="3">
        <f>VLOOKUP(NavDataRegion[[#This Row],[Spool No]],[1]Sheet2!$B:$U,20,0)</f>
        <v>5.38279</v>
      </c>
      <c r="O1215" s="2">
        <v>15.75</v>
      </c>
      <c r="P1215" s="2">
        <v>3</v>
      </c>
      <c r="Q1215" s="2"/>
    </row>
    <row r="1216" spans="1:17" ht="20.100000000000001" customHeight="1">
      <c r="A1216" s="2" t="s">
        <v>9</v>
      </c>
      <c r="B1216" s="2" t="s">
        <v>1377</v>
      </c>
      <c r="C1216" s="2" t="s">
        <v>1378</v>
      </c>
      <c r="D1216" s="2" t="e">
        <f>VLOOKUP(C:C,Vlookup!A:A,1,0)</f>
        <v>#N/A</v>
      </c>
      <c r="E1216" s="2">
        <v>14</v>
      </c>
      <c r="F1216" s="17" t="s">
        <v>10</v>
      </c>
      <c r="G1216" s="17" t="s">
        <v>25</v>
      </c>
      <c r="H1216" s="2" t="s">
        <v>11</v>
      </c>
      <c r="I1216" s="2">
        <v>1</v>
      </c>
      <c r="J1216" s="5">
        <v>46093</v>
      </c>
      <c r="K1216" s="5">
        <v>46094</v>
      </c>
      <c r="L1216" s="2" t="s">
        <v>865</v>
      </c>
      <c r="M1216" s="5">
        <v>45754</v>
      </c>
      <c r="N1216" s="3">
        <f>VLOOKUP(NavDataRegion[[#This Row],[Spool No]],[1]Sheet2!$B:$U,20,0)</f>
        <v>9.7121600000000008</v>
      </c>
      <c r="O1216" s="2">
        <v>4</v>
      </c>
      <c r="P1216" s="2">
        <v>1</v>
      </c>
      <c r="Q1216" s="2"/>
    </row>
    <row r="1217" spans="1:17" ht="20.100000000000001" customHeight="1">
      <c r="A1217" s="2" t="s">
        <v>9</v>
      </c>
      <c r="B1217" s="2" t="s">
        <v>12</v>
      </c>
      <c r="C1217" s="2" t="s">
        <v>703</v>
      </c>
      <c r="D1217" s="2" t="e">
        <f>VLOOKUP(C:C,Vlookup!A:A,1,0)</f>
        <v>#N/A</v>
      </c>
      <c r="E1217" s="2">
        <v>15</v>
      </c>
      <c r="F1217" s="2" t="s">
        <v>10</v>
      </c>
      <c r="G1217" s="2" t="s">
        <v>281</v>
      </c>
      <c r="H1217" s="2" t="s">
        <v>11</v>
      </c>
      <c r="I1217" s="2">
        <v>1</v>
      </c>
      <c r="J1217" s="5">
        <v>46105</v>
      </c>
      <c r="K1217" s="5">
        <v>46106</v>
      </c>
      <c r="L1217" s="2" t="s">
        <v>865</v>
      </c>
      <c r="M1217" s="5">
        <v>45754</v>
      </c>
      <c r="N1217" s="3">
        <f>VLOOKUP(NavDataRegion[[#This Row],[Spool No]],[1]Sheet2!$B:$U,20,0)</f>
        <v>5.38279</v>
      </c>
      <c r="O1217" s="2">
        <v>15.75</v>
      </c>
      <c r="P1217" s="2">
        <v>3</v>
      </c>
      <c r="Q1217" s="2"/>
    </row>
    <row r="1218" spans="1:17" ht="20.100000000000001" customHeight="1">
      <c r="A1218" s="2" t="s">
        <v>9</v>
      </c>
      <c r="B1218" s="2" t="s">
        <v>1415</v>
      </c>
      <c r="C1218" s="2" t="s">
        <v>1416</v>
      </c>
      <c r="D1218" s="2" t="e">
        <f>VLOOKUP(C:C,Vlookup!A:A,1,0)</f>
        <v>#N/A</v>
      </c>
      <c r="E1218" s="2">
        <v>14</v>
      </c>
      <c r="F1218" s="17" t="s">
        <v>10</v>
      </c>
      <c r="G1218" s="17" t="s">
        <v>25</v>
      </c>
      <c r="H1218" s="2" t="s">
        <v>11</v>
      </c>
      <c r="I1218" s="2">
        <v>1</v>
      </c>
      <c r="J1218" s="5">
        <v>46093</v>
      </c>
      <c r="K1218" s="5">
        <v>46094</v>
      </c>
      <c r="L1218" s="2" t="s">
        <v>865</v>
      </c>
      <c r="M1218" s="5">
        <v>45754</v>
      </c>
      <c r="N1218" s="3">
        <f>VLOOKUP(NavDataRegion[[#This Row],[Spool No]],[1]Sheet2!$B:$U,20,0)</f>
        <v>2.9016000000000002</v>
      </c>
      <c r="O1218" s="2">
        <v>0.75</v>
      </c>
      <c r="P1218" s="2">
        <v>0.75</v>
      </c>
      <c r="Q1218" s="2"/>
    </row>
    <row r="1219" spans="1:17" ht="20.100000000000001" customHeight="1">
      <c r="A1219" s="2" t="s">
        <v>9</v>
      </c>
      <c r="B1219" s="2" t="s">
        <v>12</v>
      </c>
      <c r="C1219" s="2" t="s">
        <v>751</v>
      </c>
      <c r="D1219" s="2" t="e">
        <f>VLOOKUP(C:C,Vlookup!A:A,1,0)</f>
        <v>#N/A</v>
      </c>
      <c r="E1219" s="2">
        <v>15</v>
      </c>
      <c r="F1219" s="2" t="s">
        <v>10</v>
      </c>
      <c r="G1219" s="2" t="s">
        <v>281</v>
      </c>
      <c r="H1219" s="2" t="s">
        <v>11</v>
      </c>
      <c r="I1219" s="2">
        <v>1</v>
      </c>
      <c r="J1219" s="5">
        <v>46105</v>
      </c>
      <c r="K1219" s="5">
        <v>46106</v>
      </c>
      <c r="L1219" s="2" t="s">
        <v>865</v>
      </c>
      <c r="M1219" s="5">
        <v>45754</v>
      </c>
      <c r="N1219" s="3">
        <f>VLOOKUP(NavDataRegion[[#This Row],[Spool No]],[1]Sheet2!$B:$U,20,0)</f>
        <v>4.1683300000000001</v>
      </c>
      <c r="O1219" s="2">
        <v>9.25</v>
      </c>
      <c r="P1219" s="2">
        <v>3</v>
      </c>
      <c r="Q1219" s="2"/>
    </row>
    <row r="1220" spans="1:17" ht="20.100000000000001" customHeight="1">
      <c r="A1220" s="2" t="s">
        <v>9</v>
      </c>
      <c r="B1220" s="2" t="s">
        <v>12</v>
      </c>
      <c r="C1220" s="2" t="s">
        <v>779</v>
      </c>
      <c r="D1220" s="2" t="e">
        <f>VLOOKUP(C:C,Vlookup!A:A,1,0)</f>
        <v>#N/A</v>
      </c>
      <c r="E1220" s="2">
        <v>15</v>
      </c>
      <c r="F1220" s="2" t="s">
        <v>10</v>
      </c>
      <c r="G1220" s="2" t="s">
        <v>281</v>
      </c>
      <c r="H1220" s="2" t="s">
        <v>11</v>
      </c>
      <c r="I1220" s="2">
        <v>1</v>
      </c>
      <c r="J1220" s="5">
        <v>46105</v>
      </c>
      <c r="K1220" s="5">
        <v>46106</v>
      </c>
      <c r="L1220" s="2" t="s">
        <v>865</v>
      </c>
      <c r="M1220" s="5">
        <v>45754</v>
      </c>
      <c r="N1220" s="3">
        <f>VLOOKUP(NavDataRegion[[#This Row],[Spool No]],[1]Sheet2!$B:$U,20,0)</f>
        <v>4.1683300000000001</v>
      </c>
      <c r="O1220" s="2">
        <v>9.25</v>
      </c>
      <c r="P1220" s="2">
        <v>3</v>
      </c>
      <c r="Q1220" s="2"/>
    </row>
    <row r="1221" spans="1:17" ht="20.100000000000001" customHeight="1">
      <c r="A1221" s="2" t="s">
        <v>9</v>
      </c>
      <c r="B1221" s="2" t="s">
        <v>12</v>
      </c>
      <c r="C1221" s="2" t="s">
        <v>798</v>
      </c>
      <c r="D1221" s="2" t="e">
        <f>VLOOKUP(C:C,Vlookup!A:A,1,0)</f>
        <v>#N/A</v>
      </c>
      <c r="E1221" s="2">
        <v>15</v>
      </c>
      <c r="F1221" s="2" t="s">
        <v>10</v>
      </c>
      <c r="G1221" s="2" t="s">
        <v>281</v>
      </c>
      <c r="H1221" s="2" t="s">
        <v>11</v>
      </c>
      <c r="I1221" s="2">
        <v>1</v>
      </c>
      <c r="J1221" s="5">
        <v>46105</v>
      </c>
      <c r="K1221" s="5">
        <v>46106</v>
      </c>
      <c r="L1221" s="2" t="s">
        <v>865</v>
      </c>
      <c r="M1221" s="5">
        <v>45754</v>
      </c>
      <c r="N1221" s="3">
        <f>VLOOKUP(NavDataRegion[[#This Row],[Spool No]],[1]Sheet2!$B:$U,20,0)</f>
        <v>4.1683300000000001</v>
      </c>
      <c r="O1221" s="2">
        <v>9.25</v>
      </c>
      <c r="P1221" s="2">
        <v>3</v>
      </c>
      <c r="Q1221" s="2"/>
    </row>
    <row r="1222" spans="1:17" ht="20.100000000000001" customHeight="1">
      <c r="A1222" s="2" t="s">
        <v>9</v>
      </c>
      <c r="B1222" s="2" t="s">
        <v>323</v>
      </c>
      <c r="C1222" s="2" t="s">
        <v>803</v>
      </c>
      <c r="D1222" s="2" t="e">
        <f>VLOOKUP(C:C,Vlookup!A:A,1,0)</f>
        <v>#N/A</v>
      </c>
      <c r="E1222" s="2">
        <v>24</v>
      </c>
      <c r="F1222" s="2" t="s">
        <v>804</v>
      </c>
      <c r="G1222" s="2" t="s">
        <v>10</v>
      </c>
      <c r="H1222" s="2" t="s">
        <v>11</v>
      </c>
      <c r="I1222" s="2">
        <v>1</v>
      </c>
      <c r="J1222" s="5">
        <v>46169</v>
      </c>
      <c r="K1222" s="5">
        <v>46175</v>
      </c>
      <c r="L1222" s="2" t="s">
        <v>865</v>
      </c>
      <c r="M1222" s="5">
        <v>46185</v>
      </c>
      <c r="N1222" s="3">
        <f>VLOOKUP(NavDataRegion[[#This Row],[Spool No]],[1]Sheet2!$B:$U,20,0)</f>
        <v>586.49514515199996</v>
      </c>
      <c r="O1222" s="2">
        <v>28.5</v>
      </c>
      <c r="P1222" s="2">
        <v>3</v>
      </c>
      <c r="Q1222" s="2"/>
    </row>
    <row r="1223" spans="1:17" ht="20.100000000000001" customHeight="1">
      <c r="A1223" s="2" t="s">
        <v>9</v>
      </c>
      <c r="B1223" s="2" t="s">
        <v>12</v>
      </c>
      <c r="C1223" s="2" t="s">
        <v>805</v>
      </c>
      <c r="D1223" s="2" t="e">
        <f>VLOOKUP(C:C,Vlookup!A:A,1,0)</f>
        <v>#N/A</v>
      </c>
      <c r="E1223" s="2">
        <v>15</v>
      </c>
      <c r="F1223" s="2" t="s">
        <v>10</v>
      </c>
      <c r="G1223" s="2" t="s">
        <v>281</v>
      </c>
      <c r="H1223" s="2" t="s">
        <v>11</v>
      </c>
      <c r="I1223" s="2">
        <v>1</v>
      </c>
      <c r="J1223" s="5">
        <v>46105</v>
      </c>
      <c r="K1223" s="5">
        <v>46106</v>
      </c>
      <c r="L1223" s="2" t="s">
        <v>865</v>
      </c>
      <c r="M1223" s="5">
        <v>45754</v>
      </c>
      <c r="N1223" s="3">
        <f>VLOOKUP(NavDataRegion[[#This Row],[Spool No]],[1]Sheet2!$B:$U,20,0)</f>
        <v>4.04833</v>
      </c>
      <c r="O1223" s="2">
        <v>9</v>
      </c>
      <c r="P1223" s="2">
        <v>3</v>
      </c>
      <c r="Q1223" s="2"/>
    </row>
    <row r="1224" spans="1:17" ht="20.100000000000001" customHeight="1">
      <c r="A1224" s="2" t="s">
        <v>9</v>
      </c>
      <c r="B1224" s="2" t="s">
        <v>12</v>
      </c>
      <c r="C1224" s="2" t="s">
        <v>810</v>
      </c>
      <c r="D1224" s="2" t="e">
        <f>VLOOKUP(C:C,Vlookup!A:A,1,0)</f>
        <v>#N/A</v>
      </c>
      <c r="E1224" s="2">
        <v>15</v>
      </c>
      <c r="F1224" s="2" t="s">
        <v>10</v>
      </c>
      <c r="G1224" s="2" t="s">
        <v>281</v>
      </c>
      <c r="H1224" s="2" t="s">
        <v>11</v>
      </c>
      <c r="I1224" s="2">
        <v>1</v>
      </c>
      <c r="J1224" s="5">
        <v>46105</v>
      </c>
      <c r="K1224" s="5">
        <v>46106</v>
      </c>
      <c r="L1224" s="2" t="s">
        <v>865</v>
      </c>
      <c r="M1224" s="5">
        <v>45754</v>
      </c>
      <c r="N1224" s="3">
        <f>VLOOKUP(NavDataRegion[[#This Row],[Spool No]],[1]Sheet2!$B:$U,20,0)</f>
        <v>4.04833</v>
      </c>
      <c r="O1224" s="2">
        <v>9</v>
      </c>
      <c r="P1224" s="2">
        <v>3</v>
      </c>
      <c r="Q1224" s="2"/>
    </row>
    <row r="1225" spans="1:17" ht="20.100000000000001" customHeight="1">
      <c r="A1225" s="2" t="s">
        <v>9</v>
      </c>
      <c r="B1225" s="2" t="s">
        <v>12</v>
      </c>
      <c r="C1225" s="2" t="s">
        <v>815</v>
      </c>
      <c r="D1225" s="2" t="e">
        <f>VLOOKUP(C:C,Vlookup!A:A,1,0)</f>
        <v>#N/A</v>
      </c>
      <c r="E1225" s="2">
        <v>15</v>
      </c>
      <c r="F1225" s="2" t="s">
        <v>10</v>
      </c>
      <c r="G1225" s="2" t="s">
        <v>281</v>
      </c>
      <c r="H1225" s="2" t="s">
        <v>11</v>
      </c>
      <c r="I1225" s="2">
        <v>1</v>
      </c>
      <c r="J1225" s="5">
        <v>46105</v>
      </c>
      <c r="K1225" s="5">
        <v>46106</v>
      </c>
      <c r="L1225" s="2" t="s">
        <v>865</v>
      </c>
      <c r="M1225" s="5">
        <v>45754</v>
      </c>
      <c r="N1225" s="3">
        <f>VLOOKUP(NavDataRegion[[#This Row],[Spool No]],[1]Sheet2!$B:$U,20,0)</f>
        <v>4.1683300000000001</v>
      </c>
      <c r="O1225" s="2">
        <v>9.25</v>
      </c>
      <c r="P1225" s="2">
        <v>3</v>
      </c>
      <c r="Q1225" s="2"/>
    </row>
    <row r="1226" spans="1:17" ht="20.100000000000001" customHeight="1">
      <c r="A1226" s="2" t="s">
        <v>9</v>
      </c>
      <c r="B1226" s="2" t="s">
        <v>12</v>
      </c>
      <c r="C1226" s="2" t="s">
        <v>820</v>
      </c>
      <c r="D1226" s="2" t="e">
        <f>VLOOKUP(C:C,Vlookup!A:A,1,0)</f>
        <v>#N/A</v>
      </c>
      <c r="E1226" s="2">
        <v>15</v>
      </c>
      <c r="F1226" s="2" t="s">
        <v>10</v>
      </c>
      <c r="G1226" s="2" t="s">
        <v>281</v>
      </c>
      <c r="H1226" s="2" t="s">
        <v>11</v>
      </c>
      <c r="I1226" s="2">
        <v>1</v>
      </c>
      <c r="J1226" s="5">
        <v>46105</v>
      </c>
      <c r="K1226" s="5">
        <v>46106</v>
      </c>
      <c r="L1226" s="2" t="s">
        <v>865</v>
      </c>
      <c r="M1226" s="5">
        <v>45754</v>
      </c>
      <c r="N1226" s="3">
        <f>VLOOKUP(NavDataRegion[[#This Row],[Spool No]],[1]Sheet2!$B:$U,20,0)</f>
        <v>4.1683300000000001</v>
      </c>
      <c r="O1226" s="2">
        <v>9.25</v>
      </c>
      <c r="P1226" s="2">
        <v>3</v>
      </c>
      <c r="Q1226" s="2"/>
    </row>
    <row r="1227" spans="1:17" ht="20.100000000000001" customHeight="1">
      <c r="A1227" s="2" t="s">
        <v>9</v>
      </c>
      <c r="B1227" s="2" t="s">
        <v>12</v>
      </c>
      <c r="C1227" s="2" t="s">
        <v>823</v>
      </c>
      <c r="D1227" s="2" t="e">
        <f>VLOOKUP(C:C,Vlookup!A:A,1,0)</f>
        <v>#N/A</v>
      </c>
      <c r="E1227" s="2">
        <v>15</v>
      </c>
      <c r="F1227" s="2" t="s">
        <v>10</v>
      </c>
      <c r="G1227" s="2" t="s">
        <v>281</v>
      </c>
      <c r="H1227" s="2" t="s">
        <v>11</v>
      </c>
      <c r="I1227" s="2">
        <v>1</v>
      </c>
      <c r="J1227" s="5">
        <v>46105</v>
      </c>
      <c r="K1227" s="5">
        <v>46106</v>
      </c>
      <c r="L1227" s="2" t="s">
        <v>865</v>
      </c>
      <c r="M1227" s="5">
        <v>45754</v>
      </c>
      <c r="N1227" s="3">
        <f>VLOOKUP(NavDataRegion[[#This Row],[Spool No]],[1]Sheet2!$B:$U,20,0)</f>
        <v>4.1683300000000001</v>
      </c>
      <c r="O1227" s="2">
        <v>9.25</v>
      </c>
      <c r="P1227" s="2">
        <v>3</v>
      </c>
      <c r="Q1227" s="2"/>
    </row>
    <row r="1228" spans="1:17" ht="20.100000000000001" customHeight="1">
      <c r="A1228" s="2" t="s">
        <v>9</v>
      </c>
      <c r="B1228" s="2" t="s">
        <v>12</v>
      </c>
      <c r="C1228" s="2" t="s">
        <v>824</v>
      </c>
      <c r="D1228" s="2" t="e">
        <f>VLOOKUP(C:C,Vlookup!A:A,1,0)</f>
        <v>#N/A</v>
      </c>
      <c r="E1228" s="2">
        <v>15</v>
      </c>
      <c r="F1228" s="2" t="s">
        <v>10</v>
      </c>
      <c r="G1228" s="2" t="s">
        <v>281</v>
      </c>
      <c r="H1228" s="2" t="s">
        <v>11</v>
      </c>
      <c r="I1228" s="2">
        <v>1</v>
      </c>
      <c r="J1228" s="5">
        <v>46105</v>
      </c>
      <c r="K1228" s="5">
        <v>46106</v>
      </c>
      <c r="L1228" s="2" t="s">
        <v>865</v>
      </c>
      <c r="M1228" s="5">
        <v>45754</v>
      </c>
      <c r="N1228" s="3">
        <f>VLOOKUP(NavDataRegion[[#This Row],[Spool No]],[1]Sheet2!$B:$U,20,0)</f>
        <v>4.04833</v>
      </c>
      <c r="O1228" s="2">
        <v>9</v>
      </c>
      <c r="P1228" s="2">
        <v>3</v>
      </c>
      <c r="Q1228" s="2"/>
    </row>
    <row r="1229" spans="1:17" ht="20.100000000000001" customHeight="1">
      <c r="A1229" s="2" t="s">
        <v>9</v>
      </c>
      <c r="B1229" s="2" t="s">
        <v>12</v>
      </c>
      <c r="C1229" s="2" t="s">
        <v>825</v>
      </c>
      <c r="D1229" s="2" t="e">
        <f>VLOOKUP(C:C,Vlookup!A:A,1,0)</f>
        <v>#N/A</v>
      </c>
      <c r="E1229" s="2">
        <v>15</v>
      </c>
      <c r="F1229" s="2" t="s">
        <v>10</v>
      </c>
      <c r="G1229" s="2" t="s">
        <v>281</v>
      </c>
      <c r="H1229" s="2" t="s">
        <v>11</v>
      </c>
      <c r="I1229" s="2">
        <v>1</v>
      </c>
      <c r="J1229" s="5">
        <v>46105</v>
      </c>
      <c r="K1229" s="5">
        <v>46106</v>
      </c>
      <c r="L1229" s="2" t="s">
        <v>865</v>
      </c>
      <c r="M1229" s="5">
        <v>45754</v>
      </c>
      <c r="N1229" s="3">
        <f>VLOOKUP(NavDataRegion[[#This Row],[Spool No]],[1]Sheet2!$B:$U,20,0)</f>
        <v>4.04833</v>
      </c>
      <c r="O1229" s="2">
        <v>9</v>
      </c>
      <c r="P1229" s="2">
        <v>3</v>
      </c>
      <c r="Q1229" s="2"/>
    </row>
    <row r="1230" spans="1:17" ht="20.100000000000001" customHeight="1">
      <c r="A1230" s="2" t="s">
        <v>9</v>
      </c>
      <c r="B1230" s="2" t="s">
        <v>1429</v>
      </c>
      <c r="C1230" s="2" t="s">
        <v>1640</v>
      </c>
      <c r="D1230" s="2" t="e">
        <f>VLOOKUP(C:C,Vlookup!A:A,1,0)</f>
        <v>#N/A</v>
      </c>
      <c r="E1230" s="2">
        <v>16</v>
      </c>
      <c r="F1230" s="17" t="s">
        <v>10</v>
      </c>
      <c r="G1230" s="17" t="s">
        <v>25</v>
      </c>
      <c r="H1230" s="2" t="s">
        <v>11</v>
      </c>
      <c r="I1230" s="2">
        <v>1</v>
      </c>
      <c r="J1230" s="5">
        <v>46105</v>
      </c>
      <c r="K1230" s="5">
        <v>46111</v>
      </c>
      <c r="L1230" s="2" t="s">
        <v>865</v>
      </c>
      <c r="M1230" s="5">
        <v>46167</v>
      </c>
      <c r="N1230" s="3">
        <f>VLOOKUP(NavDataRegion[[#This Row],[Spool No]],[1]Sheet2!$B:$U,20,0)</f>
        <v>20.645800000000001</v>
      </c>
      <c r="O1230" s="2">
        <v>16</v>
      </c>
      <c r="P1230" s="2">
        <v>2</v>
      </c>
      <c r="Q1230" s="2"/>
    </row>
    <row r="1231" spans="1:17" ht="20.100000000000001" customHeight="1">
      <c r="A1231" s="13" t="s">
        <v>9</v>
      </c>
      <c r="B1231" s="13" t="s">
        <v>1553</v>
      </c>
      <c r="C1231" s="13" t="s">
        <v>1554</v>
      </c>
      <c r="D1231" s="13" t="e">
        <f>VLOOKUP(C:C,Vlookup!A:A,1,0)</f>
        <v>#N/A</v>
      </c>
      <c r="E1231" s="2">
        <v>16</v>
      </c>
      <c r="F1231" s="17" t="s">
        <v>10</v>
      </c>
      <c r="G1231" s="17" t="s">
        <v>25</v>
      </c>
      <c r="H1231" s="2" t="s">
        <v>11</v>
      </c>
      <c r="I1231" s="2">
        <v>1</v>
      </c>
      <c r="J1231" s="5">
        <v>46112</v>
      </c>
      <c r="K1231" s="5">
        <v>46118</v>
      </c>
      <c r="L1231" s="2" t="s">
        <v>865</v>
      </c>
      <c r="M1231" s="5">
        <v>46167</v>
      </c>
      <c r="N1231" s="3">
        <f>VLOOKUP(NavDataRegion[[#This Row],[Spool No]],[1]Sheet2!$B:$U,20,0)</f>
        <v>8.5867199999999997</v>
      </c>
      <c r="O1231" s="2">
        <v>4</v>
      </c>
      <c r="P1231" s="2">
        <v>1</v>
      </c>
      <c r="Q1231" s="2"/>
    </row>
    <row r="1232" spans="1:17" ht="20.100000000000001" customHeight="1">
      <c r="A1232" s="13" t="s">
        <v>9</v>
      </c>
      <c r="B1232" s="13" t="s">
        <v>297</v>
      </c>
      <c r="C1232" s="13" t="s">
        <v>598</v>
      </c>
      <c r="D1232" s="13" t="e">
        <f>VLOOKUP(C:C,Vlookup!A:A,1,0)</f>
        <v>#N/A</v>
      </c>
      <c r="E1232" s="2">
        <v>17</v>
      </c>
      <c r="F1232" s="2" t="s">
        <v>599</v>
      </c>
      <c r="G1232" s="2" t="s">
        <v>16</v>
      </c>
      <c r="H1232" s="2" t="s">
        <v>11</v>
      </c>
      <c r="I1232" s="2">
        <v>1</v>
      </c>
      <c r="J1232" s="5">
        <v>46108</v>
      </c>
      <c r="K1232" s="5">
        <v>46111</v>
      </c>
      <c r="L1232" s="2" t="s">
        <v>865</v>
      </c>
      <c r="M1232" s="5">
        <v>45754</v>
      </c>
      <c r="N1232" s="3">
        <f>VLOOKUP(NavDataRegion[[#This Row],[Spool No]],[1]Sheet2!$B:$U,20,0)</f>
        <v>183.58866</v>
      </c>
      <c r="O1232" s="2">
        <v>27</v>
      </c>
      <c r="P1232" s="2">
        <v>4</v>
      </c>
      <c r="Q1232" s="2"/>
    </row>
    <row r="1233" spans="1:17" ht="20.100000000000001" customHeight="1">
      <c r="A1233" s="2" t="s">
        <v>9</v>
      </c>
      <c r="B1233" s="2" t="s">
        <v>1553</v>
      </c>
      <c r="C1233" s="2" t="s">
        <v>1716</v>
      </c>
      <c r="D1233" s="2" t="e">
        <f>VLOOKUP(C:C,Vlookup!A:A,1,0)</f>
        <v>#N/A</v>
      </c>
      <c r="E1233" s="2">
        <v>16</v>
      </c>
      <c r="F1233" s="17" t="s">
        <v>10</v>
      </c>
      <c r="G1233" s="17" t="s">
        <v>25</v>
      </c>
      <c r="H1233" s="2" t="s">
        <v>11</v>
      </c>
      <c r="I1233" s="2">
        <v>1</v>
      </c>
      <c r="J1233" s="5">
        <v>46112</v>
      </c>
      <c r="K1233" s="5">
        <v>46118</v>
      </c>
      <c r="L1233" s="2" t="s">
        <v>865</v>
      </c>
      <c r="M1233" s="5">
        <v>46167</v>
      </c>
      <c r="N1233" s="3">
        <f>VLOOKUP(NavDataRegion[[#This Row],[Spool No]],[1]Sheet2!$B:$U,20,0)</f>
        <v>1.8639600000000001</v>
      </c>
      <c r="O1233" s="2">
        <v>3</v>
      </c>
      <c r="P1233" s="2">
        <v>1</v>
      </c>
      <c r="Q1233" s="2"/>
    </row>
    <row r="1234" spans="1:17" ht="20.100000000000001" customHeight="1">
      <c r="A1234" s="2" t="s">
        <v>9</v>
      </c>
      <c r="B1234" s="2" t="s">
        <v>1249</v>
      </c>
      <c r="C1234" s="2" t="s">
        <v>1250</v>
      </c>
      <c r="D1234" s="2" t="e">
        <f>VLOOKUP(C:C,Vlookup!A:A,1,0)</f>
        <v>#N/A</v>
      </c>
      <c r="E1234" s="2">
        <v>16</v>
      </c>
      <c r="F1234" s="17" t="s">
        <v>10</v>
      </c>
      <c r="G1234" s="17" t="s">
        <v>25</v>
      </c>
      <c r="H1234" s="2" t="s">
        <v>11</v>
      </c>
      <c r="I1234" s="2">
        <v>1</v>
      </c>
      <c r="J1234" s="5">
        <v>46112</v>
      </c>
      <c r="K1234" s="5">
        <v>46118</v>
      </c>
      <c r="L1234" s="2" t="s">
        <v>865</v>
      </c>
      <c r="M1234" s="5">
        <v>46167</v>
      </c>
      <c r="N1234" s="3">
        <f>VLOOKUP(NavDataRegion[[#This Row],[Spool No]],[1]Sheet2!$B:$U,20,0)</f>
        <v>8.7811199999999996</v>
      </c>
      <c r="O1234" s="2">
        <v>3</v>
      </c>
      <c r="P1234" s="2">
        <v>1</v>
      </c>
      <c r="Q1234" s="2"/>
    </row>
    <row r="1235" spans="1:17" ht="20.100000000000001" customHeight="1">
      <c r="A1235" s="2" t="s">
        <v>9</v>
      </c>
      <c r="B1235" s="2" t="s">
        <v>330</v>
      </c>
      <c r="C1235" s="2" t="s">
        <v>331</v>
      </c>
      <c r="D1235" s="2" t="e">
        <f>VLOOKUP(C:C,Vlookup!A:A,1,0)</f>
        <v>#N/A</v>
      </c>
      <c r="E1235" s="2">
        <v>20</v>
      </c>
      <c r="F1235" s="2" t="s">
        <v>10</v>
      </c>
      <c r="G1235" s="2" t="s">
        <v>16</v>
      </c>
      <c r="H1235" s="2" t="s">
        <v>11</v>
      </c>
      <c r="I1235" s="2">
        <v>1</v>
      </c>
      <c r="J1235" s="5">
        <v>46118</v>
      </c>
      <c r="K1235" s="5">
        <v>46120</v>
      </c>
      <c r="L1235" s="2" t="s">
        <v>865</v>
      </c>
      <c r="M1235" s="5">
        <v>46133</v>
      </c>
      <c r="N1235" s="3">
        <f>VLOOKUP(NavDataRegion[[#This Row],[Spool No]],[1]Sheet2!$B:$U,20,0)</f>
        <v>147.325643184</v>
      </c>
      <c r="O1235" s="2">
        <v>71</v>
      </c>
      <c r="P1235" s="2">
        <v>4</v>
      </c>
      <c r="Q1235" s="2"/>
    </row>
    <row r="1236" spans="1:17" ht="20.100000000000001" customHeight="1">
      <c r="A1236" s="2" t="s">
        <v>9</v>
      </c>
      <c r="B1236" s="2" t="s">
        <v>164</v>
      </c>
      <c r="C1236" s="2" t="s">
        <v>396</v>
      </c>
      <c r="D1236" s="2" t="e">
        <f>VLOOKUP(C:C,Vlookup!A:A,1,0)</f>
        <v>#N/A</v>
      </c>
      <c r="E1236" s="2">
        <v>21</v>
      </c>
      <c r="F1236" s="2" t="s">
        <v>397</v>
      </c>
      <c r="G1236" s="2" t="s">
        <v>16</v>
      </c>
      <c r="H1236" s="2" t="s">
        <v>11</v>
      </c>
      <c r="I1236" s="2">
        <v>1</v>
      </c>
      <c r="J1236" s="5">
        <v>46115</v>
      </c>
      <c r="K1236" s="5">
        <v>46120</v>
      </c>
      <c r="L1236" s="2" t="s">
        <v>865</v>
      </c>
      <c r="M1236" s="5">
        <v>46133</v>
      </c>
      <c r="N1236" s="3">
        <f>VLOOKUP(NavDataRegion[[#This Row],[Spool No]],[1]Sheet2!$B:$U,20,0)</f>
        <v>359.21249659199998</v>
      </c>
      <c r="O1236" s="2">
        <v>12</v>
      </c>
      <c r="P1236" s="2">
        <v>4</v>
      </c>
      <c r="Q1236" s="2"/>
    </row>
    <row r="1237" spans="1:17" ht="20.100000000000001" customHeight="1">
      <c r="A1237" s="2" t="s">
        <v>9</v>
      </c>
      <c r="B1237" s="2" t="s">
        <v>201</v>
      </c>
      <c r="C1237" s="2" t="s">
        <v>416</v>
      </c>
      <c r="D1237" s="2" t="e">
        <f>VLOOKUP(C:C,Vlookup!A:A,1,0)</f>
        <v>#N/A</v>
      </c>
      <c r="E1237" s="2">
        <v>20</v>
      </c>
      <c r="F1237" s="2" t="s">
        <v>417</v>
      </c>
      <c r="G1237" s="2" t="s">
        <v>16</v>
      </c>
      <c r="H1237" s="2" t="s">
        <v>11</v>
      </c>
      <c r="I1237" s="2">
        <v>1</v>
      </c>
      <c r="J1237" s="5">
        <v>46115</v>
      </c>
      <c r="K1237" s="5">
        <v>46120</v>
      </c>
      <c r="L1237" s="2" t="s">
        <v>865</v>
      </c>
      <c r="M1237" s="5">
        <v>46133</v>
      </c>
      <c r="N1237" s="3">
        <f>VLOOKUP(NavDataRegion[[#This Row],[Spool No]],[1]Sheet2!$B:$U,20,0)</f>
        <v>91.549725519999996</v>
      </c>
      <c r="O1237" s="2">
        <v>20.5</v>
      </c>
      <c r="P1237" s="2">
        <v>4</v>
      </c>
      <c r="Q1237" s="2"/>
    </row>
    <row r="1238" spans="1:17" ht="20.100000000000001" customHeight="1">
      <c r="A1238" s="2" t="s">
        <v>9</v>
      </c>
      <c r="B1238" s="2" t="s">
        <v>201</v>
      </c>
      <c r="C1238" s="2" t="s">
        <v>658</v>
      </c>
      <c r="D1238" s="2" t="e">
        <f>VLOOKUP(C:C,Vlookup!A:A,1,0)</f>
        <v>#N/A</v>
      </c>
      <c r="E1238" s="2">
        <v>17</v>
      </c>
      <c r="F1238" s="2" t="s">
        <v>659</v>
      </c>
      <c r="G1238" s="2" t="s">
        <v>10</v>
      </c>
      <c r="H1238" s="2" t="s">
        <v>11</v>
      </c>
      <c r="I1238" s="2">
        <v>1</v>
      </c>
      <c r="J1238" s="5">
        <v>46108</v>
      </c>
      <c r="K1238" s="5">
        <v>46111</v>
      </c>
      <c r="L1238" s="2" t="s">
        <v>865</v>
      </c>
      <c r="M1238" s="5">
        <v>45754</v>
      </c>
      <c r="N1238" s="3">
        <f>VLOOKUP(NavDataRegion[[#This Row],[Spool No]],[1]Sheet2!$B:$U,20,0)</f>
        <v>104.68940551999999</v>
      </c>
      <c r="O1238" s="2">
        <v>16.5</v>
      </c>
      <c r="P1238" s="2">
        <v>4</v>
      </c>
      <c r="Q1238" s="2"/>
    </row>
    <row r="1239" spans="1:17" ht="20.100000000000001" customHeight="1">
      <c r="A1239" s="2" t="s">
        <v>9</v>
      </c>
      <c r="B1239" s="2" t="s">
        <v>1429</v>
      </c>
      <c r="C1239" s="2" t="s">
        <v>1778</v>
      </c>
      <c r="D1239" s="2" t="e">
        <f>VLOOKUP(C:C,Vlookup!A:A,1,0)</f>
        <v>#N/A</v>
      </c>
      <c r="E1239" s="2">
        <v>16</v>
      </c>
      <c r="F1239" s="17" t="s">
        <v>10</v>
      </c>
      <c r="G1239" s="17" t="s">
        <v>25</v>
      </c>
      <c r="H1239" s="2" t="s">
        <v>11</v>
      </c>
      <c r="I1239" s="2">
        <v>1</v>
      </c>
      <c r="J1239" s="5">
        <v>46105</v>
      </c>
      <c r="K1239" s="5">
        <v>46108</v>
      </c>
      <c r="L1239" s="2" t="s">
        <v>865</v>
      </c>
      <c r="M1239" s="5">
        <v>46167</v>
      </c>
      <c r="N1239" s="3">
        <f>VLOOKUP(NavDataRegion[[#This Row],[Spool No]],[1]Sheet2!$B:$U,20,0)</f>
        <v>77.023679999999999</v>
      </c>
      <c r="O1239" s="2">
        <v>6</v>
      </c>
      <c r="P1239" s="2">
        <v>2</v>
      </c>
      <c r="Q1239" s="2"/>
    </row>
    <row r="1240" spans="1:17" ht="20.100000000000001" customHeight="1">
      <c r="A1240" s="2" t="s">
        <v>9</v>
      </c>
      <c r="B1240" s="2" t="s">
        <v>1347</v>
      </c>
      <c r="C1240" s="2" t="s">
        <v>1770</v>
      </c>
      <c r="D1240" s="2" t="e">
        <f>VLOOKUP(C:C,Vlookup!A:A,1,0)</f>
        <v>#N/A</v>
      </c>
      <c r="E1240" s="2">
        <v>16</v>
      </c>
      <c r="F1240" s="17" t="s">
        <v>10</v>
      </c>
      <c r="G1240" s="17" t="s">
        <v>281</v>
      </c>
      <c r="H1240" s="2" t="s">
        <v>11</v>
      </c>
      <c r="I1240" s="2">
        <v>1</v>
      </c>
      <c r="J1240" s="5">
        <v>46113</v>
      </c>
      <c r="K1240" s="5">
        <v>46118</v>
      </c>
      <c r="L1240" s="2" t="s">
        <v>865</v>
      </c>
      <c r="M1240" s="5">
        <v>46167</v>
      </c>
      <c r="N1240" s="3">
        <f>VLOOKUP(NavDataRegion[[#This Row],[Spool No]],[1]Sheet2!$B:$U,20,0)</f>
        <v>13.7766</v>
      </c>
      <c r="O1240" s="2">
        <v>1.5</v>
      </c>
      <c r="P1240" s="2">
        <v>0.75</v>
      </c>
      <c r="Q1240" s="2"/>
    </row>
    <row r="1241" spans="1:17" ht="20.100000000000001" customHeight="1">
      <c r="A1241" s="2" t="s">
        <v>9</v>
      </c>
      <c r="B1241" s="2" t="s">
        <v>171</v>
      </c>
      <c r="C1241" s="2" t="s">
        <v>538</v>
      </c>
      <c r="D1241" s="2" t="e">
        <f>VLOOKUP(C:C,Vlookup!A:A,1,0)</f>
        <v>#N/A</v>
      </c>
      <c r="E1241" s="2">
        <v>20</v>
      </c>
      <c r="F1241" s="2" t="s">
        <v>539</v>
      </c>
      <c r="G1241" s="2" t="s">
        <v>16</v>
      </c>
      <c r="H1241" s="2" t="s">
        <v>11</v>
      </c>
      <c r="I1241" s="2">
        <v>1</v>
      </c>
      <c r="J1241" s="5">
        <v>46118</v>
      </c>
      <c r="K1241" s="5">
        <v>46120</v>
      </c>
      <c r="L1241" s="2" t="s">
        <v>865</v>
      </c>
      <c r="M1241" s="5">
        <v>46133</v>
      </c>
      <c r="N1241" s="3">
        <f>VLOOKUP(NavDataRegion[[#This Row],[Spool No]],[1]Sheet2!$B:$U,20,0)</f>
        <v>220.26034659199999</v>
      </c>
      <c r="O1241" s="2">
        <v>27.5</v>
      </c>
      <c r="P1241" s="2">
        <v>4</v>
      </c>
      <c r="Q1241" s="2"/>
    </row>
    <row r="1242" spans="1:17" ht="20.100000000000001" customHeight="1">
      <c r="A1242" s="2" t="s">
        <v>9</v>
      </c>
      <c r="B1242" s="2" t="s">
        <v>1429</v>
      </c>
      <c r="C1242" s="2" t="s">
        <v>1862</v>
      </c>
      <c r="D1242" s="2" t="e">
        <f>VLOOKUP(C:C,Vlookup!A:A,1,0)</f>
        <v>#N/A</v>
      </c>
      <c r="E1242" s="2">
        <v>16</v>
      </c>
      <c r="F1242" s="17" t="s">
        <v>10</v>
      </c>
      <c r="G1242" s="17" t="s">
        <v>25</v>
      </c>
      <c r="H1242" s="2" t="s">
        <v>11</v>
      </c>
      <c r="I1242" s="2">
        <v>1</v>
      </c>
      <c r="J1242" s="5">
        <v>46105</v>
      </c>
      <c r="K1242" s="5">
        <v>46108</v>
      </c>
      <c r="L1242" s="2" t="s">
        <v>865</v>
      </c>
      <c r="M1242" s="5">
        <v>46167</v>
      </c>
      <c r="N1242" s="3">
        <f>VLOOKUP(NavDataRegion[[#This Row],[Spool No]],[1]Sheet2!$B:$U,20,0)</f>
        <v>19.851040000000001</v>
      </c>
      <c r="O1242" s="2">
        <v>10</v>
      </c>
      <c r="P1242" s="2">
        <v>2</v>
      </c>
      <c r="Q1242" s="2"/>
    </row>
    <row r="1243" spans="1:17" ht="20.100000000000001" customHeight="1">
      <c r="A1243" s="2" t="s">
        <v>9</v>
      </c>
      <c r="B1243" s="2" t="s">
        <v>1385</v>
      </c>
      <c r="C1243" s="2" t="s">
        <v>1386</v>
      </c>
      <c r="D1243" s="2" t="e">
        <f>VLOOKUP(C:C,Vlookup!A:A,1,0)</f>
        <v>#N/A</v>
      </c>
      <c r="E1243" s="2">
        <v>16</v>
      </c>
      <c r="F1243" s="17" t="s">
        <v>10</v>
      </c>
      <c r="G1243" s="17" t="s">
        <v>25</v>
      </c>
      <c r="H1243" s="2" t="s">
        <v>11</v>
      </c>
      <c r="I1243" s="2">
        <v>1</v>
      </c>
      <c r="J1243" s="5">
        <v>46112</v>
      </c>
      <c r="K1243" s="5">
        <v>46118</v>
      </c>
      <c r="L1243" s="2" t="s">
        <v>865</v>
      </c>
      <c r="M1243" s="5">
        <v>46167</v>
      </c>
      <c r="N1243" s="3">
        <f>VLOOKUP(NavDataRegion[[#This Row],[Spool No]],[1]Sheet2!$B:$U,20,0)</f>
        <v>8.5133600000000005</v>
      </c>
      <c r="O1243" s="2">
        <v>4</v>
      </c>
      <c r="P1243" s="2">
        <v>1</v>
      </c>
      <c r="Q1243" s="2"/>
    </row>
    <row r="1244" spans="1:17" ht="20.100000000000001" customHeight="1">
      <c r="A1244" s="2" t="s">
        <v>9</v>
      </c>
      <c r="B1244" s="2" t="s">
        <v>164</v>
      </c>
      <c r="C1244" s="2" t="s">
        <v>1914</v>
      </c>
      <c r="D1244" s="2" t="e">
        <f>VLOOKUP(C:C,Vlookup!A:A,1,0)</f>
        <v>#N/A</v>
      </c>
      <c r="E1244" s="2">
        <v>17</v>
      </c>
      <c r="F1244" s="17" t="s">
        <v>1948</v>
      </c>
      <c r="G1244" s="17" t="s">
        <v>16</v>
      </c>
      <c r="H1244" s="2" t="s">
        <v>11</v>
      </c>
      <c r="I1244" s="2">
        <v>1</v>
      </c>
      <c r="J1244" s="5">
        <v>46108</v>
      </c>
      <c r="K1244" s="5">
        <v>46111</v>
      </c>
      <c r="L1244" s="2" t="s">
        <v>865</v>
      </c>
      <c r="M1244" s="5">
        <v>45754</v>
      </c>
      <c r="N1244" s="3">
        <f>VLOOKUP(NavDataRegion[[#This Row],[Spool No]],[1]Sheet2!$B:$U,20,0)</f>
        <v>67.318256591999997</v>
      </c>
      <c r="O1244" s="2">
        <v>8</v>
      </c>
      <c r="P1244" s="2">
        <v>4</v>
      </c>
      <c r="Q1244" s="2"/>
    </row>
    <row r="1245" spans="1:17" ht="20.100000000000001" customHeight="1">
      <c r="A1245" s="2" t="s">
        <v>9</v>
      </c>
      <c r="B1245" s="2" t="s">
        <v>328</v>
      </c>
      <c r="C1245" s="2" t="s">
        <v>610</v>
      </c>
      <c r="D1245" s="2" t="e">
        <f>VLOOKUP(C:C,Vlookup!A:A,1,0)</f>
        <v>#N/A</v>
      </c>
      <c r="E1245" s="2">
        <v>21</v>
      </c>
      <c r="F1245" s="2" t="s">
        <v>10</v>
      </c>
      <c r="G1245" s="2" t="s">
        <v>16</v>
      </c>
      <c r="H1245" s="2" t="s">
        <v>11</v>
      </c>
      <c r="I1245" s="2">
        <v>1</v>
      </c>
      <c r="J1245" s="5">
        <v>46118</v>
      </c>
      <c r="K1245" s="5">
        <v>46120</v>
      </c>
      <c r="L1245" s="2" t="s">
        <v>865</v>
      </c>
      <c r="M1245" s="5">
        <v>46133</v>
      </c>
      <c r="N1245" s="3">
        <f>VLOOKUP(NavDataRegion[[#This Row],[Spool No]],[1]Sheet2!$B:$U,20,0)</f>
        <v>171.35743977600001</v>
      </c>
      <c r="O1245" s="2">
        <v>14</v>
      </c>
      <c r="P1245" s="2">
        <v>4</v>
      </c>
      <c r="Q1245" s="2"/>
    </row>
    <row r="1246" spans="1:17" ht="20.100000000000001" customHeight="1">
      <c r="A1246" s="2" t="s">
        <v>9</v>
      </c>
      <c r="B1246" s="2" t="s">
        <v>1389</v>
      </c>
      <c r="C1246" s="2" t="s">
        <v>1390</v>
      </c>
      <c r="D1246" s="2" t="e">
        <f>VLOOKUP(C:C,Vlookup!A:A,1,0)</f>
        <v>#N/A</v>
      </c>
      <c r="E1246" s="2">
        <v>16</v>
      </c>
      <c r="F1246" s="17" t="s">
        <v>10</v>
      </c>
      <c r="G1246" s="17" t="s">
        <v>25</v>
      </c>
      <c r="H1246" s="2" t="s">
        <v>11</v>
      </c>
      <c r="I1246" s="2">
        <v>1</v>
      </c>
      <c r="J1246" s="5">
        <v>46112</v>
      </c>
      <c r="K1246" s="5">
        <v>46118</v>
      </c>
      <c r="L1246" s="2" t="s">
        <v>865</v>
      </c>
      <c r="M1246" s="5">
        <v>46167</v>
      </c>
      <c r="N1246" s="3">
        <f>VLOOKUP(NavDataRegion[[#This Row],[Spool No]],[1]Sheet2!$B:$U,20,0)</f>
        <v>8.5133600000000005</v>
      </c>
      <c r="O1246" s="2">
        <v>4</v>
      </c>
      <c r="P1246" s="2">
        <v>1</v>
      </c>
      <c r="Q1246" s="2"/>
    </row>
    <row r="1247" spans="1:17" ht="20.100000000000001" customHeight="1">
      <c r="A1247" s="2" t="s">
        <v>9</v>
      </c>
      <c r="B1247" s="2" t="s">
        <v>169</v>
      </c>
      <c r="C1247" s="2" t="s">
        <v>650</v>
      </c>
      <c r="D1247" s="2" t="e">
        <f>VLOOKUP(C:C,Vlookup!A:A,1,0)</f>
        <v>#N/A</v>
      </c>
      <c r="E1247" s="2">
        <v>22</v>
      </c>
      <c r="F1247" s="2" t="s">
        <v>651</v>
      </c>
      <c r="G1247" s="2" t="s">
        <v>16</v>
      </c>
      <c r="H1247" s="2" t="s">
        <v>11</v>
      </c>
      <c r="I1247" s="2">
        <v>1</v>
      </c>
      <c r="J1247" s="5">
        <v>46141</v>
      </c>
      <c r="K1247" s="5">
        <v>46147</v>
      </c>
      <c r="L1247" s="2" t="s">
        <v>865</v>
      </c>
      <c r="M1247" s="5">
        <v>46167</v>
      </c>
      <c r="N1247" s="3">
        <f>VLOOKUP(NavDataRegion[[#This Row],[Spool No]],[1]Sheet2!$B:$U,20,0)</f>
        <v>380.289505152</v>
      </c>
      <c r="O1247" s="2">
        <v>42.5</v>
      </c>
      <c r="P1247" s="2">
        <v>4</v>
      </c>
      <c r="Q1247" s="2"/>
    </row>
    <row r="1248" spans="1:17" ht="20.100000000000001" customHeight="1">
      <c r="A1248" s="2" t="s">
        <v>9</v>
      </c>
      <c r="B1248" s="2" t="s">
        <v>1391</v>
      </c>
      <c r="C1248" s="2" t="s">
        <v>1392</v>
      </c>
      <c r="D1248" s="2" t="e">
        <f>VLOOKUP(C:C,Vlookup!A:A,1,0)</f>
        <v>#N/A</v>
      </c>
      <c r="E1248" s="2">
        <v>16</v>
      </c>
      <c r="F1248" s="17" t="s">
        <v>10</v>
      </c>
      <c r="G1248" s="17" t="s">
        <v>25</v>
      </c>
      <c r="H1248" s="2" t="s">
        <v>11</v>
      </c>
      <c r="I1248" s="2">
        <v>1</v>
      </c>
      <c r="J1248" s="5">
        <v>46112</v>
      </c>
      <c r="K1248" s="5">
        <v>46118</v>
      </c>
      <c r="L1248" s="2" t="s">
        <v>865</v>
      </c>
      <c r="M1248" s="5">
        <v>46167</v>
      </c>
      <c r="N1248" s="3">
        <f>VLOOKUP(NavDataRegion[[#This Row],[Spool No]],[1]Sheet2!$B:$U,20,0)</f>
        <v>8.5652000000000008</v>
      </c>
      <c r="O1248" s="2">
        <v>3</v>
      </c>
      <c r="P1248" s="2">
        <v>1</v>
      </c>
      <c r="Q1248" s="2"/>
    </row>
    <row r="1249" spans="1:17" ht="20.100000000000001" customHeight="1">
      <c r="A1249" s="2" t="s">
        <v>9</v>
      </c>
      <c r="B1249" s="2" t="s">
        <v>193</v>
      </c>
      <c r="C1249" s="2" t="s">
        <v>412</v>
      </c>
      <c r="D1249" s="2" t="e">
        <f>VLOOKUP(C:C,Vlookup!A:A,1,0)</f>
        <v>#N/A</v>
      </c>
      <c r="E1249" s="2">
        <v>18</v>
      </c>
      <c r="F1249" s="2" t="s">
        <v>413</v>
      </c>
      <c r="G1249" s="2" t="s">
        <v>16</v>
      </c>
      <c r="H1249" s="2" t="s">
        <v>11</v>
      </c>
      <c r="I1249" s="2">
        <v>1</v>
      </c>
      <c r="J1249" s="5">
        <v>46108</v>
      </c>
      <c r="K1249" s="5">
        <v>46112</v>
      </c>
      <c r="L1249" s="2" t="s">
        <v>865</v>
      </c>
      <c r="M1249" s="5">
        <v>45754</v>
      </c>
      <c r="N1249" s="3">
        <f>VLOOKUP(NavDataRegion[[#This Row],[Spool No]],[1]Sheet2!$B:$U,20,0)</f>
        <v>648.03832533599996</v>
      </c>
      <c r="O1249" s="2">
        <v>80</v>
      </c>
      <c r="P1249" s="2">
        <v>6</v>
      </c>
      <c r="Q1249" s="2"/>
    </row>
    <row r="1250" spans="1:17" ht="20.100000000000001" customHeight="1">
      <c r="A1250" s="2" t="s">
        <v>9</v>
      </c>
      <c r="B1250" s="2" t="s">
        <v>1395</v>
      </c>
      <c r="C1250" s="2" t="s">
        <v>1932</v>
      </c>
      <c r="D1250" s="2" t="e">
        <f>VLOOKUP(C:C,Vlookup!A:A,1,0)</f>
        <v>#N/A</v>
      </c>
      <c r="E1250" s="2">
        <v>16</v>
      </c>
      <c r="F1250" s="17" t="s">
        <v>10</v>
      </c>
      <c r="G1250" s="17" t="s">
        <v>25</v>
      </c>
      <c r="H1250" s="2" t="s">
        <v>11</v>
      </c>
      <c r="I1250" s="2">
        <v>1</v>
      </c>
      <c r="J1250" s="5">
        <v>46112</v>
      </c>
      <c r="K1250" s="5">
        <v>46118</v>
      </c>
      <c r="L1250" s="2" t="s">
        <v>865</v>
      </c>
      <c r="M1250" s="5">
        <v>46167</v>
      </c>
      <c r="N1250" s="3">
        <f>VLOOKUP(NavDataRegion[[#This Row],[Spool No]],[1]Sheet2!$B:$U,20,0)</f>
        <v>14.70036</v>
      </c>
      <c r="O1250" s="2">
        <v>2</v>
      </c>
      <c r="P1250" s="2">
        <v>1</v>
      </c>
      <c r="Q1250" s="2"/>
    </row>
    <row r="1251" spans="1:17" ht="20.100000000000001" customHeight="1">
      <c r="A1251" s="2" t="s">
        <v>9</v>
      </c>
      <c r="B1251" s="2" t="s">
        <v>1087</v>
      </c>
      <c r="C1251" s="2" t="s">
        <v>1528</v>
      </c>
      <c r="D1251" s="2" t="e">
        <f>VLOOKUP(C:C,Vlookup!A:A,1,0)</f>
        <v>#N/A</v>
      </c>
      <c r="E1251" s="2">
        <v>16</v>
      </c>
      <c r="F1251" s="17" t="s">
        <v>10</v>
      </c>
      <c r="G1251" s="17" t="s">
        <v>25</v>
      </c>
      <c r="H1251" s="2" t="s">
        <v>11</v>
      </c>
      <c r="I1251" s="2">
        <v>1</v>
      </c>
      <c r="J1251" s="5">
        <v>46113</v>
      </c>
      <c r="K1251" s="5">
        <v>46118</v>
      </c>
      <c r="L1251" s="2" t="s">
        <v>865</v>
      </c>
      <c r="M1251" s="5">
        <v>46167</v>
      </c>
      <c r="N1251" s="3">
        <f>VLOOKUP(NavDataRegion[[#This Row],[Spool No]],[1]Sheet2!$B:$U,20,0)</f>
        <v>7.2485200000000001</v>
      </c>
      <c r="O1251" s="2">
        <v>6</v>
      </c>
      <c r="P1251" s="2">
        <v>2</v>
      </c>
      <c r="Q1251" s="2"/>
    </row>
    <row r="1252" spans="1:17" ht="20.100000000000001" customHeight="1">
      <c r="A1252" s="2" t="s">
        <v>9</v>
      </c>
      <c r="B1252" s="2" t="s">
        <v>326</v>
      </c>
      <c r="C1252" s="2" t="s">
        <v>749</v>
      </c>
      <c r="D1252" s="2" t="e">
        <f>VLOOKUP(C:C,Vlookup!A:A,1,0)</f>
        <v>#N/A</v>
      </c>
      <c r="E1252" s="2">
        <v>20</v>
      </c>
      <c r="F1252" s="2" t="s">
        <v>10</v>
      </c>
      <c r="G1252" s="2" t="s">
        <v>16</v>
      </c>
      <c r="H1252" s="2" t="s">
        <v>11</v>
      </c>
      <c r="I1252" s="2">
        <v>1</v>
      </c>
      <c r="J1252" s="5">
        <v>46115</v>
      </c>
      <c r="K1252" s="5">
        <v>46118</v>
      </c>
      <c r="L1252" s="2" t="s">
        <v>865</v>
      </c>
      <c r="M1252" s="5">
        <v>46133</v>
      </c>
      <c r="N1252" s="3">
        <f>VLOOKUP(NavDataRegion[[#This Row],[Spool No]],[1]Sheet2!$B:$U,20,0)</f>
        <v>32.559199999999997</v>
      </c>
      <c r="O1252" s="2">
        <v>17.5</v>
      </c>
      <c r="P1252" s="2">
        <v>4</v>
      </c>
      <c r="Q1252" s="2"/>
    </row>
    <row r="1253" spans="1:17" ht="20.100000000000001" customHeight="1">
      <c r="A1253" s="2" t="s">
        <v>9</v>
      </c>
      <c r="B1253" s="2" t="s">
        <v>1431</v>
      </c>
      <c r="C1253" s="2" t="s">
        <v>1941</v>
      </c>
      <c r="D1253" s="2" t="e">
        <f>VLOOKUP(C:C,Vlookup!A:A,1,0)</f>
        <v>#N/A</v>
      </c>
      <c r="E1253" s="2">
        <v>14</v>
      </c>
      <c r="F1253" s="17" t="s">
        <v>10</v>
      </c>
      <c r="G1253" s="17" t="s">
        <v>25</v>
      </c>
      <c r="H1253" s="2" t="s">
        <v>11</v>
      </c>
      <c r="I1253" s="2">
        <v>1</v>
      </c>
      <c r="J1253" s="5">
        <v>46101</v>
      </c>
      <c r="K1253" s="5">
        <v>46104</v>
      </c>
      <c r="L1253" s="2" t="s">
        <v>865</v>
      </c>
      <c r="M1253" s="5">
        <v>45754</v>
      </c>
      <c r="N1253" s="3">
        <f>VLOOKUP(NavDataRegion[[#This Row],[Spool No]],[1]Sheet2!$B:$U,20,0)</f>
        <v>28.97044</v>
      </c>
      <c r="O1253" s="2">
        <v>6</v>
      </c>
      <c r="P1253" s="2">
        <v>2</v>
      </c>
      <c r="Q1253" s="2"/>
    </row>
    <row r="1254" spans="1:17" ht="20.100000000000001" customHeight="1">
      <c r="A1254" s="2" t="s">
        <v>9</v>
      </c>
      <c r="B1254" s="2" t="s">
        <v>167</v>
      </c>
      <c r="C1254" s="2" t="s">
        <v>398</v>
      </c>
      <c r="D1254" s="2" t="e">
        <f>VLOOKUP(C:C,Vlookup!A:A,1,0)</f>
        <v>#N/A</v>
      </c>
      <c r="E1254" s="2">
        <v>20</v>
      </c>
      <c r="F1254" s="2" t="s">
        <v>399</v>
      </c>
      <c r="G1254" s="2" t="s">
        <v>25</v>
      </c>
      <c r="H1254" s="2" t="s">
        <v>11</v>
      </c>
      <c r="I1254" s="2">
        <v>1</v>
      </c>
      <c r="J1254" s="5">
        <v>46115</v>
      </c>
      <c r="K1254" s="5">
        <v>46118</v>
      </c>
      <c r="L1254" s="2" t="s">
        <v>865</v>
      </c>
      <c r="M1254" s="5">
        <v>46133</v>
      </c>
      <c r="N1254" s="3">
        <f>VLOOKUP(NavDataRegion[[#This Row],[Spool No]],[1]Sheet2!$B:$U,20,0)</f>
        <v>1346.9200421600001</v>
      </c>
      <c r="O1254" s="2">
        <v>32.5</v>
      </c>
      <c r="P1254" s="2">
        <v>6</v>
      </c>
      <c r="Q1254" s="2"/>
    </row>
    <row r="1255" spans="1:17" ht="20.100000000000001" customHeight="1">
      <c r="A1255" s="2" t="s">
        <v>9</v>
      </c>
      <c r="B1255" s="2" t="s">
        <v>167</v>
      </c>
      <c r="C1255" s="2" t="s">
        <v>168</v>
      </c>
      <c r="D1255" s="2" t="e">
        <f>VLOOKUP(C:C,Vlookup!A:A,1,0)</f>
        <v>#N/A</v>
      </c>
      <c r="E1255" s="2">
        <v>21</v>
      </c>
      <c r="F1255" s="2" t="s">
        <v>10</v>
      </c>
      <c r="G1255" s="2" t="s">
        <v>16</v>
      </c>
      <c r="H1255" s="2" t="s">
        <v>11</v>
      </c>
      <c r="I1255" s="2">
        <v>1</v>
      </c>
      <c r="J1255" s="5">
        <v>46118</v>
      </c>
      <c r="K1255" s="5">
        <v>46120</v>
      </c>
      <c r="L1255" s="2" t="s">
        <v>865</v>
      </c>
      <c r="M1255" s="5">
        <v>46133</v>
      </c>
      <c r="N1255" s="3">
        <f>VLOOKUP(NavDataRegion[[#This Row],[Spool No]],[1]Sheet2!$B:$U,20,0)</f>
        <v>1098.7209399999999</v>
      </c>
      <c r="O1255" s="2">
        <v>32.5</v>
      </c>
      <c r="P1255" s="2">
        <v>6</v>
      </c>
      <c r="Q1255" s="2"/>
    </row>
    <row r="1256" spans="1:17" ht="20.100000000000001" customHeight="1">
      <c r="A1256" s="2" t="s">
        <v>9</v>
      </c>
      <c r="B1256" s="2" t="s">
        <v>319</v>
      </c>
      <c r="C1256" s="2" t="s">
        <v>320</v>
      </c>
      <c r="D1256" s="2" t="e">
        <f>VLOOKUP(C:C,Vlookup!A:A,1,0)</f>
        <v>#N/A</v>
      </c>
      <c r="E1256" s="2">
        <v>22</v>
      </c>
      <c r="F1256" s="2" t="s">
        <v>10</v>
      </c>
      <c r="G1256" s="2" t="s">
        <v>276</v>
      </c>
      <c r="H1256" s="2" t="s">
        <v>11</v>
      </c>
      <c r="I1256" s="2">
        <v>1</v>
      </c>
      <c r="J1256" s="5">
        <v>46135</v>
      </c>
      <c r="K1256" s="5">
        <v>46135</v>
      </c>
      <c r="L1256" s="2" t="s">
        <v>865</v>
      </c>
      <c r="M1256" s="5">
        <v>46167</v>
      </c>
      <c r="N1256" s="3">
        <f>VLOOKUP(NavDataRegion[[#This Row],[Spool No]],[1]Sheet2!$B:$U,20,0)</f>
        <v>144.45895999999999</v>
      </c>
      <c r="O1256" s="2">
        <v>17</v>
      </c>
      <c r="P1256" s="2">
        <v>6</v>
      </c>
      <c r="Q1256" s="2"/>
    </row>
    <row r="1257" spans="1:17" ht="20.100000000000001" customHeight="1">
      <c r="A1257" s="2" t="s">
        <v>9</v>
      </c>
      <c r="B1257" s="2" t="s">
        <v>1147</v>
      </c>
      <c r="C1257" s="2" t="s">
        <v>1549</v>
      </c>
      <c r="D1257" s="2" t="e">
        <f>VLOOKUP(C:C,Vlookup!A:A,1,0)</f>
        <v>#N/A</v>
      </c>
      <c r="E1257" s="2">
        <v>16</v>
      </c>
      <c r="F1257" s="17" t="s">
        <v>10</v>
      </c>
      <c r="G1257" s="17" t="s">
        <v>25</v>
      </c>
      <c r="H1257" s="2" t="s">
        <v>11</v>
      </c>
      <c r="I1257" s="2">
        <v>1</v>
      </c>
      <c r="J1257" s="5">
        <v>46113</v>
      </c>
      <c r="K1257" s="5">
        <v>46118</v>
      </c>
      <c r="L1257" s="2" t="s">
        <v>865</v>
      </c>
      <c r="M1257" s="5">
        <v>46167</v>
      </c>
      <c r="N1257" s="3">
        <f>VLOOKUP(NavDataRegion[[#This Row],[Spool No]],[1]Sheet2!$B:$U,20,0)</f>
        <v>54.144080000000002</v>
      </c>
      <c r="O1257" s="2">
        <v>6</v>
      </c>
      <c r="P1257" s="2">
        <v>2</v>
      </c>
      <c r="Q1257" s="2"/>
    </row>
    <row r="1258" spans="1:17" ht="20.100000000000001" customHeight="1">
      <c r="A1258" s="2" t="s">
        <v>9</v>
      </c>
      <c r="B1258" s="2" t="s">
        <v>336</v>
      </c>
      <c r="C1258" s="2" t="s">
        <v>337</v>
      </c>
      <c r="D1258" s="2" t="e">
        <f>VLOOKUP(C:C,Vlookup!A:A,1,0)</f>
        <v>#N/A</v>
      </c>
      <c r="E1258" s="2">
        <v>20</v>
      </c>
      <c r="F1258" s="2" t="s">
        <v>338</v>
      </c>
      <c r="G1258" s="2" t="s">
        <v>16</v>
      </c>
      <c r="H1258" s="2" t="s">
        <v>11</v>
      </c>
      <c r="I1258" s="2">
        <v>1</v>
      </c>
      <c r="J1258" s="5">
        <v>46118</v>
      </c>
      <c r="K1258" s="5">
        <v>46120</v>
      </c>
      <c r="L1258" s="2" t="s">
        <v>865</v>
      </c>
      <c r="M1258" s="5">
        <v>46133</v>
      </c>
      <c r="N1258" s="3">
        <f>VLOOKUP(NavDataRegion[[#This Row],[Spool No]],[1]Sheet2!$B:$U,20,0)</f>
        <v>147.93172000000001</v>
      </c>
      <c r="O1258" s="2">
        <v>47</v>
      </c>
      <c r="P1258" s="2">
        <v>6</v>
      </c>
      <c r="Q1258" s="2"/>
    </row>
    <row r="1259" spans="1:17" ht="20.100000000000001" customHeight="1">
      <c r="A1259" s="2" t="s">
        <v>9</v>
      </c>
      <c r="B1259" s="2" t="s">
        <v>1349</v>
      </c>
      <c r="C1259" s="2" t="s">
        <v>1626</v>
      </c>
      <c r="D1259" s="2" t="e">
        <f>VLOOKUP(C:C,Vlookup!A:A,1,0)</f>
        <v>#N/A</v>
      </c>
      <c r="E1259" s="2">
        <v>16</v>
      </c>
      <c r="F1259" s="17" t="s">
        <v>10</v>
      </c>
      <c r="G1259" s="17" t="s">
        <v>281</v>
      </c>
      <c r="H1259" s="2" t="s">
        <v>11</v>
      </c>
      <c r="I1259" s="2">
        <v>1</v>
      </c>
      <c r="J1259" s="5">
        <v>46115</v>
      </c>
      <c r="K1259" s="5">
        <v>46118</v>
      </c>
      <c r="L1259" s="2" t="s">
        <v>865</v>
      </c>
      <c r="M1259" s="5">
        <v>46167</v>
      </c>
      <c r="N1259" s="3">
        <f>VLOOKUP(NavDataRegion[[#This Row],[Spool No]],[1]Sheet2!$B:$U,20,0)</f>
        <v>7.2543199999999999</v>
      </c>
      <c r="O1259" s="2">
        <v>1</v>
      </c>
      <c r="P1259" s="2">
        <v>0.5</v>
      </c>
      <c r="Q1259" s="2"/>
    </row>
    <row r="1260" spans="1:17" ht="20.100000000000001" customHeight="1">
      <c r="A1260" s="2" t="s">
        <v>9</v>
      </c>
      <c r="B1260" s="2" t="s">
        <v>210</v>
      </c>
      <c r="C1260" s="2" t="s">
        <v>422</v>
      </c>
      <c r="D1260" s="2" t="e">
        <f>VLOOKUP(C:C,Vlookup!A:A,1,0)</f>
        <v>#N/A</v>
      </c>
      <c r="E1260" s="2">
        <v>19</v>
      </c>
      <c r="F1260" s="2" t="s">
        <v>10</v>
      </c>
      <c r="G1260" s="2" t="s">
        <v>16</v>
      </c>
      <c r="H1260" s="2" t="s">
        <v>11</v>
      </c>
      <c r="I1260" s="2">
        <v>1</v>
      </c>
      <c r="J1260" s="5">
        <v>46113</v>
      </c>
      <c r="K1260" s="5">
        <v>46116</v>
      </c>
      <c r="L1260" s="2" t="s">
        <v>865</v>
      </c>
      <c r="M1260" s="5">
        <v>46133</v>
      </c>
      <c r="N1260" s="3">
        <f>VLOOKUP(NavDataRegion[[#This Row],[Spool No]],[1]Sheet2!$B:$U,20,0)</f>
        <v>75.145795152000005</v>
      </c>
      <c r="O1260" s="2">
        <v>12.5</v>
      </c>
      <c r="P1260" s="2">
        <v>3</v>
      </c>
      <c r="Q1260" s="2"/>
    </row>
    <row r="1261" spans="1:17" ht="20.100000000000001" customHeight="1">
      <c r="A1261" s="2" t="s">
        <v>9</v>
      </c>
      <c r="B1261" s="2" t="s">
        <v>207</v>
      </c>
      <c r="C1261" s="2" t="s">
        <v>552</v>
      </c>
      <c r="D1261" s="2" t="e">
        <f>VLOOKUP(C:C,Vlookup!A:A,1,0)</f>
        <v>#N/A</v>
      </c>
      <c r="E1261" s="2">
        <v>19</v>
      </c>
      <c r="F1261" s="2" t="s">
        <v>553</v>
      </c>
      <c r="G1261" s="2" t="s">
        <v>16</v>
      </c>
      <c r="H1261" s="2" t="s">
        <v>11</v>
      </c>
      <c r="I1261" s="2">
        <v>1</v>
      </c>
      <c r="J1261" s="5">
        <v>46113</v>
      </c>
      <c r="K1261" s="5">
        <v>46116</v>
      </c>
      <c r="L1261" s="2" t="s">
        <v>865</v>
      </c>
      <c r="M1261" s="5">
        <v>46133</v>
      </c>
      <c r="N1261" s="3">
        <f>VLOOKUP(NavDataRegion[[#This Row],[Spool No]],[1]Sheet2!$B:$U,20,0)</f>
        <v>306.06826515199998</v>
      </c>
      <c r="O1261" s="2">
        <v>13.5</v>
      </c>
      <c r="P1261" s="2">
        <v>3</v>
      </c>
      <c r="Q1261" s="2"/>
    </row>
    <row r="1262" spans="1:17" ht="20.100000000000001" customHeight="1">
      <c r="A1262" s="2" t="s">
        <v>9</v>
      </c>
      <c r="B1262" s="2" t="s">
        <v>270</v>
      </c>
      <c r="C1262" s="2" t="s">
        <v>684</v>
      </c>
      <c r="D1262" s="2" t="e">
        <f>VLOOKUP(C:C,Vlookup!A:A,1,0)</f>
        <v>#N/A</v>
      </c>
      <c r="E1262" s="2">
        <v>19</v>
      </c>
      <c r="F1262" s="2" t="s">
        <v>10</v>
      </c>
      <c r="G1262" s="2" t="s">
        <v>25</v>
      </c>
      <c r="H1262" s="2" t="s">
        <v>11</v>
      </c>
      <c r="I1262" s="2">
        <v>1</v>
      </c>
      <c r="J1262" s="19">
        <v>46112</v>
      </c>
      <c r="K1262" s="5">
        <v>46116</v>
      </c>
      <c r="L1262" s="2" t="s">
        <v>865</v>
      </c>
      <c r="M1262" s="5">
        <v>46133</v>
      </c>
      <c r="N1262" s="3">
        <f>VLOOKUP(NavDataRegion[[#This Row],[Spool No]],[1]Sheet2!$B:$U,20,0)</f>
        <v>18.61</v>
      </c>
      <c r="O1262" s="2">
        <v>0</v>
      </c>
      <c r="P1262" s="2">
        <v>4</v>
      </c>
      <c r="Q1262" s="2"/>
    </row>
    <row r="1263" spans="1:17" ht="20.100000000000001" customHeight="1">
      <c r="A1263" s="2" t="s">
        <v>9</v>
      </c>
      <c r="B1263" s="2" t="s">
        <v>164</v>
      </c>
      <c r="C1263" s="2" t="s">
        <v>648</v>
      </c>
      <c r="D1263" s="2" t="e">
        <f>VLOOKUP(C:C,Vlookup!A:A,1,0)</f>
        <v>#N/A</v>
      </c>
      <c r="E1263" s="2">
        <v>19</v>
      </c>
      <c r="F1263" s="2" t="s">
        <v>649</v>
      </c>
      <c r="G1263" s="2" t="s">
        <v>25</v>
      </c>
      <c r="H1263" s="2" t="s">
        <v>11</v>
      </c>
      <c r="I1263" s="2">
        <v>1</v>
      </c>
      <c r="J1263" s="5">
        <v>46113</v>
      </c>
      <c r="K1263" s="5">
        <v>46116</v>
      </c>
      <c r="L1263" s="2" t="s">
        <v>865</v>
      </c>
      <c r="M1263" s="5">
        <v>46133</v>
      </c>
      <c r="N1263" s="3">
        <f>VLOOKUP(NavDataRegion[[#This Row],[Spool No]],[1]Sheet2!$B:$U,20,0)</f>
        <v>62.685119999999998</v>
      </c>
      <c r="O1263" s="2">
        <v>8</v>
      </c>
      <c r="P1263" s="2">
        <v>4</v>
      </c>
      <c r="Q1263" s="2"/>
    </row>
    <row r="1264" spans="1:17" ht="20.100000000000001" customHeight="1">
      <c r="A1264" s="2" t="s">
        <v>9</v>
      </c>
      <c r="B1264" s="2" t="s">
        <v>317</v>
      </c>
      <c r="C1264" s="2" t="s">
        <v>745</v>
      </c>
      <c r="D1264" s="2" t="e">
        <f>VLOOKUP(C:C,Vlookup!A:A,1,0)</f>
        <v>#N/A</v>
      </c>
      <c r="E1264" s="2">
        <v>19</v>
      </c>
      <c r="F1264" s="2" t="s">
        <v>10</v>
      </c>
      <c r="G1264" s="2" t="s">
        <v>10</v>
      </c>
      <c r="H1264" s="2" t="s">
        <v>11</v>
      </c>
      <c r="I1264" s="2">
        <v>1</v>
      </c>
      <c r="J1264" s="5">
        <v>46113</v>
      </c>
      <c r="K1264" s="5">
        <v>46116</v>
      </c>
      <c r="L1264" s="2" t="s">
        <v>865</v>
      </c>
      <c r="M1264" s="5">
        <v>46133</v>
      </c>
      <c r="N1264" s="3">
        <f>VLOOKUP(NavDataRegion[[#This Row],[Spool No]],[1]Sheet2!$B:$U,20,0)</f>
        <v>136.28487999999999</v>
      </c>
      <c r="O1264" s="2">
        <v>12</v>
      </c>
      <c r="P1264" s="2">
        <v>4</v>
      </c>
      <c r="Q1264" s="2"/>
    </row>
    <row r="1265" spans="1:17" ht="20.100000000000001" customHeight="1">
      <c r="A1265" s="2" t="s">
        <v>9</v>
      </c>
      <c r="B1265" s="2" t="s">
        <v>1419</v>
      </c>
      <c r="C1265" s="2" t="s">
        <v>1420</v>
      </c>
      <c r="D1265" s="2" t="e">
        <f>VLOOKUP(C:C,Vlookup!A:A,1,0)</f>
        <v>#N/A</v>
      </c>
      <c r="E1265" s="2">
        <v>14</v>
      </c>
      <c r="F1265" s="17" t="s">
        <v>10</v>
      </c>
      <c r="G1265" s="17" t="s">
        <v>25</v>
      </c>
      <c r="H1265" s="2" t="s">
        <v>11</v>
      </c>
      <c r="I1265" s="2">
        <v>1</v>
      </c>
      <c r="J1265" s="5">
        <v>46093</v>
      </c>
      <c r="K1265" s="5">
        <v>46094</v>
      </c>
      <c r="L1265" s="2" t="s">
        <v>865</v>
      </c>
      <c r="M1265" s="5">
        <v>45754</v>
      </c>
      <c r="N1265" s="3">
        <f>VLOOKUP(NavDataRegion[[#This Row],[Spool No]],[1]Sheet2!$B:$U,20,0)</f>
        <v>22.392160000000001</v>
      </c>
      <c r="O1265" s="2">
        <v>6</v>
      </c>
      <c r="P1265" s="2">
        <v>2</v>
      </c>
      <c r="Q1265" s="2"/>
    </row>
    <row r="1266" spans="1:17" ht="20.100000000000001" customHeight="1">
      <c r="A1266" s="2" t="s">
        <v>9</v>
      </c>
      <c r="B1266" s="2" t="s">
        <v>1429</v>
      </c>
      <c r="C1266" s="2" t="s">
        <v>1933</v>
      </c>
      <c r="D1266" s="2" t="e">
        <f>VLOOKUP(C:C,Vlookup!A:A,1,0)</f>
        <v>#N/A</v>
      </c>
      <c r="E1266" s="2">
        <v>16</v>
      </c>
      <c r="F1266" s="17" t="s">
        <v>10</v>
      </c>
      <c r="G1266" s="17" t="s">
        <v>25</v>
      </c>
      <c r="H1266" s="2" t="s">
        <v>11</v>
      </c>
      <c r="I1266" s="2">
        <v>1</v>
      </c>
      <c r="J1266" s="5">
        <v>46105</v>
      </c>
      <c r="K1266" s="5">
        <v>46108</v>
      </c>
      <c r="L1266" s="2" t="s">
        <v>865</v>
      </c>
      <c r="M1266" s="5">
        <v>46167</v>
      </c>
      <c r="N1266" s="3">
        <f>VLOOKUP(NavDataRegion[[#This Row],[Spool No]],[1]Sheet2!$B:$U,20,0)</f>
        <v>30.488880000000002</v>
      </c>
      <c r="O1266" s="2">
        <v>6</v>
      </c>
      <c r="P1266" s="2">
        <v>2</v>
      </c>
      <c r="Q1266" s="2"/>
    </row>
    <row r="1267" spans="1:17" ht="20.100000000000001" customHeight="1">
      <c r="A1267" s="2" t="s">
        <v>9</v>
      </c>
      <c r="B1267" s="2" t="s">
        <v>227</v>
      </c>
      <c r="C1267" s="2" t="s">
        <v>430</v>
      </c>
      <c r="D1267" s="2" t="e">
        <f>VLOOKUP(C:C,Vlookup!A:A,1,0)</f>
        <v>#N/A</v>
      </c>
      <c r="E1267" s="2">
        <v>20</v>
      </c>
      <c r="F1267" s="2" t="s">
        <v>431</v>
      </c>
      <c r="G1267" s="2" t="s">
        <v>16</v>
      </c>
      <c r="H1267" s="2" t="s">
        <v>11</v>
      </c>
      <c r="I1267" s="2">
        <v>1</v>
      </c>
      <c r="J1267" s="5">
        <v>46115</v>
      </c>
      <c r="K1267" s="5">
        <v>46118</v>
      </c>
      <c r="L1267" s="2" t="s">
        <v>865</v>
      </c>
      <c r="M1267" s="5">
        <v>46133</v>
      </c>
      <c r="N1267" s="3">
        <f>VLOOKUP(NavDataRegion[[#This Row],[Spool No]],[1]Sheet2!$B:$U,20,0)</f>
        <v>1335.94877</v>
      </c>
      <c r="O1267" s="2">
        <v>71</v>
      </c>
      <c r="P1267" s="2">
        <v>8</v>
      </c>
      <c r="Q1267" s="2"/>
    </row>
    <row r="1268" spans="1:17" ht="20.100000000000001" customHeight="1">
      <c r="A1268" s="2" t="s">
        <v>9</v>
      </c>
      <c r="B1268" s="2" t="s">
        <v>19</v>
      </c>
      <c r="C1268" s="2" t="s">
        <v>1653</v>
      </c>
      <c r="D1268" s="2" t="e">
        <f>VLOOKUP(C:C,Vlookup!A:A,1,0)</f>
        <v>#N/A</v>
      </c>
      <c r="E1268" s="2">
        <v>19</v>
      </c>
      <c r="F1268" s="17" t="s">
        <v>10</v>
      </c>
      <c r="G1268" s="17" t="s">
        <v>25</v>
      </c>
      <c r="H1268" s="2" t="s">
        <v>11</v>
      </c>
      <c r="I1268" s="2">
        <v>1</v>
      </c>
      <c r="J1268" s="5">
        <v>46113</v>
      </c>
      <c r="K1268" s="5">
        <v>46116</v>
      </c>
      <c r="L1268" s="2" t="s">
        <v>865</v>
      </c>
      <c r="M1268" s="5">
        <v>46133</v>
      </c>
      <c r="N1268" s="3">
        <f>VLOOKUP(NavDataRegion[[#This Row],[Spool No]],[1]Sheet2!$B:$U,20,0)</f>
        <v>233.6</v>
      </c>
      <c r="O1268" s="2">
        <v>90</v>
      </c>
      <c r="P1268" s="2">
        <v>6</v>
      </c>
      <c r="Q1268" s="2"/>
    </row>
    <row r="1269" spans="1:17" ht="20.100000000000001" customHeight="1">
      <c r="A1269" s="2" t="s">
        <v>9</v>
      </c>
      <c r="B1269" s="2" t="s">
        <v>1425</v>
      </c>
      <c r="C1269" s="2" t="s">
        <v>1426</v>
      </c>
      <c r="D1269" s="2" t="e">
        <f>VLOOKUP(C:C,Vlookup!A:A,1,0)</f>
        <v>#N/A</v>
      </c>
      <c r="E1269" s="2">
        <v>14</v>
      </c>
      <c r="F1269" s="17" t="s">
        <v>10</v>
      </c>
      <c r="G1269" s="17" t="s">
        <v>25</v>
      </c>
      <c r="H1269" s="2" t="s">
        <v>11</v>
      </c>
      <c r="I1269" s="2">
        <v>1</v>
      </c>
      <c r="J1269" s="5">
        <v>46093</v>
      </c>
      <c r="K1269" s="5">
        <v>46094</v>
      </c>
      <c r="L1269" s="2" t="s">
        <v>865</v>
      </c>
      <c r="M1269" s="5">
        <v>45754</v>
      </c>
      <c r="N1269" s="3">
        <f>VLOOKUP(NavDataRegion[[#This Row],[Spool No]],[1]Sheet2!$B:$U,20,0)</f>
        <v>4.8700799999999997</v>
      </c>
      <c r="O1269" s="2">
        <v>1</v>
      </c>
      <c r="P1269" s="2">
        <v>1</v>
      </c>
      <c r="Q1269" s="2"/>
    </row>
    <row r="1270" spans="1:17" ht="20.100000000000001" customHeight="1">
      <c r="A1270" s="2" t="s">
        <v>9</v>
      </c>
      <c r="B1270" s="2" t="s">
        <v>21</v>
      </c>
      <c r="C1270" s="2" t="s">
        <v>1654</v>
      </c>
      <c r="D1270" s="2" t="e">
        <f>VLOOKUP(C:C,Vlookup!A:A,1,0)</f>
        <v>#N/A</v>
      </c>
      <c r="E1270" s="2">
        <v>19</v>
      </c>
      <c r="F1270" s="17" t="s">
        <v>10</v>
      </c>
      <c r="G1270" s="17" t="s">
        <v>25</v>
      </c>
      <c r="H1270" s="2" t="s">
        <v>11</v>
      </c>
      <c r="I1270" s="2">
        <v>1</v>
      </c>
      <c r="J1270" s="5">
        <v>46113</v>
      </c>
      <c r="K1270" s="5">
        <v>46116</v>
      </c>
      <c r="L1270" s="2" t="s">
        <v>865</v>
      </c>
      <c r="M1270" s="5">
        <v>46133</v>
      </c>
      <c r="N1270" s="3">
        <f>VLOOKUP(NavDataRegion[[#This Row],[Spool No]],[1]Sheet2!$B:$U,20,0)</f>
        <v>233.6</v>
      </c>
      <c r="O1270" s="2">
        <v>90</v>
      </c>
      <c r="P1270" s="2">
        <v>6</v>
      </c>
      <c r="Q1270" s="2"/>
    </row>
    <row r="1271" spans="1:17" ht="20.100000000000001" customHeight="1">
      <c r="A1271" s="2" t="s">
        <v>9</v>
      </c>
      <c r="B1271" s="2" t="s">
        <v>1431</v>
      </c>
      <c r="C1271" s="2" t="s">
        <v>1934</v>
      </c>
      <c r="D1271" s="2" t="e">
        <f>VLOOKUP(C:C,Vlookup!A:A,1,0)</f>
        <v>#N/A</v>
      </c>
      <c r="E1271" s="2">
        <v>14</v>
      </c>
      <c r="F1271" s="17" t="s">
        <v>10</v>
      </c>
      <c r="G1271" s="17" t="s">
        <v>25</v>
      </c>
      <c r="H1271" s="2" t="s">
        <v>11</v>
      </c>
      <c r="I1271" s="2">
        <v>1</v>
      </c>
      <c r="J1271" s="5">
        <v>46093</v>
      </c>
      <c r="K1271" s="5">
        <v>46094</v>
      </c>
      <c r="L1271" s="2" t="s">
        <v>865</v>
      </c>
      <c r="M1271" s="5">
        <v>45754</v>
      </c>
      <c r="N1271" s="3">
        <f>VLOOKUP(NavDataRegion[[#This Row],[Spool No]],[1]Sheet2!$B:$U,20,0)</f>
        <v>12.3422</v>
      </c>
      <c r="O1271" s="2">
        <v>2</v>
      </c>
      <c r="P1271" s="2">
        <v>2</v>
      </c>
      <c r="Q1271" s="2"/>
    </row>
    <row r="1272" spans="1:17" ht="20.100000000000001" customHeight="1">
      <c r="A1272" s="2" t="s">
        <v>9</v>
      </c>
      <c r="B1272" s="2" t="s">
        <v>218</v>
      </c>
      <c r="C1272" s="2" t="s">
        <v>219</v>
      </c>
      <c r="D1272" s="2" t="e">
        <f>VLOOKUP(C:C,Vlookup!A:A,1,0)</f>
        <v>#N/A</v>
      </c>
      <c r="E1272" s="2">
        <v>20</v>
      </c>
      <c r="F1272" s="2" t="s">
        <v>220</v>
      </c>
      <c r="G1272" s="2" t="s">
        <v>16</v>
      </c>
      <c r="H1272" s="2" t="s">
        <v>11</v>
      </c>
      <c r="I1272" s="2">
        <v>1</v>
      </c>
      <c r="J1272" s="5">
        <v>46115</v>
      </c>
      <c r="K1272" s="5">
        <v>46118</v>
      </c>
      <c r="L1272" s="2" t="s">
        <v>865</v>
      </c>
      <c r="M1272" s="5">
        <v>46133</v>
      </c>
      <c r="N1272" s="3">
        <f>VLOOKUP(NavDataRegion[[#This Row],[Spool No]],[1]Sheet2!$B:$U,20,0)</f>
        <v>1154.8034399999999</v>
      </c>
      <c r="O1272" s="2">
        <v>131.75</v>
      </c>
      <c r="P1272" s="2">
        <v>10</v>
      </c>
      <c r="Q1272" s="2"/>
    </row>
    <row r="1273" spans="1:17" ht="20.100000000000001" customHeight="1">
      <c r="A1273" s="2" t="s">
        <v>9</v>
      </c>
      <c r="B1273" s="2" t="s">
        <v>1433</v>
      </c>
      <c r="C1273" s="2" t="s">
        <v>1642</v>
      </c>
      <c r="D1273" s="2" t="e">
        <f>VLOOKUP(C:C,Vlookup!A:A,1,0)</f>
        <v>#N/A</v>
      </c>
      <c r="E1273" s="2">
        <v>14</v>
      </c>
      <c r="F1273" s="17" t="s">
        <v>10</v>
      </c>
      <c r="G1273" s="17" t="s">
        <v>25</v>
      </c>
      <c r="H1273" s="2" t="s">
        <v>11</v>
      </c>
      <c r="I1273" s="2">
        <v>1</v>
      </c>
      <c r="J1273" s="5">
        <v>46093</v>
      </c>
      <c r="K1273" s="5">
        <v>46094</v>
      </c>
      <c r="L1273" s="2" t="s">
        <v>865</v>
      </c>
      <c r="M1273" s="5">
        <v>45754</v>
      </c>
      <c r="N1273" s="3">
        <f>VLOOKUP(NavDataRegion[[#This Row],[Spool No]],[1]Sheet2!$B:$U,20,0)</f>
        <v>16.721599999999999</v>
      </c>
      <c r="O1273" s="2">
        <v>2.25</v>
      </c>
      <c r="P1273" s="2">
        <v>0.75</v>
      </c>
      <c r="Q1273" s="2"/>
    </row>
    <row r="1274" spans="1:17" ht="20.100000000000001" customHeight="1">
      <c r="A1274" s="2" t="s">
        <v>9</v>
      </c>
      <c r="B1274" s="2" t="s">
        <v>344</v>
      </c>
      <c r="C1274" s="2" t="s">
        <v>488</v>
      </c>
      <c r="D1274" s="2" t="e">
        <f>VLOOKUP(C:C,Vlookup!A:A,1,0)</f>
        <v>#N/A</v>
      </c>
      <c r="E1274" s="2">
        <v>21</v>
      </c>
      <c r="F1274" s="2" t="s">
        <v>489</v>
      </c>
      <c r="G1274" s="2" t="s">
        <v>16</v>
      </c>
      <c r="H1274" s="2" t="s">
        <v>11</v>
      </c>
      <c r="I1274" s="2">
        <v>1</v>
      </c>
      <c r="J1274" s="5">
        <v>46118</v>
      </c>
      <c r="K1274" s="5">
        <v>46120</v>
      </c>
      <c r="L1274" s="2" t="s">
        <v>865</v>
      </c>
      <c r="M1274" s="5">
        <v>46133</v>
      </c>
      <c r="N1274" s="3">
        <f>VLOOKUP(NavDataRegion[[#This Row],[Spool No]],[1]Sheet2!$B:$U,20,0)</f>
        <v>1540.4143450080001</v>
      </c>
      <c r="O1274" s="2">
        <v>43.362204724000001</v>
      </c>
      <c r="P1274" s="2">
        <v>10</v>
      </c>
      <c r="Q1274" s="2"/>
    </row>
    <row r="1275" spans="1:17" ht="20.100000000000001" customHeight="1">
      <c r="A1275" s="2" t="s">
        <v>9</v>
      </c>
      <c r="B1275" s="2" t="s">
        <v>285</v>
      </c>
      <c r="C1275" s="2" t="s">
        <v>593</v>
      </c>
      <c r="D1275" s="2" t="e">
        <f>VLOOKUP(C:C,Vlookup!A:A,1,0)</f>
        <v>#N/A</v>
      </c>
      <c r="E1275" s="2">
        <v>20</v>
      </c>
      <c r="F1275" s="2" t="s">
        <v>10</v>
      </c>
      <c r="G1275" s="2" t="s">
        <v>16</v>
      </c>
      <c r="H1275" s="2" t="s">
        <v>11</v>
      </c>
      <c r="I1275" s="2">
        <v>1</v>
      </c>
      <c r="J1275" s="5">
        <v>46115</v>
      </c>
      <c r="K1275" s="5">
        <v>46118</v>
      </c>
      <c r="L1275" s="2" t="s">
        <v>865</v>
      </c>
      <c r="M1275" s="5">
        <v>46133</v>
      </c>
      <c r="N1275" s="3">
        <f>VLOOKUP(NavDataRegion[[#This Row],[Spool No]],[1]Sheet2!$B:$U,20,0)</f>
        <v>311.31071060800002</v>
      </c>
      <c r="O1275" s="2">
        <v>57</v>
      </c>
      <c r="P1275" s="2">
        <v>10</v>
      </c>
      <c r="Q1275" s="2"/>
    </row>
    <row r="1276" spans="1:17" ht="20.100000000000001" customHeight="1">
      <c r="A1276" s="2" t="s">
        <v>9</v>
      </c>
      <c r="B1276" s="2" t="s">
        <v>1431</v>
      </c>
      <c r="C1276" s="2" t="s">
        <v>1641</v>
      </c>
      <c r="D1276" s="2" t="e">
        <f>VLOOKUP(C:C,Vlookup!A:A,1,0)</f>
        <v>#N/A</v>
      </c>
      <c r="E1276" s="2">
        <v>16</v>
      </c>
      <c r="F1276" s="17" t="s">
        <v>10</v>
      </c>
      <c r="G1276" s="17" t="s">
        <v>25</v>
      </c>
      <c r="H1276" s="2" t="s">
        <v>11</v>
      </c>
      <c r="I1276" s="2">
        <v>1</v>
      </c>
      <c r="J1276" s="5">
        <v>46105</v>
      </c>
      <c r="K1276" s="5">
        <v>46108</v>
      </c>
      <c r="L1276" s="2" t="s">
        <v>865</v>
      </c>
      <c r="M1276" s="5">
        <v>46167</v>
      </c>
      <c r="N1276" s="3">
        <f>VLOOKUP(NavDataRegion[[#This Row],[Spool No]],[1]Sheet2!$B:$U,20,0)</f>
        <v>67.403480000000002</v>
      </c>
      <c r="O1276" s="2">
        <v>22</v>
      </c>
      <c r="P1276" s="2">
        <v>2</v>
      </c>
      <c r="Q1276" s="2"/>
    </row>
    <row r="1277" spans="1:17" ht="20.100000000000001" customHeight="1">
      <c r="A1277" s="2" t="s">
        <v>9</v>
      </c>
      <c r="B1277" s="2" t="s">
        <v>158</v>
      </c>
      <c r="C1277" s="2" t="s">
        <v>159</v>
      </c>
      <c r="D1277" s="2" t="e">
        <f>VLOOKUP(C:C,Vlookup!A:A,1,0)</f>
        <v>#N/A</v>
      </c>
      <c r="E1277" s="2">
        <v>21</v>
      </c>
      <c r="F1277" s="2" t="s">
        <v>160</v>
      </c>
      <c r="G1277" s="2" t="s">
        <v>16</v>
      </c>
      <c r="H1277" s="2" t="s">
        <v>11</v>
      </c>
      <c r="I1277" s="2">
        <v>1</v>
      </c>
      <c r="J1277" s="5">
        <v>46115</v>
      </c>
      <c r="K1277" s="5">
        <v>46120</v>
      </c>
      <c r="L1277" s="2" t="s">
        <v>865</v>
      </c>
      <c r="M1277" s="5">
        <v>46133</v>
      </c>
      <c r="N1277" s="3">
        <f>VLOOKUP(NavDataRegion[[#This Row],[Spool No]],[1]Sheet2!$B:$U,20,0)</f>
        <v>5257.5844220079998</v>
      </c>
      <c r="O1277" s="2">
        <v>54.25</v>
      </c>
      <c r="P1277" s="2">
        <v>12</v>
      </c>
      <c r="Q1277" s="2"/>
    </row>
    <row r="1278" spans="1:17" ht="20.100000000000001" customHeight="1">
      <c r="A1278" s="2" t="s">
        <v>9</v>
      </c>
      <c r="B1278" s="2" t="s">
        <v>332</v>
      </c>
      <c r="C1278" s="2" t="s">
        <v>333</v>
      </c>
      <c r="D1278" s="2" t="e">
        <f>VLOOKUP(C:C,Vlookup!A:A,1,0)</f>
        <v>#N/A</v>
      </c>
      <c r="E1278" s="2">
        <v>19</v>
      </c>
      <c r="F1278" s="2" t="s">
        <v>10</v>
      </c>
      <c r="G1278" s="2" t="s">
        <v>16</v>
      </c>
      <c r="H1278" s="2" t="s">
        <v>11</v>
      </c>
      <c r="I1278" s="2">
        <v>1</v>
      </c>
      <c r="J1278" s="5">
        <v>46113</v>
      </c>
      <c r="K1278" s="5">
        <v>46116</v>
      </c>
      <c r="L1278" s="2" t="s">
        <v>865</v>
      </c>
      <c r="M1278" s="5">
        <v>46133</v>
      </c>
      <c r="N1278" s="3">
        <f>VLOOKUP(NavDataRegion[[#This Row],[Spool No]],[1]Sheet2!$B:$U,20,0)</f>
        <v>382.40540659200002</v>
      </c>
      <c r="O1278" s="2">
        <v>59</v>
      </c>
      <c r="P1278" s="2">
        <v>6</v>
      </c>
      <c r="Q1278" s="2"/>
    </row>
    <row r="1279" spans="1:17" ht="20.100000000000001" customHeight="1">
      <c r="A1279" s="2" t="s">
        <v>9</v>
      </c>
      <c r="B1279" s="2" t="s">
        <v>227</v>
      </c>
      <c r="C1279" s="2" t="s">
        <v>228</v>
      </c>
      <c r="D1279" s="2" t="e">
        <f>VLOOKUP(C:C,Vlookup!A:A,1,0)</f>
        <v>#N/A</v>
      </c>
      <c r="E1279" s="2">
        <v>19</v>
      </c>
      <c r="F1279" s="2" t="s">
        <v>229</v>
      </c>
      <c r="G1279" s="2" t="s">
        <v>25</v>
      </c>
      <c r="H1279" s="2" t="s">
        <v>11</v>
      </c>
      <c r="I1279" s="2">
        <v>1</v>
      </c>
      <c r="J1279" s="5">
        <v>46113</v>
      </c>
      <c r="K1279" s="5">
        <v>46116</v>
      </c>
      <c r="L1279" s="2" t="s">
        <v>865</v>
      </c>
      <c r="M1279" s="5">
        <v>46133</v>
      </c>
      <c r="N1279" s="3">
        <f>VLOOKUP(NavDataRegion[[#This Row],[Spool No]],[1]Sheet2!$B:$U,20,0)</f>
        <v>160.34672</v>
      </c>
      <c r="O1279" s="2">
        <v>24</v>
      </c>
      <c r="P1279" s="2">
        <v>8</v>
      </c>
      <c r="Q1279" s="2"/>
    </row>
    <row r="1280" spans="1:17" ht="20.100000000000001" customHeight="1">
      <c r="A1280" s="2" t="s">
        <v>9</v>
      </c>
      <c r="B1280" s="2" t="s">
        <v>235</v>
      </c>
      <c r="C1280" s="2" t="s">
        <v>236</v>
      </c>
      <c r="D1280" s="2" t="e">
        <f>VLOOKUP(C:C,Vlookup!A:A,1,0)</f>
        <v>#N/A</v>
      </c>
      <c r="E1280" s="2">
        <v>19</v>
      </c>
      <c r="F1280" s="2" t="s">
        <v>10</v>
      </c>
      <c r="G1280" s="2" t="s">
        <v>16</v>
      </c>
      <c r="H1280" s="2" t="s">
        <v>11</v>
      </c>
      <c r="I1280" s="2">
        <v>1</v>
      </c>
      <c r="J1280" s="5">
        <v>46113</v>
      </c>
      <c r="K1280" s="5">
        <v>46115</v>
      </c>
      <c r="L1280" s="2" t="s">
        <v>865</v>
      </c>
      <c r="M1280" s="5">
        <v>46133</v>
      </c>
      <c r="N1280" s="3">
        <f>VLOOKUP(NavDataRegion[[#This Row],[Spool No]],[1]Sheet2!$B:$U,20,0)</f>
        <v>521.77950589600005</v>
      </c>
      <c r="O1280" s="2">
        <v>32.5</v>
      </c>
      <c r="P1280" s="2">
        <v>8</v>
      </c>
      <c r="Q1280" s="2"/>
    </row>
    <row r="1281" spans="1:17" ht="20.100000000000001" customHeight="1">
      <c r="A1281" s="2" t="s">
        <v>9</v>
      </c>
      <c r="B1281" s="2" t="s">
        <v>154</v>
      </c>
      <c r="C1281" s="2" t="s">
        <v>390</v>
      </c>
      <c r="D1281" s="2" t="e">
        <f>VLOOKUP(C:C,Vlookup!A:A,1,0)</f>
        <v>#N/A</v>
      </c>
      <c r="E1281" s="2">
        <v>24</v>
      </c>
      <c r="F1281" s="2" t="s">
        <v>10</v>
      </c>
      <c r="G1281" s="2" t="s">
        <v>16</v>
      </c>
      <c r="H1281" s="2" t="s">
        <v>11</v>
      </c>
      <c r="I1281" s="2">
        <v>1</v>
      </c>
      <c r="J1281" s="5">
        <v>46141</v>
      </c>
      <c r="K1281" s="5">
        <v>46147</v>
      </c>
      <c r="L1281" s="2" t="s">
        <v>865</v>
      </c>
      <c r="M1281" s="5">
        <v>46185</v>
      </c>
      <c r="N1281" s="3">
        <f>VLOOKUP(NavDataRegion[[#This Row],[Spool No]],[1]Sheet2!$B:$U,20,0)</f>
        <v>7500.6345483759997</v>
      </c>
      <c r="O1281" s="2">
        <v>107</v>
      </c>
      <c r="P1281" s="2">
        <v>12</v>
      </c>
      <c r="Q1281" s="2"/>
    </row>
    <row r="1282" spans="1:17" ht="20.100000000000001" customHeight="1">
      <c r="A1282" s="2" t="s">
        <v>9</v>
      </c>
      <c r="B1282" s="2" t="s">
        <v>279</v>
      </c>
      <c r="C1282" s="2" t="s">
        <v>460</v>
      </c>
      <c r="D1282" s="2" t="e">
        <f>VLOOKUP(C:C,Vlookup!A:A,1,0)</f>
        <v>#N/A</v>
      </c>
      <c r="E1282" s="2">
        <v>22</v>
      </c>
      <c r="F1282" s="2" t="s">
        <v>461</v>
      </c>
      <c r="G1282" s="2" t="s">
        <v>276</v>
      </c>
      <c r="H1282" s="2" t="s">
        <v>11</v>
      </c>
      <c r="I1282" s="2">
        <v>1</v>
      </c>
      <c r="J1282" s="5">
        <v>46121</v>
      </c>
      <c r="K1282" s="5">
        <v>46135</v>
      </c>
      <c r="L1282" s="2" t="s">
        <v>865</v>
      </c>
      <c r="M1282" s="5">
        <v>46167</v>
      </c>
      <c r="N1282" s="3">
        <f>VLOOKUP(NavDataRegion[[#This Row],[Spool No]],[1]Sheet2!$B:$U,20,0)</f>
        <v>1833.122423648</v>
      </c>
      <c r="O1282" s="2">
        <v>59.75</v>
      </c>
      <c r="P1282" s="2">
        <v>12</v>
      </c>
      <c r="Q1282" s="2"/>
    </row>
    <row r="1283" spans="1:17" ht="20.100000000000001" customHeight="1">
      <c r="A1283" s="2" t="s">
        <v>9</v>
      </c>
      <c r="B1283" s="2" t="s">
        <v>282</v>
      </c>
      <c r="C1283" s="2" t="s">
        <v>283</v>
      </c>
      <c r="D1283" s="2" t="e">
        <f>VLOOKUP(C:C,Vlookup!A:A,1,0)</f>
        <v>#N/A</v>
      </c>
      <c r="E1283" s="2">
        <v>19</v>
      </c>
      <c r="F1283" s="2" t="s">
        <v>284</v>
      </c>
      <c r="G1283" s="2" t="s">
        <v>16</v>
      </c>
      <c r="H1283" s="2" t="s">
        <v>11</v>
      </c>
      <c r="I1283" s="2">
        <v>1</v>
      </c>
      <c r="J1283" s="5">
        <v>46113</v>
      </c>
      <c r="K1283" s="5">
        <v>46115</v>
      </c>
      <c r="L1283" s="2" t="s">
        <v>865</v>
      </c>
      <c r="M1283" s="5">
        <v>46133</v>
      </c>
      <c r="N1283" s="3">
        <f>VLOOKUP(NavDataRegion[[#This Row],[Spool No]],[1]Sheet2!$B:$U,20,0)</f>
        <v>1387.894227992</v>
      </c>
      <c r="O1283" s="2">
        <v>227.25</v>
      </c>
      <c r="P1283" s="2">
        <v>12</v>
      </c>
      <c r="Q1283" s="2"/>
    </row>
    <row r="1284" spans="1:17" ht="20.100000000000001" customHeight="1">
      <c r="A1284" s="10" t="s">
        <v>9</v>
      </c>
      <c r="B1284" s="10" t="s">
        <v>323</v>
      </c>
      <c r="C1284" s="10" t="s">
        <v>2000</v>
      </c>
      <c r="D1284" s="2" t="e">
        <f>VLOOKUP(C:C,Vlookup!A:A,1,0)</f>
        <v>#N/A</v>
      </c>
      <c r="E1284" s="2">
        <v>24</v>
      </c>
      <c r="F1284" s="2"/>
      <c r="G1284" s="10" t="s">
        <v>16</v>
      </c>
      <c r="H1284" s="2" t="s">
        <v>11</v>
      </c>
      <c r="I1284" s="2">
        <v>1</v>
      </c>
      <c r="J1284" s="5">
        <v>46170</v>
      </c>
      <c r="K1284" s="5">
        <v>46175</v>
      </c>
      <c r="L1284" s="2" t="s">
        <v>865</v>
      </c>
      <c r="M1284" s="5">
        <v>46185</v>
      </c>
      <c r="N1284" s="10">
        <v>23.056999999999999</v>
      </c>
      <c r="O1284" s="10">
        <v>0</v>
      </c>
      <c r="P1284" s="10">
        <v>3</v>
      </c>
      <c r="Q1284" s="2"/>
    </row>
    <row r="1285" spans="1:17" ht="20.100000000000001" customHeight="1">
      <c r="A1285" s="2" t="s">
        <v>9</v>
      </c>
      <c r="B1285" s="2" t="s">
        <v>227</v>
      </c>
      <c r="C1285" s="2" t="s">
        <v>665</v>
      </c>
      <c r="D1285" s="2" t="e">
        <f>VLOOKUP(C:C,Vlookup!A:A,1,0)</f>
        <v>#N/A</v>
      </c>
      <c r="E1285" s="2">
        <v>18</v>
      </c>
      <c r="F1285" s="2" t="s">
        <v>666</v>
      </c>
      <c r="G1285" s="2" t="s">
        <v>16</v>
      </c>
      <c r="H1285" s="2" t="s">
        <v>11</v>
      </c>
      <c r="I1285" s="2">
        <v>1</v>
      </c>
      <c r="J1285" s="5">
        <v>46108</v>
      </c>
      <c r="K1285" s="5">
        <v>46112</v>
      </c>
      <c r="L1285" s="2" t="s">
        <v>865</v>
      </c>
      <c r="M1285" s="5">
        <v>45754</v>
      </c>
      <c r="N1285" s="3">
        <f>VLOOKUP(NavDataRegion[[#This Row],[Spool No]],[1]Sheet2!$B:$U,20,0)</f>
        <v>783.54848765439999</v>
      </c>
      <c r="O1285" s="2">
        <v>46</v>
      </c>
      <c r="P1285" s="2">
        <v>12</v>
      </c>
      <c r="Q1285" s="2"/>
    </row>
    <row r="1286" spans="1:17" ht="20.100000000000001" customHeight="1">
      <c r="A1286" s="2" t="s">
        <v>9</v>
      </c>
      <c r="B1286" s="2" t="s">
        <v>227</v>
      </c>
      <c r="C1286" s="2" t="s">
        <v>562</v>
      </c>
      <c r="D1286" s="2" t="e">
        <f>VLOOKUP(C:C,Vlookup!A:A,1,0)</f>
        <v>#N/A</v>
      </c>
      <c r="E1286" s="2">
        <v>20</v>
      </c>
      <c r="F1286" s="2" t="s">
        <v>563</v>
      </c>
      <c r="G1286" s="2" t="s">
        <v>25</v>
      </c>
      <c r="H1286" s="2" t="s">
        <v>11</v>
      </c>
      <c r="I1286" s="2">
        <v>1</v>
      </c>
      <c r="J1286" s="5">
        <v>46113</v>
      </c>
      <c r="K1286" s="5">
        <v>46118</v>
      </c>
      <c r="L1286" s="2" t="s">
        <v>865</v>
      </c>
      <c r="M1286" s="5">
        <v>46133</v>
      </c>
      <c r="N1286" s="3">
        <f>VLOOKUP(NavDataRegion[[#This Row],[Spool No]],[1]Sheet2!$B:$U,20,0)</f>
        <v>624.74120215999994</v>
      </c>
      <c r="O1286" s="2">
        <v>153</v>
      </c>
      <c r="P1286" s="2">
        <v>12</v>
      </c>
      <c r="Q1286" s="2"/>
    </row>
    <row r="1287" spans="1:17" ht="20.100000000000001" customHeight="1">
      <c r="A1287" s="2" t="s">
        <v>9</v>
      </c>
      <c r="B1287" s="2" t="s">
        <v>260</v>
      </c>
      <c r="C1287" s="2" t="s">
        <v>581</v>
      </c>
      <c r="D1287" s="2" t="e">
        <f>VLOOKUP(C:C,Vlookup!A:A,1,0)</f>
        <v>#N/A</v>
      </c>
      <c r="E1287" s="2">
        <v>24</v>
      </c>
      <c r="F1287" s="2" t="s">
        <v>10</v>
      </c>
      <c r="G1287" s="2" t="s">
        <v>16</v>
      </c>
      <c r="H1287" s="2" t="s">
        <v>11</v>
      </c>
      <c r="I1287" s="2">
        <v>1</v>
      </c>
      <c r="J1287" s="5">
        <v>46170</v>
      </c>
      <c r="K1287" s="5">
        <v>46175</v>
      </c>
      <c r="L1287" s="2" t="s">
        <v>865</v>
      </c>
      <c r="M1287" s="5">
        <v>46185</v>
      </c>
      <c r="N1287" s="3">
        <f>VLOOKUP(NavDataRegion[[#This Row],[Spool No]],[1]Sheet2!$B:$U,20,0)</f>
        <v>2181.0477833760001</v>
      </c>
      <c r="O1287" s="2">
        <v>87</v>
      </c>
      <c r="P1287" s="2">
        <v>12</v>
      </c>
      <c r="Q1287" s="2"/>
    </row>
    <row r="1288" spans="1:17" ht="20.100000000000001" customHeight="1">
      <c r="A1288" s="2" t="s">
        <v>9</v>
      </c>
      <c r="B1288" s="2" t="s">
        <v>266</v>
      </c>
      <c r="C1288" s="2" t="s">
        <v>1864</v>
      </c>
      <c r="D1288" s="2" t="e">
        <f>VLOOKUP(C:C,Vlookup!A:A,1,0)</f>
        <v>#N/A</v>
      </c>
      <c r="E1288" s="2">
        <v>20</v>
      </c>
      <c r="F1288" s="17" t="s">
        <v>10</v>
      </c>
      <c r="G1288" s="17" t="s">
        <v>16</v>
      </c>
      <c r="H1288" s="2" t="s">
        <v>11</v>
      </c>
      <c r="I1288" s="2">
        <v>1</v>
      </c>
      <c r="J1288" s="5">
        <v>46115</v>
      </c>
      <c r="K1288" s="5">
        <v>46118</v>
      </c>
      <c r="L1288" s="2" t="s">
        <v>865</v>
      </c>
      <c r="M1288" s="5">
        <v>46133</v>
      </c>
      <c r="N1288" s="3">
        <f>VLOOKUP(NavDataRegion[[#This Row],[Spool No]],[1]Sheet2!$B:$U,20,0)</f>
        <v>345.84484060800003</v>
      </c>
      <c r="O1288" s="2">
        <v>43</v>
      </c>
      <c r="P1288" s="2">
        <v>12</v>
      </c>
      <c r="Q1288" s="2"/>
    </row>
    <row r="1289" spans="1:17" ht="20.100000000000001" customHeight="1">
      <c r="A1289" s="2" t="s">
        <v>9</v>
      </c>
      <c r="B1289" s="2" t="s">
        <v>315</v>
      </c>
      <c r="C1289" s="2" t="s">
        <v>316</v>
      </c>
      <c r="D1289" s="2" t="e">
        <f>VLOOKUP(C:C,Vlookup!A:A,1,0)</f>
        <v>#N/A</v>
      </c>
      <c r="E1289" s="2">
        <v>19</v>
      </c>
      <c r="F1289" s="2" t="s">
        <v>10</v>
      </c>
      <c r="G1289" s="2" t="s">
        <v>276</v>
      </c>
      <c r="H1289" s="2" t="s">
        <v>11</v>
      </c>
      <c r="I1289" s="2">
        <v>1</v>
      </c>
      <c r="J1289" s="5">
        <v>46113</v>
      </c>
      <c r="K1289" s="5">
        <v>46115</v>
      </c>
      <c r="L1289" s="2" t="s">
        <v>865</v>
      </c>
      <c r="M1289" s="5">
        <v>46133</v>
      </c>
      <c r="N1289" s="3">
        <f>VLOOKUP(NavDataRegion[[#This Row],[Spool No]],[1]Sheet2!$B:$U,20,0)</f>
        <v>409.10933811199999</v>
      </c>
      <c r="O1289" s="2">
        <v>47</v>
      </c>
      <c r="P1289" s="2">
        <v>12</v>
      </c>
      <c r="Q1289" s="2"/>
    </row>
    <row r="1290" spans="1:17" ht="20.100000000000001" customHeight="1">
      <c r="A1290" s="2" t="s">
        <v>9</v>
      </c>
      <c r="B1290" s="2" t="s">
        <v>282</v>
      </c>
      <c r="C1290" s="2" t="s">
        <v>689</v>
      </c>
      <c r="D1290" s="2" t="e">
        <f>VLOOKUP(C:C,Vlookup!A:A,1,0)</f>
        <v>#N/A</v>
      </c>
      <c r="E1290" s="2">
        <v>20</v>
      </c>
      <c r="F1290" s="2" t="s">
        <v>690</v>
      </c>
      <c r="G1290" s="2" t="s">
        <v>16</v>
      </c>
      <c r="H1290" s="2" t="s">
        <v>11</v>
      </c>
      <c r="I1290" s="2">
        <v>1</v>
      </c>
      <c r="J1290" s="5">
        <v>46115</v>
      </c>
      <c r="K1290" s="5">
        <v>46118</v>
      </c>
      <c r="L1290" s="2" t="s">
        <v>865</v>
      </c>
      <c r="M1290" s="5">
        <v>46133</v>
      </c>
      <c r="N1290" s="3">
        <f>VLOOKUP(NavDataRegion[[#This Row],[Spool No]],[1]Sheet2!$B:$U,20,0)</f>
        <v>352.87389936</v>
      </c>
      <c r="O1290" s="2">
        <v>82</v>
      </c>
      <c r="P1290" s="2">
        <v>12</v>
      </c>
      <c r="Q1290" s="2"/>
    </row>
    <row r="1291" spans="1:17" ht="20.100000000000001" customHeight="1">
      <c r="A1291" s="2" t="s">
        <v>9</v>
      </c>
      <c r="B1291" s="2" t="s">
        <v>313</v>
      </c>
      <c r="C1291" s="2" t="s">
        <v>314</v>
      </c>
      <c r="D1291" s="2" t="e">
        <f>VLOOKUP(C:C,Vlookup!A:A,1,0)</f>
        <v>#N/A</v>
      </c>
      <c r="E1291" s="2">
        <v>18</v>
      </c>
      <c r="F1291" s="2" t="s">
        <v>10</v>
      </c>
      <c r="G1291" s="2" t="s">
        <v>16</v>
      </c>
      <c r="H1291" s="2" t="s">
        <v>11</v>
      </c>
      <c r="I1291" s="2">
        <v>1</v>
      </c>
      <c r="J1291" s="5">
        <v>46107</v>
      </c>
      <c r="K1291" s="5">
        <v>46112</v>
      </c>
      <c r="L1291" s="2" t="s">
        <v>865</v>
      </c>
      <c r="M1291" s="5">
        <v>45754</v>
      </c>
      <c r="N1291" s="3">
        <f>VLOOKUP(NavDataRegion[[#This Row],[Spool No]],[1]Sheet2!$B:$U,20,0)</f>
        <v>728.08150022400002</v>
      </c>
      <c r="O1291" s="2">
        <v>70</v>
      </c>
      <c r="P1291" s="2">
        <v>14</v>
      </c>
      <c r="Q1291" s="2"/>
    </row>
    <row r="1292" spans="1:17" ht="20.100000000000001" customHeight="1">
      <c r="A1292" s="2" t="s">
        <v>9</v>
      </c>
      <c r="B1292" s="2" t="s">
        <v>19</v>
      </c>
      <c r="C1292" s="2" t="s">
        <v>20</v>
      </c>
      <c r="D1292" s="2" t="e">
        <f>VLOOKUP(C:C,Vlookup!A:A,1,0)</f>
        <v>#N/A</v>
      </c>
      <c r="E1292" s="2">
        <v>20</v>
      </c>
      <c r="F1292" s="2" t="s">
        <v>10</v>
      </c>
      <c r="G1292" s="2" t="s">
        <v>16</v>
      </c>
      <c r="H1292" s="2" t="s">
        <v>11</v>
      </c>
      <c r="I1292" s="2">
        <v>1</v>
      </c>
      <c r="J1292" s="5">
        <v>46113</v>
      </c>
      <c r="K1292" s="5">
        <v>46118</v>
      </c>
      <c r="L1292" s="2" t="s">
        <v>865</v>
      </c>
      <c r="M1292" s="5">
        <v>46133</v>
      </c>
      <c r="N1292" s="3">
        <f>VLOOKUP(NavDataRegion[[#This Row],[Spool No]],[1]Sheet2!$B:$U,20,0)</f>
        <v>1520.7576200000001</v>
      </c>
      <c r="O1292" s="2">
        <v>252</v>
      </c>
      <c r="P1292" s="2">
        <v>14</v>
      </c>
      <c r="Q1292" s="2"/>
    </row>
    <row r="1293" spans="1:17" ht="20.100000000000001" customHeight="1">
      <c r="A1293" s="2" t="s">
        <v>9</v>
      </c>
      <c r="B1293" s="2" t="s">
        <v>161</v>
      </c>
      <c r="C1293" s="2" t="s">
        <v>162</v>
      </c>
      <c r="D1293" s="2" t="e">
        <f>VLOOKUP(C:C,Vlookup!A:A,1,0)</f>
        <v>#N/A</v>
      </c>
      <c r="E1293" s="2">
        <v>19</v>
      </c>
      <c r="F1293" s="2" t="s">
        <v>163</v>
      </c>
      <c r="G1293" s="2" t="s">
        <v>16</v>
      </c>
      <c r="H1293" s="2" t="s">
        <v>11</v>
      </c>
      <c r="I1293" s="2">
        <v>1</v>
      </c>
      <c r="J1293" s="5">
        <v>46113</v>
      </c>
      <c r="K1293" s="5">
        <v>46116</v>
      </c>
      <c r="L1293" s="2" t="s">
        <v>865</v>
      </c>
      <c r="M1293" s="5">
        <v>46133</v>
      </c>
      <c r="N1293" s="3">
        <f>VLOOKUP(NavDataRegion[[#This Row],[Spool No]],[1]Sheet2!$B:$U,20,0)</f>
        <v>2826.4801536179998</v>
      </c>
      <c r="O1293" s="2">
        <v>152.66141732</v>
      </c>
      <c r="P1293" s="2">
        <v>14</v>
      </c>
      <c r="Q1293" s="2"/>
    </row>
    <row r="1294" spans="1:17" ht="20.100000000000001" customHeight="1">
      <c r="A1294" s="2" t="s">
        <v>9</v>
      </c>
      <c r="B1294" s="2" t="s">
        <v>177</v>
      </c>
      <c r="C1294" s="2" t="s">
        <v>178</v>
      </c>
      <c r="D1294" s="2" t="e">
        <f>VLOOKUP(C:C,Vlookup!A:A,1,0)</f>
        <v>#N/A</v>
      </c>
      <c r="E1294" s="2">
        <v>22</v>
      </c>
      <c r="F1294" s="2" t="s">
        <v>179</v>
      </c>
      <c r="G1294" s="2" t="s">
        <v>10</v>
      </c>
      <c r="H1294" s="2" t="s">
        <v>11</v>
      </c>
      <c r="I1294" s="2">
        <v>1</v>
      </c>
      <c r="J1294" s="5">
        <v>46135</v>
      </c>
      <c r="K1294" s="5">
        <v>46135</v>
      </c>
      <c r="L1294" s="2" t="s">
        <v>865</v>
      </c>
      <c r="M1294" s="5">
        <v>46167</v>
      </c>
      <c r="N1294" s="3">
        <f>VLOOKUP(NavDataRegion[[#This Row],[Spool No]],[1]Sheet2!$B:$U,20,0)</f>
        <v>5394.4037489632001</v>
      </c>
      <c r="O1294" s="2">
        <v>163.63661417599999</v>
      </c>
      <c r="P1294" s="2">
        <v>16</v>
      </c>
      <c r="Q1294" s="2"/>
    </row>
    <row r="1295" spans="1:17" ht="20.100000000000001" customHeight="1">
      <c r="A1295" s="2" t="s">
        <v>9</v>
      </c>
      <c r="B1295" s="2" t="s">
        <v>21</v>
      </c>
      <c r="C1295" s="2" t="s">
        <v>356</v>
      </c>
      <c r="D1295" s="2" t="e">
        <f>VLOOKUP(C:C,Vlookup!A:A,1,0)</f>
        <v>#N/A</v>
      </c>
      <c r="E1295" s="2">
        <v>19</v>
      </c>
      <c r="F1295" s="2" t="s">
        <v>10</v>
      </c>
      <c r="G1295" s="2" t="s">
        <v>16</v>
      </c>
      <c r="H1295" s="2" t="s">
        <v>11</v>
      </c>
      <c r="I1295" s="2">
        <v>1</v>
      </c>
      <c r="J1295" s="5">
        <v>46113</v>
      </c>
      <c r="K1295" s="5">
        <v>46116</v>
      </c>
      <c r="L1295" s="2" t="s">
        <v>865</v>
      </c>
      <c r="M1295" s="5">
        <v>46133</v>
      </c>
      <c r="N1295" s="3">
        <f>VLOOKUP(NavDataRegion[[#This Row],[Spool No]],[1]Sheet2!$B:$U,20,0)</f>
        <v>1568.9787638138</v>
      </c>
      <c r="O1295" s="2">
        <v>252</v>
      </c>
      <c r="P1295" s="2">
        <v>14</v>
      </c>
      <c r="Q1295" s="2"/>
    </row>
    <row r="1296" spans="1:17" ht="20.100000000000001" customHeight="1">
      <c r="A1296" s="2" t="s">
        <v>9</v>
      </c>
      <c r="B1296" s="2" t="s">
        <v>177</v>
      </c>
      <c r="C1296" s="2" t="s">
        <v>405</v>
      </c>
      <c r="D1296" s="2" t="e">
        <f>VLOOKUP(C:C,Vlookup!A:A,1,0)</f>
        <v>#N/A</v>
      </c>
      <c r="E1296" s="2">
        <v>19</v>
      </c>
      <c r="F1296" s="2" t="s">
        <v>406</v>
      </c>
      <c r="G1296" s="2" t="s">
        <v>10</v>
      </c>
      <c r="H1296" s="2" t="s">
        <v>11</v>
      </c>
      <c r="I1296" s="2">
        <v>1</v>
      </c>
      <c r="J1296" s="5">
        <v>46113</v>
      </c>
      <c r="K1296" s="5">
        <v>46115</v>
      </c>
      <c r="L1296" s="2" t="s">
        <v>865</v>
      </c>
      <c r="M1296" s="5">
        <v>46133</v>
      </c>
      <c r="N1296" s="3">
        <f>VLOOKUP(NavDataRegion[[#This Row],[Spool No]],[1]Sheet2!$B:$U,20,0)</f>
        <v>1776.36956216</v>
      </c>
      <c r="O1296" s="2">
        <v>81.251968500000004</v>
      </c>
      <c r="P1296" s="2">
        <v>16</v>
      </c>
      <c r="Q1296" s="2"/>
    </row>
    <row r="1297" spans="1:17" ht="20.100000000000001" customHeight="1">
      <c r="A1297" s="2" t="s">
        <v>9</v>
      </c>
      <c r="B1297" s="2" t="s">
        <v>1435</v>
      </c>
      <c r="C1297" s="2" t="s">
        <v>1643</v>
      </c>
      <c r="D1297" s="2" t="e">
        <f>VLOOKUP(C:C,Vlookup!A:A,1,0)</f>
        <v>#N/A</v>
      </c>
      <c r="E1297" s="2">
        <v>14</v>
      </c>
      <c r="F1297" s="17" t="s">
        <v>10</v>
      </c>
      <c r="G1297" s="17" t="s">
        <v>25</v>
      </c>
      <c r="H1297" s="2" t="s">
        <v>11</v>
      </c>
      <c r="I1297" s="2">
        <v>1</v>
      </c>
      <c r="J1297" s="5">
        <v>46093</v>
      </c>
      <c r="K1297" s="5">
        <v>46094</v>
      </c>
      <c r="L1297" s="2" t="s">
        <v>865</v>
      </c>
      <c r="M1297" s="5">
        <v>45754</v>
      </c>
      <c r="N1297" s="3">
        <f>VLOOKUP(NavDataRegion[[#This Row],[Spool No]],[1]Sheet2!$B:$U,20,0)</f>
        <v>16.721599999999999</v>
      </c>
      <c r="O1297" s="2">
        <v>2.25</v>
      </c>
      <c r="P1297" s="2">
        <v>0.75</v>
      </c>
      <c r="Q1297" s="2"/>
    </row>
    <row r="1298" spans="1:17" ht="20.100000000000001" customHeight="1">
      <c r="A1298" s="2" t="s">
        <v>9</v>
      </c>
      <c r="B1298" s="2" t="s">
        <v>180</v>
      </c>
      <c r="C1298" s="2" t="s">
        <v>407</v>
      </c>
      <c r="D1298" s="2" t="e">
        <f>VLOOKUP(C:C,Vlookup!A:A,1,0)</f>
        <v>#N/A</v>
      </c>
      <c r="E1298" s="2">
        <v>17</v>
      </c>
      <c r="F1298" s="2" t="s">
        <v>408</v>
      </c>
      <c r="G1298" s="2" t="s">
        <v>16</v>
      </c>
      <c r="H1298" s="2" t="s">
        <v>11</v>
      </c>
      <c r="I1298" s="2">
        <v>1</v>
      </c>
      <c r="J1298" s="5">
        <v>46107</v>
      </c>
      <c r="K1298" s="5">
        <v>46111</v>
      </c>
      <c r="L1298" s="2" t="s">
        <v>865</v>
      </c>
      <c r="M1298" s="5">
        <v>45754</v>
      </c>
      <c r="N1298" s="3">
        <f>VLOOKUP(NavDataRegion[[#This Row],[Spool No]],[1]Sheet2!$B:$U,20,0)</f>
        <v>4926.6740588831999</v>
      </c>
      <c r="O1298" s="2">
        <v>22</v>
      </c>
      <c r="P1298" s="2">
        <v>16</v>
      </c>
      <c r="Q1298" s="2"/>
    </row>
    <row r="1299" spans="1:17" ht="20.100000000000001" customHeight="1">
      <c r="A1299" s="2" t="s">
        <v>9</v>
      </c>
      <c r="B1299" s="2" t="s">
        <v>183</v>
      </c>
      <c r="C1299" s="2" t="s">
        <v>409</v>
      </c>
      <c r="D1299" s="2" t="e">
        <f>VLOOKUP(C:C,Vlookup!A:A,1,0)</f>
        <v>#N/A</v>
      </c>
      <c r="E1299" s="2">
        <v>19</v>
      </c>
      <c r="F1299" s="2" t="s">
        <v>410</v>
      </c>
      <c r="G1299" s="2" t="s">
        <v>16</v>
      </c>
      <c r="H1299" s="2" t="s">
        <v>11</v>
      </c>
      <c r="I1299" s="2">
        <v>1</v>
      </c>
      <c r="J1299" s="5">
        <v>46113</v>
      </c>
      <c r="K1299" s="5">
        <v>46115</v>
      </c>
      <c r="L1299" s="2" t="s">
        <v>865</v>
      </c>
      <c r="M1299" s="5">
        <v>46133</v>
      </c>
      <c r="N1299" s="3">
        <f>VLOOKUP(NavDataRegion[[#This Row],[Spool No]],[1]Sheet2!$B:$U,20,0)</f>
        <v>2174.0597754559999</v>
      </c>
      <c r="O1299" s="2">
        <v>75.984251968999999</v>
      </c>
      <c r="P1299" s="2">
        <v>16</v>
      </c>
      <c r="Q1299" s="2"/>
    </row>
    <row r="1300" spans="1:17" ht="20.100000000000001" customHeight="1">
      <c r="A1300" s="2" t="s">
        <v>9</v>
      </c>
      <c r="B1300" s="2" t="s">
        <v>183</v>
      </c>
      <c r="C1300" s="2" t="s">
        <v>546</v>
      </c>
      <c r="D1300" s="2" t="e">
        <f>VLOOKUP(C:C,Vlookup!A:A,1,0)</f>
        <v>#N/A</v>
      </c>
      <c r="E1300" s="2">
        <v>15</v>
      </c>
      <c r="F1300" s="2" t="s">
        <v>547</v>
      </c>
      <c r="G1300" s="2" t="s">
        <v>16</v>
      </c>
      <c r="H1300" s="2" t="s">
        <v>11</v>
      </c>
      <c r="I1300" s="2">
        <v>1</v>
      </c>
      <c r="J1300" s="5">
        <v>46107</v>
      </c>
      <c r="K1300" s="5">
        <v>46108</v>
      </c>
      <c r="L1300" s="2" t="s">
        <v>865</v>
      </c>
      <c r="M1300" s="5">
        <v>45754</v>
      </c>
      <c r="N1300" s="3">
        <f>VLOOKUP(NavDataRegion[[#This Row],[Spool No]],[1]Sheet2!$B:$U,20,0)</f>
        <v>5918.7364967800004</v>
      </c>
      <c r="O1300" s="2">
        <v>199.045275592</v>
      </c>
      <c r="P1300" s="2">
        <v>16</v>
      </c>
      <c r="Q1300" s="2"/>
    </row>
    <row r="1301" spans="1:17" ht="20.100000000000001" customHeight="1">
      <c r="A1301" s="2" t="s">
        <v>9</v>
      </c>
      <c r="B1301" s="2" t="s">
        <v>180</v>
      </c>
      <c r="C1301" s="2" t="s">
        <v>654</v>
      </c>
      <c r="D1301" s="2" t="e">
        <f>VLOOKUP(C:C,Vlookup!A:A,1,0)</f>
        <v>#N/A</v>
      </c>
      <c r="E1301" s="2">
        <v>15</v>
      </c>
      <c r="F1301" s="2" t="s">
        <v>655</v>
      </c>
      <c r="G1301" s="2" t="s">
        <v>16</v>
      </c>
      <c r="H1301" s="2" t="s">
        <v>11</v>
      </c>
      <c r="I1301" s="2">
        <v>1</v>
      </c>
      <c r="J1301" s="5">
        <v>46107</v>
      </c>
      <c r="K1301" s="5">
        <v>46108</v>
      </c>
      <c r="L1301" s="2" t="s">
        <v>865</v>
      </c>
      <c r="M1301" s="5">
        <v>45754</v>
      </c>
      <c r="N1301" s="3">
        <f>VLOOKUP(NavDataRegion[[#This Row],[Spool No]],[1]Sheet2!$B:$U,20,0)</f>
        <v>4540.2898580600004</v>
      </c>
      <c r="O1301" s="2">
        <v>142.14173228000001</v>
      </c>
      <c r="P1301" s="2">
        <v>16</v>
      </c>
      <c r="Q1301" s="2"/>
    </row>
    <row r="1302" spans="1:17" ht="20.100000000000001" customHeight="1">
      <c r="A1302" s="13" t="s">
        <v>9</v>
      </c>
      <c r="B1302" s="13" t="s">
        <v>1441</v>
      </c>
      <c r="C1302" s="13" t="s">
        <v>1646</v>
      </c>
      <c r="D1302" s="13" t="e">
        <f>VLOOKUP(C:C,Vlookup!A:A,1,0)</f>
        <v>#N/A</v>
      </c>
      <c r="E1302" s="2">
        <v>14</v>
      </c>
      <c r="F1302" s="17" t="s">
        <v>10</v>
      </c>
      <c r="G1302" s="17" t="s">
        <v>25</v>
      </c>
      <c r="H1302" s="2" t="s">
        <v>11</v>
      </c>
      <c r="I1302" s="2">
        <v>1</v>
      </c>
      <c r="J1302" s="5">
        <v>46093</v>
      </c>
      <c r="K1302" s="5">
        <v>46094</v>
      </c>
      <c r="L1302" s="2" t="s">
        <v>865</v>
      </c>
      <c r="M1302" s="5">
        <v>45754</v>
      </c>
      <c r="N1302" s="3">
        <f>VLOOKUP(NavDataRegion[[#This Row],[Spool No]],[1]Sheet2!$B:$U,20,0)</f>
        <v>16.721599999999999</v>
      </c>
      <c r="O1302" s="2">
        <v>2.25</v>
      </c>
      <c r="P1302" s="2">
        <v>0.75</v>
      </c>
      <c r="Q1302" s="2"/>
    </row>
    <row r="1303" spans="1:17" ht="20.100000000000001" customHeight="1">
      <c r="A1303" s="2" t="s">
        <v>9</v>
      </c>
      <c r="B1303" s="2" t="s">
        <v>180</v>
      </c>
      <c r="C1303" s="2" t="s">
        <v>544</v>
      </c>
      <c r="D1303" s="2" t="e">
        <f>VLOOKUP(C:C,Vlookup!A:A,1,0)</f>
        <v>#N/A</v>
      </c>
      <c r="E1303" s="2">
        <v>13</v>
      </c>
      <c r="F1303" s="2" t="s">
        <v>545</v>
      </c>
      <c r="G1303" s="2" t="s">
        <v>25</v>
      </c>
      <c r="H1303" s="2" t="s">
        <v>11</v>
      </c>
      <c r="I1303" s="2">
        <v>1</v>
      </c>
      <c r="J1303" s="5">
        <v>46087</v>
      </c>
      <c r="K1303" s="5">
        <v>46094</v>
      </c>
      <c r="L1303" s="2" t="s">
        <v>865</v>
      </c>
      <c r="M1303" s="5">
        <v>46105</v>
      </c>
      <c r="N1303" s="3">
        <f>VLOOKUP(NavDataRegion[[#This Row],[Spool No]],[1]Sheet2!$B:$U,20,0)</f>
        <v>1376.6013600000001</v>
      </c>
      <c r="O1303" s="2">
        <v>52.5</v>
      </c>
      <c r="P1303" s="2">
        <v>16</v>
      </c>
      <c r="Q1303" s="2"/>
    </row>
    <row r="1304" spans="1:17" ht="20.100000000000001" customHeight="1">
      <c r="A1304" s="2" t="s">
        <v>9</v>
      </c>
      <c r="B1304" s="2" t="s">
        <v>164</v>
      </c>
      <c r="C1304" s="2" t="s">
        <v>725</v>
      </c>
      <c r="D1304" s="2" t="e">
        <f>VLOOKUP(C:C,Vlookup!A:A,1,0)</f>
        <v>#N/A</v>
      </c>
      <c r="E1304" s="2">
        <v>22</v>
      </c>
      <c r="F1304" s="2" t="s">
        <v>726</v>
      </c>
      <c r="G1304" s="2" t="s">
        <v>16</v>
      </c>
      <c r="H1304" s="2" t="s">
        <v>11</v>
      </c>
      <c r="I1304" s="2">
        <v>1</v>
      </c>
      <c r="J1304" s="5">
        <v>46135</v>
      </c>
      <c r="K1304" s="5">
        <v>46135</v>
      </c>
      <c r="L1304" s="2" t="s">
        <v>865</v>
      </c>
      <c r="M1304" s="5">
        <v>46167</v>
      </c>
      <c r="N1304" s="3">
        <f>VLOOKUP(NavDataRegion[[#This Row],[Spool No]],[1]Sheet2!$B:$U,20,0)</f>
        <v>1136.1900453440001</v>
      </c>
      <c r="O1304" s="2">
        <v>85</v>
      </c>
      <c r="P1304" s="2">
        <v>16</v>
      </c>
      <c r="Q1304" s="2"/>
    </row>
    <row r="1305" spans="1:17" ht="20.100000000000001" customHeight="1">
      <c r="A1305" s="2" t="s">
        <v>9</v>
      </c>
      <c r="B1305" s="2" t="s">
        <v>1443</v>
      </c>
      <c r="C1305" s="2" t="s">
        <v>1647</v>
      </c>
      <c r="D1305" s="2" t="e">
        <f>VLOOKUP(C:C,Vlookup!A:A,1,0)</f>
        <v>#N/A</v>
      </c>
      <c r="E1305" s="2">
        <v>14</v>
      </c>
      <c r="F1305" s="17" t="s">
        <v>10</v>
      </c>
      <c r="G1305" s="17" t="s">
        <v>25</v>
      </c>
      <c r="H1305" s="2" t="s">
        <v>11</v>
      </c>
      <c r="I1305" s="2">
        <v>1</v>
      </c>
      <c r="J1305" s="5">
        <v>46093</v>
      </c>
      <c r="K1305" s="5">
        <v>46094</v>
      </c>
      <c r="L1305" s="2" t="s">
        <v>865</v>
      </c>
      <c r="M1305" s="5">
        <v>45754</v>
      </c>
      <c r="N1305" s="3">
        <f>VLOOKUP(NavDataRegion[[#This Row],[Spool No]],[1]Sheet2!$B:$U,20,0)</f>
        <v>16.7194</v>
      </c>
      <c r="O1305" s="2">
        <v>2.25</v>
      </c>
      <c r="P1305" s="2">
        <v>0.75</v>
      </c>
      <c r="Q1305" s="2"/>
    </row>
    <row r="1306" spans="1:17" ht="20.100000000000001" customHeight="1">
      <c r="A1306" s="2" t="s">
        <v>9</v>
      </c>
      <c r="B1306" s="2" t="s">
        <v>183</v>
      </c>
      <c r="C1306" s="2" t="s">
        <v>1780</v>
      </c>
      <c r="D1306" s="2" t="e">
        <f>VLOOKUP(C:C,Vlookup!A:A,1,0)</f>
        <v>#N/A</v>
      </c>
      <c r="E1306" s="2">
        <v>19</v>
      </c>
      <c r="F1306" s="17" t="s">
        <v>10</v>
      </c>
      <c r="G1306" s="17" t="s">
        <v>25</v>
      </c>
      <c r="H1306" s="2" t="s">
        <v>11</v>
      </c>
      <c r="I1306" s="2">
        <v>1</v>
      </c>
      <c r="J1306" s="5">
        <v>46113</v>
      </c>
      <c r="K1306" s="5">
        <v>46115</v>
      </c>
      <c r="L1306" s="2" t="s">
        <v>865</v>
      </c>
      <c r="M1306" s="5">
        <v>46133</v>
      </c>
      <c r="N1306" s="3">
        <f>VLOOKUP(NavDataRegion[[#This Row],[Spool No]],[1]Sheet2!$B:$U,20,0)</f>
        <v>698.17552000000001</v>
      </c>
      <c r="O1306" s="2">
        <v>16</v>
      </c>
      <c r="P1306" s="2">
        <v>16</v>
      </c>
      <c r="Q1306" s="2"/>
    </row>
    <row r="1307" spans="1:17" ht="20.100000000000001" customHeight="1">
      <c r="A1307" s="2" t="s">
        <v>9</v>
      </c>
      <c r="B1307" s="2" t="s">
        <v>152</v>
      </c>
      <c r="C1307" s="2" t="s">
        <v>528</v>
      </c>
      <c r="D1307" s="2" t="e">
        <f>VLOOKUP(C:C,Vlookup!A:A,1,0)</f>
        <v>#N/A</v>
      </c>
      <c r="E1307" s="2">
        <v>19</v>
      </c>
      <c r="F1307" s="2" t="s">
        <v>10</v>
      </c>
      <c r="G1307" s="2" t="s">
        <v>25</v>
      </c>
      <c r="H1307" s="2" t="s">
        <v>11</v>
      </c>
      <c r="I1307" s="2">
        <v>1</v>
      </c>
      <c r="J1307" s="5">
        <v>46112</v>
      </c>
      <c r="K1307" s="5">
        <v>46116</v>
      </c>
      <c r="L1307" s="2" t="s">
        <v>865</v>
      </c>
      <c r="M1307" s="5">
        <v>46133</v>
      </c>
      <c r="N1307" s="3">
        <f>VLOOKUP(NavDataRegion[[#This Row],[Spool No]],[1]Sheet2!$B:$U,20,0)</f>
        <v>443.15200576000001</v>
      </c>
      <c r="O1307" s="2">
        <v>90.5</v>
      </c>
      <c r="P1307" s="2">
        <v>18</v>
      </c>
      <c r="Q1307" s="2"/>
    </row>
    <row r="1308" spans="1:17" ht="20.100000000000001" customHeight="1">
      <c r="A1308" s="2" t="s">
        <v>9</v>
      </c>
      <c r="B1308" s="2" t="s">
        <v>14</v>
      </c>
      <c r="C1308" s="2" t="s">
        <v>704</v>
      </c>
      <c r="D1308" s="2" t="e">
        <f>VLOOKUP(C:C,Vlookup!A:A,1,0)</f>
        <v>#N/A</v>
      </c>
      <c r="E1308" s="2">
        <v>22</v>
      </c>
      <c r="F1308" s="2" t="s">
        <v>10</v>
      </c>
      <c r="G1308" s="2" t="s">
        <v>25</v>
      </c>
      <c r="H1308" s="2" t="s">
        <v>11</v>
      </c>
      <c r="I1308" s="2">
        <v>1</v>
      </c>
      <c r="J1308" s="5">
        <v>46135</v>
      </c>
      <c r="K1308" s="5">
        <v>46135</v>
      </c>
      <c r="L1308" s="2" t="s">
        <v>865</v>
      </c>
      <c r="M1308" s="5">
        <v>46167</v>
      </c>
      <c r="N1308" s="3">
        <f>VLOOKUP(NavDataRegion[[#This Row],[Spool No]],[1]Sheet2!$B:$U,20,0)</f>
        <v>668.755</v>
      </c>
      <c r="O1308" s="2">
        <v>35</v>
      </c>
      <c r="P1308" s="2">
        <v>18</v>
      </c>
      <c r="Q1308" s="2"/>
    </row>
    <row r="1309" spans="1:17" ht="20.100000000000001" customHeight="1">
      <c r="A1309" s="13" t="s">
        <v>9</v>
      </c>
      <c r="B1309" s="13" t="s">
        <v>300</v>
      </c>
      <c r="C1309" s="13" t="s">
        <v>301</v>
      </c>
      <c r="D1309" s="13" t="e">
        <f>VLOOKUP(C:C,Vlookup!A:A,1,0)</f>
        <v>#N/A</v>
      </c>
      <c r="E1309" s="2">
        <v>17</v>
      </c>
      <c r="F1309" s="2" t="s">
        <v>10</v>
      </c>
      <c r="G1309" s="2" t="s">
        <v>16</v>
      </c>
      <c r="H1309" s="2" t="s">
        <v>11</v>
      </c>
      <c r="I1309" s="2">
        <v>1</v>
      </c>
      <c r="J1309" s="5">
        <v>46107</v>
      </c>
      <c r="K1309" s="5">
        <v>46111</v>
      </c>
      <c r="L1309" s="2" t="s">
        <v>865</v>
      </c>
      <c r="M1309" s="5">
        <v>45754</v>
      </c>
      <c r="N1309" s="3">
        <f>VLOOKUP(NavDataRegion[[#This Row],[Spool No]],[1]Sheet2!$B:$U,20,0)</f>
        <v>2901.0562586800002</v>
      </c>
      <c r="O1309" s="2">
        <v>106</v>
      </c>
      <c r="P1309" s="2">
        <v>24</v>
      </c>
      <c r="Q1309" s="2"/>
    </row>
    <row r="1310" spans="1:17" ht="20.100000000000001" customHeight="1">
      <c r="A1310" s="2" t="s">
        <v>9</v>
      </c>
      <c r="B1310" s="2" t="s">
        <v>311</v>
      </c>
      <c r="C1310" s="2" t="s">
        <v>312</v>
      </c>
      <c r="D1310" s="2" t="e">
        <f>VLOOKUP(C:C,Vlookup!A:A,1,0)</f>
        <v>#N/A</v>
      </c>
      <c r="E1310" s="2">
        <v>21</v>
      </c>
      <c r="F1310" s="2" t="s">
        <v>10</v>
      </c>
      <c r="G1310" s="2" t="s">
        <v>16</v>
      </c>
      <c r="H1310" s="2" t="s">
        <v>11</v>
      </c>
      <c r="I1310" s="2">
        <v>1</v>
      </c>
      <c r="J1310" s="5">
        <v>46118</v>
      </c>
      <c r="K1310" s="5">
        <v>46120</v>
      </c>
      <c r="L1310" s="2" t="s">
        <v>865</v>
      </c>
      <c r="M1310" s="5">
        <v>46133</v>
      </c>
      <c r="N1310" s="3">
        <f>VLOOKUP(NavDataRegion[[#This Row],[Spool No]],[1]Sheet2!$B:$U,20,0)</f>
        <v>5237.4695439039997</v>
      </c>
      <c r="O1310" s="2">
        <v>349.72125980700002</v>
      </c>
      <c r="P1310" s="2">
        <v>24</v>
      </c>
      <c r="Q1310" s="2"/>
    </row>
    <row r="1311" spans="1:17" ht="20.100000000000001" customHeight="1">
      <c r="A1311" s="2" t="s">
        <v>9</v>
      </c>
      <c r="B1311" s="2" t="s">
        <v>300</v>
      </c>
      <c r="C1311" s="2" t="s">
        <v>471</v>
      </c>
      <c r="D1311" s="2" t="e">
        <f>VLOOKUP(C:C,Vlookup!A:A,1,0)</f>
        <v>#N/A</v>
      </c>
      <c r="E1311" s="2">
        <v>15</v>
      </c>
      <c r="F1311" s="2" t="s">
        <v>10</v>
      </c>
      <c r="G1311" s="2" t="s">
        <v>16</v>
      </c>
      <c r="H1311" s="2" t="s">
        <v>11</v>
      </c>
      <c r="I1311" s="2">
        <v>1</v>
      </c>
      <c r="J1311" s="5">
        <v>46107</v>
      </c>
      <c r="K1311" s="5">
        <v>46108</v>
      </c>
      <c r="L1311" s="2" t="s">
        <v>865</v>
      </c>
      <c r="M1311" s="5">
        <v>45754</v>
      </c>
      <c r="N1311" s="3">
        <f>VLOOKUP(NavDataRegion[[#This Row],[Spool No]],[1]Sheet2!$B:$U,20,0)</f>
        <v>3455.3639074719999</v>
      </c>
      <c r="O1311" s="2">
        <v>312.16023624000002</v>
      </c>
      <c r="P1311" s="2">
        <v>24</v>
      </c>
      <c r="Q1311" s="2"/>
    </row>
    <row r="1312" spans="1:17" ht="20.100000000000001" customHeight="1">
      <c r="A1312" s="13" t="s">
        <v>9</v>
      </c>
      <c r="B1312" s="2" t="s">
        <v>309</v>
      </c>
      <c r="C1312" s="2" t="s">
        <v>474</v>
      </c>
      <c r="D1312" s="2" t="e">
        <f>VLOOKUP(C:C,Vlookup!A:A,1,0)</f>
        <v>#N/A</v>
      </c>
      <c r="E1312" s="2">
        <v>20</v>
      </c>
      <c r="F1312" s="2" t="s">
        <v>475</v>
      </c>
      <c r="G1312" s="2" t="s">
        <v>16</v>
      </c>
      <c r="H1312" s="2" t="s">
        <v>11</v>
      </c>
      <c r="I1312" s="2">
        <v>1</v>
      </c>
      <c r="J1312" s="5">
        <v>46113</v>
      </c>
      <c r="K1312" s="5">
        <v>46118</v>
      </c>
      <c r="L1312" s="2" t="s">
        <v>865</v>
      </c>
      <c r="M1312" s="5">
        <v>46133</v>
      </c>
      <c r="N1312" s="3">
        <f>VLOOKUP(NavDataRegion[[#This Row],[Spool No]],[1]Sheet2!$B:$U,20,0)</f>
        <v>1860.3334802720001</v>
      </c>
      <c r="O1312" s="2">
        <v>99.01</v>
      </c>
      <c r="P1312" s="2">
        <v>24</v>
      </c>
      <c r="Q1312" s="2"/>
    </row>
    <row r="1313" spans="1:17" ht="20.100000000000001" customHeight="1">
      <c r="A1313" s="2" t="s">
        <v>9</v>
      </c>
      <c r="B1313" s="2" t="s">
        <v>309</v>
      </c>
      <c r="C1313" s="2" t="s">
        <v>602</v>
      </c>
      <c r="D1313" s="2" t="e">
        <f>VLOOKUP(C:C,Vlookup!A:A,1,0)</f>
        <v>#N/A</v>
      </c>
      <c r="E1313" s="2">
        <v>17</v>
      </c>
      <c r="F1313" s="2" t="s">
        <v>603</v>
      </c>
      <c r="G1313" s="2" t="s">
        <v>16</v>
      </c>
      <c r="H1313" s="2" t="s">
        <v>11</v>
      </c>
      <c r="I1313" s="2">
        <v>1</v>
      </c>
      <c r="J1313" s="5">
        <v>46107</v>
      </c>
      <c r="K1313" s="5">
        <v>46111</v>
      </c>
      <c r="L1313" s="2" t="s">
        <v>865</v>
      </c>
      <c r="M1313" s="5">
        <v>45754</v>
      </c>
      <c r="N1313" s="3">
        <f>VLOOKUP(NavDataRegion[[#This Row],[Spool No]],[1]Sheet2!$B:$U,20,0)</f>
        <v>5085.7526149650002</v>
      </c>
      <c r="O1313" s="2">
        <v>178.37401575999999</v>
      </c>
      <c r="P1313" s="2">
        <v>24</v>
      </c>
      <c r="Q1313" s="2"/>
    </row>
    <row r="1314" spans="1:17" ht="20.100000000000001" customHeight="1">
      <c r="A1314" s="10" t="s">
        <v>9</v>
      </c>
      <c r="B1314" s="10" t="s">
        <v>1369</v>
      </c>
      <c r="C1314" s="10" t="s">
        <v>1995</v>
      </c>
      <c r="D1314" s="2" t="e">
        <f>VLOOKUP(C:C,Vlookup!A:A,1,0)</f>
        <v>#N/A</v>
      </c>
      <c r="E1314" s="2">
        <v>23</v>
      </c>
      <c r="F1314" s="2"/>
      <c r="G1314" s="2" t="s">
        <v>25</v>
      </c>
      <c r="H1314" s="2" t="s">
        <v>11</v>
      </c>
      <c r="I1314" s="2">
        <v>1</v>
      </c>
      <c r="J1314" s="5">
        <v>46141</v>
      </c>
      <c r="K1314" s="5">
        <v>46147</v>
      </c>
      <c r="L1314" s="2" t="s">
        <v>865</v>
      </c>
      <c r="M1314" s="5">
        <v>46185</v>
      </c>
      <c r="N1314" s="3">
        <v>12</v>
      </c>
      <c r="O1314" s="2"/>
      <c r="P1314" s="2">
        <v>2</v>
      </c>
      <c r="Q1314" s="2"/>
    </row>
    <row r="1315" spans="1:17" ht="20.100000000000001" customHeight="1">
      <c r="A1315" s="2" t="s">
        <v>9</v>
      </c>
      <c r="B1315" s="2" t="s">
        <v>282</v>
      </c>
      <c r="C1315" s="2" t="s">
        <v>741</v>
      </c>
      <c r="D1315" s="2" t="e">
        <f>VLOOKUP(C:C,Vlookup!A:A,1,0)</f>
        <v>#N/A</v>
      </c>
      <c r="E1315" s="2">
        <v>24</v>
      </c>
      <c r="F1315" s="2" t="s">
        <v>742</v>
      </c>
      <c r="G1315" s="2" t="s">
        <v>16</v>
      </c>
      <c r="H1315" s="2" t="s">
        <v>11</v>
      </c>
      <c r="I1315" s="2">
        <v>1</v>
      </c>
      <c r="J1315" s="5">
        <v>46170</v>
      </c>
      <c r="K1315" s="5">
        <v>46175</v>
      </c>
      <c r="L1315" s="2" t="s">
        <v>865</v>
      </c>
      <c r="M1315" s="5">
        <v>46185</v>
      </c>
      <c r="N1315" s="3">
        <f>VLOOKUP(NavDataRegion[[#This Row],[Spool No]],[1]Sheet2!$B:$U,20,0)</f>
        <v>3188.8687828000002</v>
      </c>
      <c r="O1315" s="2">
        <v>106</v>
      </c>
      <c r="P1315" s="2">
        <v>12</v>
      </c>
      <c r="Q1315" s="2"/>
    </row>
    <row r="1316" spans="1:17" ht="20.100000000000001" customHeight="1">
      <c r="A1316" s="10" t="s">
        <v>9</v>
      </c>
      <c r="B1316" s="10" t="s">
        <v>1393</v>
      </c>
      <c r="C1316" s="10" t="s">
        <v>2001</v>
      </c>
      <c r="D1316" s="2" t="e">
        <f>VLOOKUP(C:C,Vlookup!A:A,1,0)</f>
        <v>#N/A</v>
      </c>
      <c r="E1316" s="2">
        <v>23</v>
      </c>
      <c r="F1316" s="2"/>
      <c r="G1316" s="10" t="s">
        <v>25</v>
      </c>
      <c r="H1316" s="2" t="s">
        <v>11</v>
      </c>
      <c r="I1316" s="2">
        <v>1</v>
      </c>
      <c r="J1316" s="5">
        <v>46170</v>
      </c>
      <c r="K1316" s="5">
        <v>46175</v>
      </c>
      <c r="L1316" s="2" t="s">
        <v>865</v>
      </c>
      <c r="M1316" s="5">
        <v>46185</v>
      </c>
      <c r="N1316" s="10">
        <v>64.265000000000001</v>
      </c>
      <c r="O1316" s="10">
        <v>3</v>
      </c>
      <c r="P1316" s="10">
        <v>1</v>
      </c>
      <c r="Q1316" s="2"/>
    </row>
    <row r="1317" spans="1:17">
      <c r="C1317" s="21"/>
    </row>
    <row r="1318" spans="1:17">
      <c r="C1318" s="1"/>
    </row>
    <row r="1319" spans="1:17">
      <c r="C1319" s="1"/>
    </row>
    <row r="1320" spans="1:17">
      <c r="C1320" s="1"/>
    </row>
    <row r="1321" spans="1:17">
      <c r="C1321" s="1"/>
    </row>
    <row r="1322" spans="1:17">
      <c r="C1322" s="1"/>
    </row>
    <row r="1323" spans="1:17">
      <c r="C1323" s="1"/>
    </row>
    <row r="1324" spans="1:17">
      <c r="C1324" s="1"/>
    </row>
    <row r="1325" spans="1:17">
      <c r="C1325" s="1"/>
    </row>
    <row r="1326" spans="1:17">
      <c r="C1326" s="1"/>
    </row>
    <row r="1327" spans="1:17">
      <c r="C1327" s="1"/>
    </row>
    <row r="1328" spans="1:17">
      <c r="C1328" s="1"/>
    </row>
    <row r="1329" spans="3:3">
      <c r="C1329" s="1"/>
    </row>
    <row r="1330" spans="3:3">
      <c r="C1330" s="1"/>
    </row>
    <row r="1331" spans="3:3">
      <c r="C1331" s="1"/>
    </row>
    <row r="1332" spans="3:3">
      <c r="C1332" s="1"/>
    </row>
    <row r="1333" spans="3:3">
      <c r="C1333" s="1"/>
    </row>
    <row r="1334" spans="3:3">
      <c r="C1334" s="1"/>
    </row>
    <row r="1335" spans="3:3">
      <c r="C1335" s="1"/>
    </row>
    <row r="1336" spans="3:3">
      <c r="C1336" s="1"/>
    </row>
    <row r="1337" spans="3:3">
      <c r="C1337" s="1"/>
    </row>
    <row r="1338" spans="3:3">
      <c r="C1338" s="1"/>
    </row>
    <row r="1339" spans="3:3">
      <c r="C1339" s="1"/>
    </row>
    <row r="1340" spans="3:3">
      <c r="C1340" s="1"/>
    </row>
    <row r="1341" spans="3:3">
      <c r="C1341" s="1"/>
    </row>
    <row r="1342" spans="3:3">
      <c r="C1342" s="1"/>
    </row>
    <row r="1343" spans="3:3">
      <c r="C1343" s="1"/>
    </row>
    <row r="1344" spans="3:3">
      <c r="C1344" s="1"/>
    </row>
    <row r="1345" spans="3:3">
      <c r="C1345" s="1"/>
    </row>
    <row r="1346" spans="3:3">
      <c r="C1346" s="1"/>
    </row>
    <row r="1347" spans="3:3">
      <c r="C1347" s="1"/>
    </row>
    <row r="1348" spans="3:3">
      <c r="C1348" s="1"/>
    </row>
    <row r="1349" spans="3:3">
      <c r="C1349" s="1"/>
    </row>
    <row r="1350" spans="3:3">
      <c r="C1350" s="1"/>
    </row>
    <row r="1351" spans="3:3">
      <c r="C1351" s="1"/>
    </row>
    <row r="1352" spans="3:3">
      <c r="C1352" s="1"/>
    </row>
    <row r="1353" spans="3:3">
      <c r="C1353" s="1"/>
    </row>
    <row r="1354" spans="3:3">
      <c r="C1354" s="1"/>
    </row>
    <row r="1355" spans="3:3">
      <c r="C1355" s="1"/>
    </row>
    <row r="1356" spans="3:3">
      <c r="C1356" s="1"/>
    </row>
    <row r="1357" spans="3:3">
      <c r="C1357" s="1"/>
    </row>
    <row r="1358" spans="3:3">
      <c r="C1358" s="1"/>
    </row>
    <row r="1359" spans="3:3">
      <c r="C1359" s="1"/>
    </row>
    <row r="1360" spans="3:3">
      <c r="C1360" s="1"/>
    </row>
    <row r="1361" spans="3:3">
      <c r="C1361" s="1"/>
    </row>
    <row r="1362" spans="3:3">
      <c r="C1362" s="1"/>
    </row>
    <row r="1363" spans="3:3">
      <c r="C1363" s="1"/>
    </row>
    <row r="1364" spans="3:3">
      <c r="C1364" s="1"/>
    </row>
    <row r="1365" spans="3:3">
      <c r="C1365" s="1"/>
    </row>
    <row r="1366" spans="3:3">
      <c r="C1366" s="1"/>
    </row>
    <row r="1367" spans="3:3">
      <c r="C1367" s="1"/>
    </row>
    <row r="1368" spans="3:3">
      <c r="C1368" s="1"/>
    </row>
    <row r="1369" spans="3:3">
      <c r="C1369" s="1"/>
    </row>
    <row r="1370" spans="3:3">
      <c r="C1370" s="1"/>
    </row>
    <row r="1371" spans="3:3">
      <c r="C1371" s="1"/>
    </row>
    <row r="1372" spans="3:3">
      <c r="C1372" s="1"/>
    </row>
    <row r="1373" spans="3:3">
      <c r="C1373" s="1"/>
    </row>
    <row r="1374" spans="3:3">
      <c r="C1374" s="1"/>
    </row>
    <row r="1375" spans="3:3">
      <c r="C1375" s="1"/>
    </row>
    <row r="1376" spans="3:3">
      <c r="C1376" s="1"/>
    </row>
    <row r="1377" spans="3:3">
      <c r="C1377" s="1"/>
    </row>
    <row r="1378" spans="3:3">
      <c r="C1378" s="1"/>
    </row>
    <row r="1379" spans="3:3">
      <c r="C1379" s="1"/>
    </row>
    <row r="1380" spans="3:3">
      <c r="C1380" s="1"/>
    </row>
    <row r="1381" spans="3:3">
      <c r="C1381" s="1"/>
    </row>
    <row r="1382" spans="3:3">
      <c r="C1382" s="1"/>
    </row>
    <row r="1383" spans="3:3">
      <c r="C1383" s="1"/>
    </row>
    <row r="1384" spans="3:3">
      <c r="C1384" s="1"/>
    </row>
    <row r="1385" spans="3:3">
      <c r="C1385" s="1"/>
    </row>
    <row r="1386" spans="3:3">
      <c r="C1386" s="1"/>
    </row>
    <row r="1387" spans="3:3">
      <c r="C1387" s="1"/>
    </row>
    <row r="1388" spans="3:3">
      <c r="C1388" s="1"/>
    </row>
    <row r="1389" spans="3:3">
      <c r="C1389" s="1"/>
    </row>
    <row r="1390" spans="3:3">
      <c r="C1390" s="1"/>
    </row>
    <row r="1391" spans="3:3">
      <c r="C1391" s="1"/>
    </row>
    <row r="1392" spans="3:3">
      <c r="C1392" s="1"/>
    </row>
    <row r="1393" spans="3:3">
      <c r="C1393" s="1"/>
    </row>
    <row r="1394" spans="3:3">
      <c r="C1394" s="1"/>
    </row>
    <row r="1395" spans="3:3">
      <c r="C1395" s="1"/>
    </row>
    <row r="1396" spans="3:3">
      <c r="C1396" s="1"/>
    </row>
    <row r="1397" spans="3:3">
      <c r="C1397" s="1"/>
    </row>
    <row r="1398" spans="3:3">
      <c r="C1398" s="1"/>
    </row>
    <row r="1399" spans="3:3">
      <c r="C1399" s="1"/>
    </row>
    <row r="1400" spans="3:3">
      <c r="C1400" s="1"/>
    </row>
    <row r="1401" spans="3:3">
      <c r="C1401" s="1"/>
    </row>
    <row r="1402" spans="3:3">
      <c r="C1402" s="1"/>
    </row>
    <row r="1403" spans="3:3">
      <c r="C1403" s="1"/>
    </row>
    <row r="1404" spans="3:3">
      <c r="C1404" s="1"/>
    </row>
    <row r="1405" spans="3:3">
      <c r="C1405" s="1"/>
    </row>
    <row r="1406" spans="3:3">
      <c r="C1406" s="1"/>
    </row>
    <row r="1407" spans="3:3">
      <c r="C1407" s="1"/>
    </row>
    <row r="1408" spans="3:3">
      <c r="C1408" s="1"/>
    </row>
    <row r="1409" spans="3:3">
      <c r="C1409" s="1"/>
    </row>
    <row r="1410" spans="3:3">
      <c r="C1410" s="1"/>
    </row>
    <row r="1411" spans="3:3">
      <c r="C1411" s="1"/>
    </row>
    <row r="1412" spans="3:3">
      <c r="C1412" s="1"/>
    </row>
    <row r="1413" spans="3:3">
      <c r="C1413" s="1"/>
    </row>
    <row r="1414" spans="3:3">
      <c r="C1414" s="1"/>
    </row>
    <row r="1415" spans="3:3">
      <c r="C1415" s="1"/>
    </row>
    <row r="1416" spans="3:3">
      <c r="C1416" s="1"/>
    </row>
    <row r="1417" spans="3:3">
      <c r="C1417" s="1"/>
    </row>
    <row r="1418" spans="3:3">
      <c r="C1418" s="1"/>
    </row>
    <row r="1419" spans="3:3">
      <c r="C1419" s="1"/>
    </row>
    <row r="1420" spans="3:3">
      <c r="C1420" s="1"/>
    </row>
    <row r="1421" spans="3:3">
      <c r="C1421" s="1"/>
    </row>
    <row r="1422" spans="3:3">
      <c r="C1422" s="1"/>
    </row>
    <row r="1423" spans="3:3">
      <c r="C1423" s="1"/>
    </row>
    <row r="1424" spans="3:3">
      <c r="C1424" s="1"/>
    </row>
    <row r="1425" spans="3:3">
      <c r="C1425" s="1"/>
    </row>
    <row r="1426" spans="3:3">
      <c r="C1426" s="1"/>
    </row>
    <row r="1427" spans="3:3">
      <c r="C1427" s="1"/>
    </row>
    <row r="1428" spans="3:3">
      <c r="C1428" s="1"/>
    </row>
    <row r="1429" spans="3:3">
      <c r="C1429" s="1"/>
    </row>
    <row r="1430" spans="3:3">
      <c r="C1430" s="1"/>
    </row>
    <row r="1431" spans="3:3">
      <c r="C1431" s="1"/>
    </row>
    <row r="1432" spans="3:3">
      <c r="C1432" s="1"/>
    </row>
    <row r="1433" spans="3:3">
      <c r="C1433" s="1"/>
    </row>
    <row r="1434" spans="3:3">
      <c r="C1434" s="1"/>
    </row>
    <row r="1435" spans="3:3">
      <c r="C1435" s="1"/>
    </row>
    <row r="1436" spans="3:3">
      <c r="C1436" s="1"/>
    </row>
    <row r="1437" spans="3:3">
      <c r="C1437" s="1"/>
    </row>
    <row r="1438" spans="3:3">
      <c r="C1438" s="1"/>
    </row>
    <row r="1439" spans="3:3">
      <c r="C1439" s="1"/>
    </row>
    <row r="1440" spans="3:3">
      <c r="C1440" s="1"/>
    </row>
    <row r="1441" spans="3:3">
      <c r="C1441" s="1"/>
    </row>
    <row r="1442" spans="3:3">
      <c r="C1442" s="1"/>
    </row>
    <row r="1443" spans="3:3">
      <c r="C1443" s="1"/>
    </row>
    <row r="1444" spans="3:3">
      <c r="C1444" s="1"/>
    </row>
    <row r="1445" spans="3:3">
      <c r="C1445" s="1"/>
    </row>
    <row r="1446" spans="3:3">
      <c r="C1446" s="1"/>
    </row>
    <row r="1447" spans="3:3">
      <c r="C1447" s="1"/>
    </row>
    <row r="1448" spans="3:3">
      <c r="C1448" s="1"/>
    </row>
    <row r="1449" spans="3:3">
      <c r="C1449" s="1"/>
    </row>
    <row r="1450" spans="3:3">
      <c r="C1450" s="1"/>
    </row>
    <row r="1451" spans="3:3">
      <c r="C1451" s="1"/>
    </row>
    <row r="1452" spans="3:3">
      <c r="C1452" s="1"/>
    </row>
    <row r="1453" spans="3:3">
      <c r="C1453" s="1"/>
    </row>
    <row r="1454" spans="3:3">
      <c r="C1454" s="1"/>
    </row>
    <row r="1455" spans="3:3">
      <c r="C1455" s="1"/>
    </row>
    <row r="1456" spans="3:3">
      <c r="C1456" s="1"/>
    </row>
    <row r="1457" spans="3:3">
      <c r="C1457" s="1"/>
    </row>
    <row r="1458" spans="3:3">
      <c r="C1458" s="1"/>
    </row>
    <row r="1459" spans="3:3">
      <c r="C1459" s="1"/>
    </row>
    <row r="1460" spans="3:3">
      <c r="C1460" s="1"/>
    </row>
    <row r="1461" spans="3:3">
      <c r="C1461" s="1"/>
    </row>
    <row r="1462" spans="3:3">
      <c r="C1462" s="1"/>
    </row>
    <row r="1463" spans="3:3">
      <c r="C1463" s="1"/>
    </row>
    <row r="1464" spans="3:3">
      <c r="C1464" s="1"/>
    </row>
    <row r="1465" spans="3:3">
      <c r="C1465" s="1"/>
    </row>
    <row r="1466" spans="3:3">
      <c r="C1466" s="1"/>
    </row>
    <row r="1467" spans="3:3">
      <c r="C1467" s="1"/>
    </row>
    <row r="1468" spans="3:3">
      <c r="C1468" s="1"/>
    </row>
    <row r="1469" spans="3:3">
      <c r="C1469" s="1"/>
    </row>
    <row r="1470" spans="3:3">
      <c r="C1470" s="1"/>
    </row>
    <row r="1471" spans="3:3">
      <c r="C1471" s="1"/>
    </row>
    <row r="1472" spans="3:3">
      <c r="C1472" s="1"/>
    </row>
    <row r="1473" spans="3:3">
      <c r="C1473" s="1"/>
    </row>
    <row r="1474" spans="3:3">
      <c r="C1474" s="1"/>
    </row>
    <row r="1475" spans="3:3">
      <c r="C1475" s="1"/>
    </row>
    <row r="1476" spans="3:3">
      <c r="C1476" s="1"/>
    </row>
    <row r="1477" spans="3:3">
      <c r="C1477" s="1"/>
    </row>
    <row r="1478" spans="3:3">
      <c r="C1478" s="1"/>
    </row>
    <row r="1479" spans="3:3">
      <c r="C1479" s="1"/>
    </row>
    <row r="1480" spans="3:3">
      <c r="C1480" s="1"/>
    </row>
    <row r="1481" spans="3:3">
      <c r="C1481" s="1"/>
    </row>
    <row r="1482" spans="3:3">
      <c r="C1482" s="1"/>
    </row>
    <row r="1483" spans="3:3">
      <c r="C1483" s="1"/>
    </row>
    <row r="1484" spans="3:3">
      <c r="C1484" s="1"/>
    </row>
    <row r="1485" spans="3:3">
      <c r="C1485" s="1"/>
    </row>
    <row r="1486" spans="3:3">
      <c r="C1486" s="1"/>
    </row>
    <row r="1487" spans="3:3">
      <c r="C1487" s="1"/>
    </row>
    <row r="1488" spans="3:3">
      <c r="C1488" s="1"/>
    </row>
    <row r="1489" spans="3:3">
      <c r="C1489" s="1"/>
    </row>
    <row r="1490" spans="3:3">
      <c r="C1490" s="1"/>
    </row>
    <row r="1491" spans="3:3">
      <c r="C1491" s="1"/>
    </row>
    <row r="1492" spans="3:3">
      <c r="C1492" s="1"/>
    </row>
    <row r="1493" spans="3:3">
      <c r="C1493" s="1"/>
    </row>
    <row r="1494" spans="3:3">
      <c r="C1494" s="1"/>
    </row>
    <row r="1495" spans="3:3">
      <c r="C1495" s="1"/>
    </row>
    <row r="1496" spans="3:3">
      <c r="C1496" s="1"/>
    </row>
    <row r="1497" spans="3:3">
      <c r="C1497" s="1"/>
    </row>
    <row r="1498" spans="3:3">
      <c r="C1498" s="1"/>
    </row>
    <row r="1499" spans="3:3">
      <c r="C1499" s="1"/>
    </row>
    <row r="1500" spans="3:3">
      <c r="C1500" s="1"/>
    </row>
    <row r="1501" spans="3:3">
      <c r="C1501" s="1"/>
    </row>
    <row r="1502" spans="3:3">
      <c r="C1502" s="1"/>
    </row>
    <row r="1503" spans="3:3">
      <c r="C1503" s="1"/>
    </row>
    <row r="1504" spans="3:3">
      <c r="C1504" s="1"/>
    </row>
    <row r="1505" spans="3:3">
      <c r="C1505" s="1"/>
    </row>
    <row r="1506" spans="3:3">
      <c r="C1506" s="1"/>
    </row>
    <row r="1507" spans="3:3">
      <c r="C1507" s="1"/>
    </row>
    <row r="1508" spans="3:3">
      <c r="C1508" s="1"/>
    </row>
    <row r="1509" spans="3:3">
      <c r="C1509" s="1"/>
    </row>
    <row r="1510" spans="3:3">
      <c r="C1510" s="1"/>
    </row>
    <row r="1511" spans="3:3">
      <c r="C1511" s="1"/>
    </row>
    <row r="1512" spans="3:3">
      <c r="C1512" s="1"/>
    </row>
    <row r="1513" spans="3:3">
      <c r="C1513" s="1"/>
    </row>
    <row r="1514" spans="3:3">
      <c r="C1514" s="1"/>
    </row>
    <row r="1515" spans="3:3">
      <c r="C1515" s="1"/>
    </row>
    <row r="1516" spans="3:3">
      <c r="C1516" s="1"/>
    </row>
    <row r="1517" spans="3:3">
      <c r="C1517" s="1"/>
    </row>
    <row r="1518" spans="3:3">
      <c r="C1518" s="1"/>
    </row>
    <row r="1519" spans="3:3">
      <c r="C1519" s="1"/>
    </row>
    <row r="1520" spans="3:3">
      <c r="C1520" s="1"/>
    </row>
    <row r="1521" spans="3:3">
      <c r="C1521" s="1"/>
    </row>
    <row r="1522" spans="3:3">
      <c r="C1522" s="1"/>
    </row>
    <row r="1523" spans="3:3">
      <c r="C1523" s="1"/>
    </row>
    <row r="1524" spans="3:3">
      <c r="C1524" s="1"/>
    </row>
    <row r="1525" spans="3:3">
      <c r="C1525" s="1"/>
    </row>
    <row r="1526" spans="3:3">
      <c r="C1526" s="1"/>
    </row>
    <row r="1527" spans="3:3">
      <c r="C1527" s="1"/>
    </row>
    <row r="1528" spans="3:3">
      <c r="C1528" s="1"/>
    </row>
    <row r="1529" spans="3:3">
      <c r="C1529" s="1"/>
    </row>
    <row r="1530" spans="3:3">
      <c r="C1530" s="1"/>
    </row>
    <row r="1531" spans="3:3">
      <c r="C1531" s="1"/>
    </row>
    <row r="1532" spans="3:3">
      <c r="C1532" s="1"/>
    </row>
    <row r="1533" spans="3:3">
      <c r="C1533" s="1"/>
    </row>
    <row r="1534" spans="3:3">
      <c r="C1534" s="1"/>
    </row>
    <row r="1535" spans="3:3">
      <c r="C1535" s="1"/>
    </row>
    <row r="1536" spans="3:3">
      <c r="C1536" s="1"/>
    </row>
    <row r="1537" spans="3:3">
      <c r="C1537" s="1"/>
    </row>
    <row r="1538" spans="3:3">
      <c r="C1538" s="1"/>
    </row>
    <row r="1539" spans="3:3">
      <c r="C1539" s="1"/>
    </row>
    <row r="1540" spans="3:3">
      <c r="C1540" s="1"/>
    </row>
    <row r="1541" spans="3:3">
      <c r="C1541" s="1"/>
    </row>
    <row r="1542" spans="3:3">
      <c r="C1542" s="1"/>
    </row>
    <row r="1543" spans="3:3">
      <c r="C1543" s="1"/>
    </row>
    <row r="1544" spans="3:3">
      <c r="C1544" s="1"/>
    </row>
    <row r="1545" spans="3:3">
      <c r="C1545" s="1"/>
    </row>
    <row r="1546" spans="3:3">
      <c r="C1546" s="1"/>
    </row>
    <row r="1547" spans="3:3">
      <c r="C1547" s="1"/>
    </row>
    <row r="1548" spans="3:3">
      <c r="C1548" s="1"/>
    </row>
    <row r="1549" spans="3:3">
      <c r="C1549" s="1"/>
    </row>
    <row r="1550" spans="3:3">
      <c r="C1550" s="1"/>
    </row>
    <row r="1551" spans="3:3">
      <c r="C1551" s="1"/>
    </row>
    <row r="1552" spans="3:3">
      <c r="C1552" s="1"/>
    </row>
    <row r="1553" spans="3:3">
      <c r="C1553" s="1"/>
    </row>
    <row r="1554" spans="3:3">
      <c r="C1554" s="1"/>
    </row>
    <row r="1555" spans="3:3">
      <c r="C1555" s="1"/>
    </row>
    <row r="1556" spans="3:3">
      <c r="C1556" s="1"/>
    </row>
    <row r="1557" spans="3:3">
      <c r="C1557" s="1"/>
    </row>
    <row r="1558" spans="3:3">
      <c r="C1558" s="1"/>
    </row>
    <row r="1559" spans="3:3">
      <c r="C1559" s="1"/>
    </row>
    <row r="1560" spans="3:3">
      <c r="C1560" s="1"/>
    </row>
    <row r="1561" spans="3:3">
      <c r="C1561" s="1"/>
    </row>
    <row r="1562" spans="3:3">
      <c r="C1562" s="1"/>
    </row>
    <row r="1563" spans="3:3">
      <c r="C1563" s="1"/>
    </row>
    <row r="1564" spans="3:3">
      <c r="C1564" s="1"/>
    </row>
    <row r="1565" spans="3:3">
      <c r="C1565" s="1"/>
    </row>
    <row r="1566" spans="3:3">
      <c r="C1566" s="1"/>
    </row>
    <row r="1567" spans="3:3">
      <c r="C1567" s="1"/>
    </row>
    <row r="1568" spans="3:3">
      <c r="C1568" s="1"/>
    </row>
    <row r="1569" spans="3:3">
      <c r="C1569" s="1"/>
    </row>
    <row r="1570" spans="3:3">
      <c r="C1570" s="1"/>
    </row>
    <row r="1571" spans="3:3">
      <c r="C1571" s="1"/>
    </row>
    <row r="1572" spans="3:3">
      <c r="C1572" s="1"/>
    </row>
    <row r="1573" spans="3:3">
      <c r="C1573" s="1"/>
    </row>
    <row r="1574" spans="3:3">
      <c r="C1574" s="1"/>
    </row>
    <row r="1575" spans="3:3">
      <c r="C1575" s="1"/>
    </row>
    <row r="1576" spans="3:3">
      <c r="C1576" s="1"/>
    </row>
    <row r="1577" spans="3:3">
      <c r="C1577" s="1"/>
    </row>
    <row r="1578" spans="3:3">
      <c r="C1578" s="1"/>
    </row>
    <row r="1579" spans="3:3">
      <c r="C1579" s="1"/>
    </row>
    <row r="1580" spans="3:3">
      <c r="C1580" s="1"/>
    </row>
    <row r="1581" spans="3:3">
      <c r="C1581" s="1"/>
    </row>
    <row r="1582" spans="3:3">
      <c r="C1582" s="1"/>
    </row>
    <row r="1583" spans="3:3">
      <c r="C1583" s="1"/>
    </row>
    <row r="1584" spans="3:3">
      <c r="C1584" s="1"/>
    </row>
    <row r="1585" spans="3:3">
      <c r="C1585" s="1"/>
    </row>
    <row r="1586" spans="3:3">
      <c r="C1586" s="1"/>
    </row>
    <row r="1587" spans="3:3">
      <c r="C1587" s="1"/>
    </row>
    <row r="1588" spans="3:3">
      <c r="C1588" s="1"/>
    </row>
    <row r="1589" spans="3:3">
      <c r="C1589" s="1"/>
    </row>
    <row r="1590" spans="3:3">
      <c r="C1590" s="1"/>
    </row>
    <row r="1591" spans="3:3">
      <c r="C1591" s="1"/>
    </row>
    <row r="1592" spans="3:3">
      <c r="C1592" s="1"/>
    </row>
    <row r="1593" spans="3:3">
      <c r="C1593" s="1"/>
    </row>
    <row r="1594" spans="3:3">
      <c r="C1594" s="1"/>
    </row>
    <row r="1595" spans="3:3">
      <c r="C1595" s="1"/>
    </row>
    <row r="1596" spans="3:3">
      <c r="C1596" s="1"/>
    </row>
    <row r="1597" spans="3:3">
      <c r="C1597" s="1"/>
    </row>
    <row r="1598" spans="3:3">
      <c r="C1598" s="1"/>
    </row>
    <row r="1599" spans="3:3">
      <c r="C1599" s="1"/>
    </row>
    <row r="1600" spans="3:3">
      <c r="C1600" s="1"/>
    </row>
    <row r="1601" spans="3:3">
      <c r="C1601" s="1"/>
    </row>
    <row r="1602" spans="3:3">
      <c r="C1602" s="1"/>
    </row>
    <row r="1603" spans="3:3">
      <c r="C1603" s="1"/>
    </row>
    <row r="1604" spans="3:3">
      <c r="C1604" s="1"/>
    </row>
    <row r="1605" spans="3:3">
      <c r="C1605" s="1"/>
    </row>
    <row r="1606" spans="3:3">
      <c r="C1606" s="1"/>
    </row>
    <row r="1607" spans="3:3">
      <c r="C1607" s="1"/>
    </row>
    <row r="1608" spans="3:3">
      <c r="C1608" s="1"/>
    </row>
    <row r="1609" spans="3:3">
      <c r="C1609" s="1"/>
    </row>
    <row r="1610" spans="3:3">
      <c r="C1610" s="1"/>
    </row>
    <row r="1611" spans="3:3">
      <c r="C1611" s="1"/>
    </row>
    <row r="1612" spans="3:3">
      <c r="C1612" s="1"/>
    </row>
    <row r="1613" spans="3:3">
      <c r="C1613" s="1"/>
    </row>
    <row r="1614" spans="3:3">
      <c r="C1614" s="1"/>
    </row>
    <row r="1615" spans="3:3">
      <c r="C1615" s="1"/>
    </row>
    <row r="1616" spans="3:3">
      <c r="C1616" s="1"/>
    </row>
    <row r="1617" spans="3:3">
      <c r="C1617" s="1"/>
    </row>
    <row r="1618" spans="3:3">
      <c r="C1618" s="1"/>
    </row>
    <row r="1619" spans="3:3">
      <c r="C1619" s="1"/>
    </row>
    <row r="1620" spans="3:3">
      <c r="C1620" s="1"/>
    </row>
    <row r="1621" spans="3:3">
      <c r="C1621" s="1"/>
    </row>
    <row r="1622" spans="3:3">
      <c r="C1622" s="1"/>
    </row>
    <row r="1623" spans="3:3">
      <c r="C1623" s="1"/>
    </row>
    <row r="1624" spans="3:3">
      <c r="C1624" s="1"/>
    </row>
    <row r="1625" spans="3:3">
      <c r="C1625" s="1"/>
    </row>
    <row r="1626" spans="3:3">
      <c r="C1626" s="1"/>
    </row>
    <row r="1627" spans="3:3">
      <c r="C1627" s="1"/>
    </row>
    <row r="1628" spans="3:3">
      <c r="C1628" s="1"/>
    </row>
    <row r="1629" spans="3:3">
      <c r="C1629" s="1"/>
    </row>
    <row r="1630" spans="3:3">
      <c r="C1630" s="1"/>
    </row>
    <row r="1631" spans="3:3">
      <c r="C1631" s="1"/>
    </row>
    <row r="1632" spans="3:3">
      <c r="C1632" s="1"/>
    </row>
    <row r="1633" spans="3:3">
      <c r="C1633" s="1"/>
    </row>
    <row r="1634" spans="3:3">
      <c r="C1634" s="1"/>
    </row>
    <row r="1635" spans="3:3">
      <c r="C1635" s="1"/>
    </row>
    <row r="1636" spans="3:3">
      <c r="C1636" s="1"/>
    </row>
    <row r="1637" spans="3:3">
      <c r="C1637" s="1"/>
    </row>
    <row r="1638" spans="3:3">
      <c r="C1638" s="1"/>
    </row>
    <row r="1639" spans="3:3">
      <c r="C1639" s="1"/>
    </row>
    <row r="1640" spans="3:3">
      <c r="C1640" s="1"/>
    </row>
    <row r="1641" spans="3:3">
      <c r="C1641" s="1"/>
    </row>
    <row r="1642" spans="3:3">
      <c r="C1642" s="1"/>
    </row>
    <row r="1643" spans="3:3">
      <c r="C1643" s="1"/>
    </row>
    <row r="1644" spans="3:3">
      <c r="C1644" s="1"/>
    </row>
    <row r="1645" spans="3:3">
      <c r="C1645" s="1"/>
    </row>
    <row r="1646" spans="3:3">
      <c r="C1646" s="1"/>
    </row>
    <row r="1647" spans="3:3">
      <c r="C1647" s="1"/>
    </row>
    <row r="1648" spans="3:3">
      <c r="C1648" s="1"/>
    </row>
    <row r="1649" spans="3:3">
      <c r="C1649" s="1"/>
    </row>
    <row r="1650" spans="3:3">
      <c r="C1650" s="1"/>
    </row>
    <row r="1651" spans="3:3">
      <c r="C1651" s="1"/>
    </row>
    <row r="1652" spans="3:3">
      <c r="C1652" s="1"/>
    </row>
    <row r="1653" spans="3:3">
      <c r="C1653" s="1"/>
    </row>
    <row r="1654" spans="3:3">
      <c r="C1654" s="1"/>
    </row>
    <row r="1655" spans="3:3">
      <c r="C1655" s="1"/>
    </row>
    <row r="1656" spans="3:3">
      <c r="C1656" s="1"/>
    </row>
    <row r="1657" spans="3:3">
      <c r="C1657" s="1"/>
    </row>
    <row r="1658" spans="3:3">
      <c r="C1658" s="1"/>
    </row>
    <row r="1659" spans="3:3">
      <c r="C1659" s="1"/>
    </row>
    <row r="1660" spans="3:3">
      <c r="C1660" s="1"/>
    </row>
    <row r="1661" spans="3:3">
      <c r="C1661" s="1"/>
    </row>
    <row r="1662" spans="3:3">
      <c r="C1662" s="1"/>
    </row>
    <row r="1663" spans="3:3">
      <c r="C1663" s="1"/>
    </row>
    <row r="1664" spans="3:3">
      <c r="C1664" s="1"/>
    </row>
    <row r="1665" spans="3:3">
      <c r="C1665" s="1"/>
    </row>
    <row r="1666" spans="3:3">
      <c r="C1666" s="1"/>
    </row>
    <row r="1667" spans="3:3">
      <c r="C1667" s="1"/>
    </row>
    <row r="1668" spans="3:3">
      <c r="C1668" s="1"/>
    </row>
    <row r="1669" spans="3:3">
      <c r="C1669" s="1"/>
    </row>
    <row r="1670" spans="3:3">
      <c r="C1670" s="1"/>
    </row>
    <row r="1671" spans="3:3">
      <c r="C1671" s="1"/>
    </row>
    <row r="1672" spans="3:3">
      <c r="C1672" s="1"/>
    </row>
    <row r="1673" spans="3:3">
      <c r="C1673" s="1"/>
    </row>
    <row r="1674" spans="3:3">
      <c r="C1674" s="1"/>
    </row>
    <row r="1675" spans="3:3">
      <c r="C1675" s="1"/>
    </row>
    <row r="1676" spans="3:3">
      <c r="C1676" s="1"/>
    </row>
    <row r="1677" spans="3:3">
      <c r="C1677" s="1"/>
    </row>
    <row r="1678" spans="3:3">
      <c r="C1678" s="1"/>
    </row>
    <row r="1679" spans="3:3">
      <c r="C1679" s="1"/>
    </row>
    <row r="1680" spans="3:3">
      <c r="C1680" s="1"/>
    </row>
    <row r="1681" spans="3:3">
      <c r="C1681" s="1"/>
    </row>
    <row r="1682" spans="3:3">
      <c r="C1682" s="1"/>
    </row>
    <row r="1683" spans="3:3">
      <c r="C1683" s="1"/>
    </row>
    <row r="1684" spans="3:3">
      <c r="C1684" s="1"/>
    </row>
    <row r="1685" spans="3:3">
      <c r="C1685" s="1"/>
    </row>
    <row r="1686" spans="3:3">
      <c r="C1686" s="1"/>
    </row>
    <row r="1687" spans="3:3">
      <c r="C1687" s="1"/>
    </row>
    <row r="1688" spans="3:3">
      <c r="C1688" s="1"/>
    </row>
    <row r="1689" spans="3:3">
      <c r="C1689" s="1"/>
    </row>
    <row r="1690" spans="3:3">
      <c r="C1690" s="1"/>
    </row>
    <row r="1691" spans="3:3">
      <c r="C1691" s="1"/>
    </row>
    <row r="1692" spans="3:3">
      <c r="C1692" s="1"/>
    </row>
    <row r="1693" spans="3:3">
      <c r="C1693" s="1"/>
    </row>
    <row r="1694" spans="3:3">
      <c r="C1694" s="1"/>
    </row>
    <row r="1695" spans="3:3">
      <c r="C1695" s="1"/>
    </row>
    <row r="1696" spans="3:3">
      <c r="C1696" s="1"/>
    </row>
    <row r="1697" spans="3:3">
      <c r="C1697" s="1"/>
    </row>
    <row r="1698" spans="3:3">
      <c r="C1698" s="1"/>
    </row>
    <row r="1699" spans="3:3">
      <c r="C1699" s="1"/>
    </row>
    <row r="1700" spans="3:3">
      <c r="C1700" s="1"/>
    </row>
    <row r="1701" spans="3:3">
      <c r="C1701" s="1"/>
    </row>
    <row r="1702" spans="3:3">
      <c r="C1702" s="1"/>
    </row>
    <row r="1703" spans="3:3">
      <c r="C1703" s="1"/>
    </row>
    <row r="1704" spans="3:3">
      <c r="C1704" s="1"/>
    </row>
    <row r="1705" spans="3:3">
      <c r="C1705" s="1"/>
    </row>
    <row r="1706" spans="3:3">
      <c r="C1706" s="1"/>
    </row>
    <row r="1707" spans="3:3">
      <c r="C1707" s="1"/>
    </row>
    <row r="1708" spans="3:3">
      <c r="C1708" s="1"/>
    </row>
    <row r="1709" spans="3:3">
      <c r="C1709" s="1"/>
    </row>
    <row r="1710" spans="3:3">
      <c r="C1710" s="1"/>
    </row>
    <row r="1711" spans="3:3">
      <c r="C1711" s="1"/>
    </row>
    <row r="1712" spans="3:3">
      <c r="C1712" s="1"/>
    </row>
    <row r="1713" spans="3:3">
      <c r="C1713" s="1"/>
    </row>
    <row r="1714" spans="3:3">
      <c r="C1714" s="1"/>
    </row>
    <row r="1715" spans="3:3">
      <c r="C1715" s="1"/>
    </row>
    <row r="1716" spans="3:3">
      <c r="C1716" s="1"/>
    </row>
    <row r="1717" spans="3:3">
      <c r="C1717" s="1"/>
    </row>
    <row r="1718" spans="3:3">
      <c r="C1718" s="1"/>
    </row>
    <row r="1719" spans="3:3">
      <c r="C1719" s="1"/>
    </row>
    <row r="1720" spans="3:3">
      <c r="C1720" s="1"/>
    </row>
    <row r="1721" spans="3:3">
      <c r="C1721" s="1"/>
    </row>
    <row r="1722" spans="3:3">
      <c r="C1722" s="1"/>
    </row>
    <row r="1723" spans="3:3">
      <c r="C1723" s="1"/>
    </row>
    <row r="1724" spans="3:3">
      <c r="C1724" s="1"/>
    </row>
    <row r="1725" spans="3:3">
      <c r="C1725" s="1"/>
    </row>
    <row r="1726" spans="3:3">
      <c r="C1726" s="1"/>
    </row>
    <row r="1727" spans="3:3">
      <c r="C1727" s="1"/>
    </row>
    <row r="1728" spans="3:3">
      <c r="C1728" s="1"/>
    </row>
    <row r="1729" spans="3:3">
      <c r="C1729" s="1"/>
    </row>
    <row r="1730" spans="3:3">
      <c r="C1730" s="1"/>
    </row>
    <row r="1731" spans="3:3">
      <c r="C1731" s="1"/>
    </row>
    <row r="1732" spans="3:3">
      <c r="C1732" s="1"/>
    </row>
    <row r="1733" spans="3:3">
      <c r="C1733" s="1"/>
    </row>
    <row r="1734" spans="3:3">
      <c r="C1734" s="1"/>
    </row>
    <row r="1735" spans="3:3">
      <c r="C1735" s="1"/>
    </row>
    <row r="1736" spans="3:3">
      <c r="C1736" s="1"/>
    </row>
    <row r="1737" spans="3:3">
      <c r="C1737" s="1"/>
    </row>
    <row r="1738" spans="3:3">
      <c r="C1738" s="1"/>
    </row>
    <row r="1739" spans="3:3">
      <c r="C1739" s="1"/>
    </row>
    <row r="1740" spans="3:3">
      <c r="C1740" s="1"/>
    </row>
    <row r="1741" spans="3:3">
      <c r="C1741" s="1"/>
    </row>
    <row r="1742" spans="3:3">
      <c r="C1742" s="1"/>
    </row>
    <row r="1743" spans="3:3">
      <c r="C1743" s="1"/>
    </row>
    <row r="1744" spans="3:3">
      <c r="C1744" s="1"/>
    </row>
    <row r="1745" spans="3:3">
      <c r="C1745" s="1"/>
    </row>
    <row r="1746" spans="3:3">
      <c r="C1746" s="1"/>
    </row>
    <row r="1747" spans="3:3">
      <c r="C1747" s="1"/>
    </row>
    <row r="1748" spans="3:3">
      <c r="C1748" s="1"/>
    </row>
    <row r="1749" spans="3:3">
      <c r="C1749" s="1"/>
    </row>
    <row r="1750" spans="3:3">
      <c r="C1750" s="1"/>
    </row>
    <row r="1751" spans="3:3">
      <c r="C1751" s="1"/>
    </row>
    <row r="1752" spans="3:3">
      <c r="C1752" s="1"/>
    </row>
    <row r="1753" spans="3:3">
      <c r="C1753" s="1"/>
    </row>
    <row r="1754" spans="3:3">
      <c r="C1754" s="1"/>
    </row>
    <row r="1755" spans="3:3">
      <c r="C1755" s="1"/>
    </row>
    <row r="1756" spans="3:3">
      <c r="C1756" s="1"/>
    </row>
    <row r="1757" spans="3:3">
      <c r="C1757" s="1"/>
    </row>
    <row r="1758" spans="3:3">
      <c r="C1758" s="1"/>
    </row>
    <row r="1759" spans="3:3">
      <c r="C1759" s="1"/>
    </row>
    <row r="1760" spans="3:3">
      <c r="C1760" s="1"/>
    </row>
    <row r="1761" spans="3:3">
      <c r="C1761" s="1"/>
    </row>
    <row r="1762" spans="3:3">
      <c r="C1762" s="1"/>
    </row>
    <row r="1763" spans="3:3">
      <c r="C1763" s="1"/>
    </row>
    <row r="1764" spans="3:3">
      <c r="C1764" s="1"/>
    </row>
    <row r="1765" spans="3:3">
      <c r="C1765" s="1"/>
    </row>
    <row r="1766" spans="3:3">
      <c r="C1766" s="1"/>
    </row>
    <row r="1767" spans="3:3">
      <c r="C1767" s="1"/>
    </row>
    <row r="1768" spans="3:3">
      <c r="C1768" s="1"/>
    </row>
    <row r="1769" spans="3:3">
      <c r="C1769" s="1"/>
    </row>
    <row r="1770" spans="3:3">
      <c r="C1770" s="1"/>
    </row>
    <row r="1771" spans="3:3">
      <c r="C1771" s="1"/>
    </row>
    <row r="1772" spans="3:3">
      <c r="C1772" s="1"/>
    </row>
    <row r="1773" spans="3:3">
      <c r="C1773" s="1"/>
    </row>
    <row r="1774" spans="3:3">
      <c r="C1774" s="1"/>
    </row>
    <row r="1775" spans="3:3">
      <c r="C1775" s="1"/>
    </row>
    <row r="1776" spans="3:3">
      <c r="C1776" s="1"/>
    </row>
    <row r="1777" spans="3:3">
      <c r="C1777" s="1"/>
    </row>
    <row r="1778" spans="3:3">
      <c r="C1778" s="1"/>
    </row>
    <row r="1779" spans="3:3">
      <c r="C1779" s="1"/>
    </row>
    <row r="1780" spans="3:3">
      <c r="C1780" s="1"/>
    </row>
    <row r="1781" spans="3:3">
      <c r="C1781" s="1"/>
    </row>
    <row r="1782" spans="3:3">
      <c r="C1782" s="1"/>
    </row>
    <row r="1783" spans="3:3">
      <c r="C1783" s="1"/>
    </row>
    <row r="1784" spans="3:3">
      <c r="C1784" s="1"/>
    </row>
    <row r="1785" spans="3:3">
      <c r="C1785" s="1"/>
    </row>
    <row r="1786" spans="3:3">
      <c r="C1786" s="1"/>
    </row>
    <row r="1787" spans="3:3">
      <c r="C1787" s="1"/>
    </row>
    <row r="1788" spans="3:3">
      <c r="C1788" s="1"/>
    </row>
    <row r="1789" spans="3:3">
      <c r="C1789" s="1"/>
    </row>
    <row r="1790" spans="3:3">
      <c r="C1790" s="1"/>
    </row>
    <row r="1791" spans="3:3">
      <c r="C1791" s="1"/>
    </row>
    <row r="1792" spans="3:3">
      <c r="C1792" s="1"/>
    </row>
    <row r="1793" spans="3:3">
      <c r="C1793" s="1"/>
    </row>
    <row r="1794" spans="3:3">
      <c r="C1794" s="1"/>
    </row>
    <row r="1795" spans="3:3">
      <c r="C1795" s="1"/>
    </row>
    <row r="1796" spans="3:3">
      <c r="C1796" s="1"/>
    </row>
    <row r="1797" spans="3:3">
      <c r="C1797" s="1"/>
    </row>
    <row r="1798" spans="3:3">
      <c r="C1798" s="1"/>
    </row>
    <row r="1799" spans="3:3">
      <c r="C1799" s="1"/>
    </row>
    <row r="1800" spans="3:3">
      <c r="C1800" s="1"/>
    </row>
    <row r="1801" spans="3:3">
      <c r="C1801" s="1"/>
    </row>
    <row r="1802" spans="3:3">
      <c r="C1802" s="1"/>
    </row>
    <row r="1803" spans="3:3">
      <c r="C1803" s="1"/>
    </row>
    <row r="1804" spans="3:3">
      <c r="C1804" s="1"/>
    </row>
    <row r="1805" spans="3:3">
      <c r="C1805" s="1"/>
    </row>
    <row r="1806" spans="3:3">
      <c r="C1806" s="1"/>
    </row>
    <row r="1807" spans="3:3">
      <c r="C1807" s="1"/>
    </row>
    <row r="1808" spans="3:3">
      <c r="C1808" s="1"/>
    </row>
    <row r="1809" spans="3:3">
      <c r="C1809" s="1"/>
    </row>
    <row r="1810" spans="3:3">
      <c r="C1810" s="1"/>
    </row>
    <row r="1811" spans="3:3">
      <c r="C1811" s="1"/>
    </row>
    <row r="1812" spans="3:3">
      <c r="C1812" s="1"/>
    </row>
    <row r="1813" spans="3:3">
      <c r="C1813" s="1"/>
    </row>
    <row r="1814" spans="3:3">
      <c r="C1814" s="1"/>
    </row>
    <row r="1815" spans="3:3">
      <c r="C1815" s="1"/>
    </row>
    <row r="1816" spans="3:3">
      <c r="C1816" s="1"/>
    </row>
    <row r="1817" spans="3:3">
      <c r="C1817" s="1"/>
    </row>
    <row r="1818" spans="3:3">
      <c r="C1818" s="1"/>
    </row>
    <row r="1819" spans="3:3">
      <c r="C1819" s="1"/>
    </row>
    <row r="1820" spans="3:3">
      <c r="C1820" s="1"/>
    </row>
    <row r="1821" spans="3:3">
      <c r="C1821" s="1"/>
    </row>
    <row r="1822" spans="3:3">
      <c r="C1822" s="1"/>
    </row>
    <row r="1823" spans="3:3">
      <c r="C1823" s="1"/>
    </row>
    <row r="1824" spans="3:3">
      <c r="C1824" s="1"/>
    </row>
    <row r="1825" spans="3:3">
      <c r="C1825" s="1"/>
    </row>
    <row r="1826" spans="3:3">
      <c r="C1826" s="1"/>
    </row>
    <row r="1827" spans="3:3">
      <c r="C1827" s="1"/>
    </row>
    <row r="1828" spans="3:3">
      <c r="C1828" s="1"/>
    </row>
    <row r="1829" spans="3:3">
      <c r="C1829" s="1"/>
    </row>
    <row r="1830" spans="3:3">
      <c r="C1830" s="1"/>
    </row>
    <row r="1831" spans="3:3">
      <c r="C1831" s="1"/>
    </row>
    <row r="1832" spans="3:3">
      <c r="C1832" s="1"/>
    </row>
    <row r="1833" spans="3:3">
      <c r="C1833" s="1"/>
    </row>
    <row r="1834" spans="3:3">
      <c r="C1834" s="1"/>
    </row>
    <row r="1835" spans="3:3">
      <c r="C1835" s="1"/>
    </row>
    <row r="1836" spans="3:3">
      <c r="C1836" s="1"/>
    </row>
    <row r="1837" spans="3:3">
      <c r="C1837" s="1"/>
    </row>
    <row r="1838" spans="3:3">
      <c r="C1838" s="1"/>
    </row>
    <row r="1839" spans="3:3">
      <c r="C1839" s="1"/>
    </row>
    <row r="1840" spans="3:3">
      <c r="C1840" s="1"/>
    </row>
    <row r="1841" spans="3:3">
      <c r="C1841" s="1"/>
    </row>
    <row r="1842" spans="3:3">
      <c r="C1842" s="1"/>
    </row>
    <row r="1843" spans="3:3">
      <c r="C1843" s="1"/>
    </row>
    <row r="1844" spans="3:3">
      <c r="C1844" s="1"/>
    </row>
    <row r="1845" spans="3:3">
      <c r="C1845" s="1"/>
    </row>
    <row r="1846" spans="3:3">
      <c r="C1846" s="1"/>
    </row>
    <row r="1847" spans="3:3">
      <c r="C1847" s="1"/>
    </row>
    <row r="1848" spans="3:3">
      <c r="C1848" s="1"/>
    </row>
    <row r="1849" spans="3:3">
      <c r="C1849" s="1"/>
    </row>
    <row r="1850" spans="3:3">
      <c r="C1850" s="1"/>
    </row>
    <row r="1851" spans="3:3">
      <c r="C1851" s="1"/>
    </row>
    <row r="1852" spans="3:3">
      <c r="C1852" s="1"/>
    </row>
    <row r="1853" spans="3:3">
      <c r="C1853" s="1"/>
    </row>
    <row r="1854" spans="3:3">
      <c r="C1854" s="1"/>
    </row>
    <row r="1855" spans="3:3">
      <c r="C1855" s="1"/>
    </row>
    <row r="1856" spans="3:3">
      <c r="C1856" s="1"/>
    </row>
    <row r="1857" spans="3:3">
      <c r="C1857" s="1"/>
    </row>
    <row r="1858" spans="3:3">
      <c r="C1858" s="1"/>
    </row>
    <row r="1859" spans="3:3">
      <c r="C1859" s="1"/>
    </row>
    <row r="1860" spans="3:3">
      <c r="C1860" s="1"/>
    </row>
    <row r="1861" spans="3:3">
      <c r="C1861" s="1"/>
    </row>
    <row r="1862" spans="3:3">
      <c r="C1862" s="1"/>
    </row>
    <row r="1863" spans="3:3">
      <c r="C1863" s="1"/>
    </row>
    <row r="1864" spans="3:3">
      <c r="C1864" s="1"/>
    </row>
    <row r="1865" spans="3:3">
      <c r="C1865" s="1"/>
    </row>
    <row r="1866" spans="3:3">
      <c r="C1866" s="1"/>
    </row>
    <row r="1867" spans="3:3">
      <c r="C1867" s="1"/>
    </row>
    <row r="1868" spans="3:3">
      <c r="C1868" s="1"/>
    </row>
    <row r="1869" spans="3:3">
      <c r="C1869" s="1"/>
    </row>
    <row r="1870" spans="3:3">
      <c r="C1870" s="1"/>
    </row>
    <row r="1871" spans="3:3">
      <c r="C1871" s="1"/>
    </row>
    <row r="1872" spans="3:3">
      <c r="C1872" s="1"/>
    </row>
    <row r="1873" spans="3:3">
      <c r="C1873" s="1"/>
    </row>
    <row r="1874" spans="3:3">
      <c r="C1874" s="1"/>
    </row>
    <row r="1875" spans="3:3">
      <c r="C1875" s="1"/>
    </row>
    <row r="1876" spans="3:3">
      <c r="C1876" s="1"/>
    </row>
    <row r="1877" spans="3:3">
      <c r="C1877" s="1"/>
    </row>
    <row r="1878" spans="3:3">
      <c r="C1878" s="1"/>
    </row>
    <row r="1879" spans="3:3">
      <c r="C1879" s="1"/>
    </row>
    <row r="1880" spans="3:3">
      <c r="C1880" s="1"/>
    </row>
    <row r="1881" spans="3:3">
      <c r="C1881" s="1"/>
    </row>
    <row r="1882" spans="3:3">
      <c r="C1882" s="1"/>
    </row>
    <row r="1883" spans="3:3">
      <c r="C1883" s="1"/>
    </row>
    <row r="1884" spans="3:3">
      <c r="C1884" s="1"/>
    </row>
    <row r="1885" spans="3:3">
      <c r="C1885" s="1"/>
    </row>
    <row r="1886" spans="3:3">
      <c r="C1886" s="1"/>
    </row>
    <row r="1887" spans="3:3">
      <c r="C1887" s="1"/>
    </row>
    <row r="1888" spans="3:3">
      <c r="C1888" s="1"/>
    </row>
    <row r="1889" spans="3:3">
      <c r="C1889" s="1"/>
    </row>
    <row r="1890" spans="3:3">
      <c r="C1890" s="1"/>
    </row>
    <row r="1891" spans="3:3">
      <c r="C1891" s="1"/>
    </row>
    <row r="1892" spans="3:3">
      <c r="C1892" s="1"/>
    </row>
    <row r="1893" spans="3:3">
      <c r="C1893" s="1"/>
    </row>
    <row r="1894" spans="3:3">
      <c r="C1894" s="1"/>
    </row>
    <row r="1895" spans="3:3">
      <c r="C1895" s="1"/>
    </row>
    <row r="1896" spans="3:3">
      <c r="C1896" s="1"/>
    </row>
    <row r="1897" spans="3:3">
      <c r="C1897" s="1"/>
    </row>
    <row r="1898" spans="3:3">
      <c r="C1898" s="1"/>
    </row>
    <row r="1899" spans="3:3">
      <c r="C1899" s="1"/>
    </row>
    <row r="1900" spans="3:3">
      <c r="C1900" s="1"/>
    </row>
    <row r="1901" spans="3:3">
      <c r="C1901" s="1"/>
    </row>
    <row r="1902" spans="3:3">
      <c r="C1902" s="1"/>
    </row>
    <row r="1903" spans="3:3">
      <c r="C1903" s="1"/>
    </row>
    <row r="1904" spans="3:3">
      <c r="C1904" s="1"/>
    </row>
    <row r="1905" spans="3:3">
      <c r="C1905" s="1"/>
    </row>
    <row r="1906" spans="3:3">
      <c r="C1906" s="1"/>
    </row>
    <row r="1907" spans="3:3">
      <c r="C1907" s="1"/>
    </row>
    <row r="1908" spans="3:3">
      <c r="C1908" s="1"/>
    </row>
    <row r="1909" spans="3:3">
      <c r="C1909" s="1"/>
    </row>
    <row r="1910" spans="3:3">
      <c r="C1910" s="1"/>
    </row>
    <row r="1911" spans="3:3">
      <c r="C1911" s="1"/>
    </row>
    <row r="1912" spans="3:3">
      <c r="C1912" s="1"/>
    </row>
    <row r="1913" spans="3:3">
      <c r="C1913" s="1"/>
    </row>
    <row r="1914" spans="3:3">
      <c r="C1914" s="1"/>
    </row>
    <row r="1915" spans="3:3">
      <c r="C1915" s="1"/>
    </row>
    <row r="1916" spans="3:3">
      <c r="C1916" s="1"/>
    </row>
    <row r="1917" spans="3:3">
      <c r="C1917" s="1"/>
    </row>
    <row r="1918" spans="3:3">
      <c r="C1918" s="1"/>
    </row>
    <row r="1919" spans="3:3">
      <c r="C1919" s="1"/>
    </row>
    <row r="1920" spans="3:3">
      <c r="C1920" s="1"/>
    </row>
    <row r="1921" spans="3:3">
      <c r="C1921" s="1"/>
    </row>
    <row r="1922" spans="3:3">
      <c r="C1922" s="1"/>
    </row>
    <row r="1923" spans="3:3">
      <c r="C1923" s="1"/>
    </row>
    <row r="1924" spans="3:3">
      <c r="C1924" s="1"/>
    </row>
    <row r="1925" spans="3:3">
      <c r="C1925" s="1"/>
    </row>
    <row r="1926" spans="3:3">
      <c r="C1926" s="1"/>
    </row>
    <row r="1927" spans="3:3">
      <c r="C1927" s="1"/>
    </row>
    <row r="1928" spans="3:3">
      <c r="C1928" s="1"/>
    </row>
    <row r="1929" spans="3:3">
      <c r="C1929" s="1"/>
    </row>
    <row r="1930" spans="3:3">
      <c r="C1930" s="1"/>
    </row>
    <row r="1931" spans="3:3">
      <c r="C1931" s="1"/>
    </row>
    <row r="1932" spans="3:3">
      <c r="C1932" s="1"/>
    </row>
    <row r="1933" spans="3:3">
      <c r="C1933" s="1"/>
    </row>
    <row r="1934" spans="3:3">
      <c r="C1934" s="1"/>
    </row>
    <row r="1935" spans="3:3">
      <c r="C1935" s="1"/>
    </row>
    <row r="1936" spans="3:3">
      <c r="C1936" s="1"/>
    </row>
    <row r="1937" spans="3:3">
      <c r="C1937" s="1"/>
    </row>
    <row r="1938" spans="3:3">
      <c r="C1938" s="1"/>
    </row>
    <row r="1939" spans="3:3">
      <c r="C1939" s="1"/>
    </row>
    <row r="1940" spans="3:3">
      <c r="C1940" s="1"/>
    </row>
    <row r="1941" spans="3:3">
      <c r="C1941" s="1"/>
    </row>
    <row r="1942" spans="3:3">
      <c r="C1942" s="1"/>
    </row>
    <row r="1943" spans="3:3">
      <c r="C1943" s="1"/>
    </row>
    <row r="1944" spans="3:3">
      <c r="C1944" s="1"/>
    </row>
    <row r="1945" spans="3:3">
      <c r="C1945" s="1"/>
    </row>
    <row r="1946" spans="3:3">
      <c r="C1946" s="1"/>
    </row>
    <row r="1947" spans="3:3">
      <c r="C1947" s="1"/>
    </row>
    <row r="1948" spans="3:3">
      <c r="C1948" s="1"/>
    </row>
    <row r="1949" spans="3:3">
      <c r="C1949" s="1"/>
    </row>
    <row r="1950" spans="3:3">
      <c r="C1950" s="1"/>
    </row>
    <row r="1951" spans="3:3">
      <c r="C1951" s="1"/>
    </row>
    <row r="1952" spans="3:3">
      <c r="C1952" s="1"/>
    </row>
    <row r="1953" spans="3:3">
      <c r="C1953" s="1"/>
    </row>
    <row r="1954" spans="3:3">
      <c r="C1954" s="1"/>
    </row>
    <row r="1955" spans="3:3">
      <c r="C1955" s="1"/>
    </row>
    <row r="1956" spans="3:3">
      <c r="C1956" s="1"/>
    </row>
    <row r="1957" spans="3:3">
      <c r="C1957" s="1"/>
    </row>
    <row r="1958" spans="3:3">
      <c r="C1958" s="1"/>
    </row>
    <row r="1959" spans="3:3">
      <c r="C1959" s="1"/>
    </row>
    <row r="1960" spans="3:3">
      <c r="C1960" s="1"/>
    </row>
    <row r="1961" spans="3:3">
      <c r="C1961" s="1"/>
    </row>
    <row r="1962" spans="3:3">
      <c r="C1962" s="1"/>
    </row>
    <row r="1963" spans="3:3">
      <c r="C1963" s="1"/>
    </row>
    <row r="1964" spans="3:3">
      <c r="C1964" s="1"/>
    </row>
    <row r="1965" spans="3:3">
      <c r="C1965" s="1"/>
    </row>
    <row r="1966" spans="3:3">
      <c r="C1966" s="1"/>
    </row>
    <row r="1967" spans="3:3">
      <c r="C1967" s="1"/>
    </row>
    <row r="1968" spans="3:3">
      <c r="C1968" s="1"/>
    </row>
    <row r="1969" spans="3:3">
      <c r="C1969" s="1"/>
    </row>
    <row r="1970" spans="3:3">
      <c r="C1970" s="1"/>
    </row>
    <row r="1971" spans="3:3">
      <c r="C1971" s="1"/>
    </row>
    <row r="1972" spans="3:3">
      <c r="C1972" s="1"/>
    </row>
    <row r="1973" spans="3:3">
      <c r="C1973" s="1"/>
    </row>
    <row r="1974" spans="3:3">
      <c r="C1974" s="1"/>
    </row>
    <row r="1975" spans="3:3">
      <c r="C1975" s="1"/>
    </row>
    <row r="1976" spans="3:3">
      <c r="C1976" s="1"/>
    </row>
    <row r="1977" spans="3:3">
      <c r="C1977" s="1"/>
    </row>
    <row r="1978" spans="3:3">
      <c r="C1978" s="1"/>
    </row>
    <row r="1979" spans="3:3">
      <c r="C1979" s="1"/>
    </row>
    <row r="1980" spans="3:3">
      <c r="C1980" s="1"/>
    </row>
    <row r="1981" spans="3:3">
      <c r="C1981" s="1"/>
    </row>
    <row r="1982" spans="3:3">
      <c r="C1982" s="1"/>
    </row>
    <row r="1983" spans="3:3">
      <c r="C1983" s="1"/>
    </row>
    <row r="1984" spans="3:3">
      <c r="C1984" s="1"/>
    </row>
    <row r="1985" spans="3:3">
      <c r="C1985" s="1"/>
    </row>
    <row r="1986" spans="3:3">
      <c r="C1986" s="1"/>
    </row>
    <row r="1987" spans="3:3">
      <c r="C1987" s="1"/>
    </row>
    <row r="1988" spans="3:3">
      <c r="C1988" s="1"/>
    </row>
    <row r="1989" spans="3:3">
      <c r="C1989" s="1"/>
    </row>
    <row r="1990" spans="3:3">
      <c r="C1990" s="1"/>
    </row>
    <row r="1991" spans="3:3">
      <c r="C1991" s="1"/>
    </row>
    <row r="1992" spans="3:3">
      <c r="C1992" s="1"/>
    </row>
    <row r="1993" spans="3:3">
      <c r="C1993" s="1"/>
    </row>
    <row r="1994" spans="3:3">
      <c r="C1994" s="1"/>
    </row>
    <row r="1995" spans="3:3">
      <c r="C1995" s="1"/>
    </row>
    <row r="1996" spans="3:3">
      <c r="C1996" s="1"/>
    </row>
    <row r="1997" spans="3:3">
      <c r="C1997" s="1"/>
    </row>
    <row r="1998" spans="3:3">
      <c r="C1998" s="1"/>
    </row>
    <row r="1999" spans="3:3">
      <c r="C1999" s="1"/>
    </row>
    <row r="2000" spans="3:3">
      <c r="C2000" s="1"/>
    </row>
    <row r="2001" spans="3:3">
      <c r="C2001" s="1"/>
    </row>
    <row r="2002" spans="3:3">
      <c r="C2002" s="1"/>
    </row>
    <row r="2003" spans="3:3">
      <c r="C2003" s="1"/>
    </row>
    <row r="2004" spans="3:3">
      <c r="C2004" s="1"/>
    </row>
    <row r="2005" spans="3:3">
      <c r="C2005" s="1"/>
    </row>
    <row r="2006" spans="3:3">
      <c r="C2006" s="1"/>
    </row>
    <row r="2007" spans="3:3">
      <c r="C2007" s="1"/>
    </row>
    <row r="2008" spans="3:3">
      <c r="C2008" s="1"/>
    </row>
    <row r="2009" spans="3:3">
      <c r="C2009" s="1"/>
    </row>
    <row r="2010" spans="3:3">
      <c r="C2010" s="1"/>
    </row>
    <row r="2011" spans="3:3">
      <c r="C2011" s="1"/>
    </row>
    <row r="2012" spans="3:3">
      <c r="C2012" s="1"/>
    </row>
    <row r="2013" spans="3:3">
      <c r="C2013" s="1"/>
    </row>
    <row r="2014" spans="3:3">
      <c r="C2014" s="1"/>
    </row>
    <row r="2015" spans="3:3">
      <c r="C2015" s="1"/>
    </row>
    <row r="2016" spans="3:3">
      <c r="C2016" s="1"/>
    </row>
    <row r="2017" spans="3:3">
      <c r="C2017" s="1"/>
    </row>
    <row r="2018" spans="3:3">
      <c r="C2018" s="1"/>
    </row>
    <row r="2019" spans="3:3">
      <c r="C2019" s="1"/>
    </row>
    <row r="2020" spans="3:3">
      <c r="C2020" s="1"/>
    </row>
    <row r="2021" spans="3:3">
      <c r="C2021" s="1"/>
    </row>
    <row r="2022" spans="3:3">
      <c r="C2022" s="1"/>
    </row>
    <row r="2023" spans="3:3">
      <c r="C2023" s="1"/>
    </row>
    <row r="2024" spans="3:3">
      <c r="C2024" s="1"/>
    </row>
    <row r="2025" spans="3:3">
      <c r="C2025" s="1"/>
    </row>
    <row r="2026" spans="3:3">
      <c r="C2026" s="1"/>
    </row>
    <row r="2027" spans="3:3">
      <c r="C2027" s="1"/>
    </row>
    <row r="2028" spans="3:3">
      <c r="C2028" s="1"/>
    </row>
    <row r="2029" spans="3:3">
      <c r="C2029" s="1"/>
    </row>
    <row r="2030" spans="3:3">
      <c r="C2030" s="1"/>
    </row>
    <row r="2031" spans="3:3">
      <c r="C2031" s="1"/>
    </row>
    <row r="2032" spans="3:3">
      <c r="C2032" s="1"/>
    </row>
    <row r="2033" spans="3:3">
      <c r="C2033" s="1"/>
    </row>
    <row r="2034" spans="3:3">
      <c r="C2034" s="1"/>
    </row>
    <row r="2035" spans="3:3">
      <c r="C2035" s="1"/>
    </row>
    <row r="2036" spans="3:3">
      <c r="C2036" s="1"/>
    </row>
    <row r="2037" spans="3:3">
      <c r="C2037" s="1"/>
    </row>
    <row r="2038" spans="3:3">
      <c r="C2038" s="1"/>
    </row>
    <row r="2039" spans="3:3">
      <c r="C2039" s="1"/>
    </row>
    <row r="2040" spans="3:3">
      <c r="C2040" s="1"/>
    </row>
    <row r="2041" spans="3:3">
      <c r="C2041" s="1"/>
    </row>
    <row r="2042" spans="3:3">
      <c r="C2042" s="1"/>
    </row>
    <row r="2043" spans="3:3">
      <c r="C2043" s="1"/>
    </row>
    <row r="2044" spans="3:3">
      <c r="C2044" s="1"/>
    </row>
    <row r="2045" spans="3:3">
      <c r="C2045" s="1"/>
    </row>
    <row r="2046" spans="3:3">
      <c r="C2046" s="1"/>
    </row>
    <row r="2047" spans="3:3">
      <c r="C2047" s="1"/>
    </row>
    <row r="2048" spans="3:3">
      <c r="C2048" s="1"/>
    </row>
    <row r="2049" spans="3:3">
      <c r="C2049" s="1"/>
    </row>
    <row r="2050" spans="3:3">
      <c r="C2050" s="1"/>
    </row>
    <row r="2051" spans="3:3">
      <c r="C2051" s="1"/>
    </row>
    <row r="2052" spans="3:3">
      <c r="C2052" s="1"/>
    </row>
    <row r="2053" spans="3:3">
      <c r="C2053" s="1"/>
    </row>
    <row r="2054" spans="3:3">
      <c r="C2054" s="1"/>
    </row>
    <row r="2055" spans="3:3">
      <c r="C2055" s="1"/>
    </row>
    <row r="2056" spans="3:3">
      <c r="C2056" s="1"/>
    </row>
    <row r="2057" spans="3:3">
      <c r="C2057" s="1"/>
    </row>
    <row r="2058" spans="3:3">
      <c r="C2058" s="1"/>
    </row>
    <row r="2059" spans="3:3">
      <c r="C2059" s="1"/>
    </row>
    <row r="2060" spans="3:3">
      <c r="C2060" s="1"/>
    </row>
    <row r="2061" spans="3:3">
      <c r="C2061" s="1"/>
    </row>
    <row r="2062" spans="3:3">
      <c r="C2062" s="1"/>
    </row>
    <row r="2063" spans="3:3">
      <c r="C2063" s="1"/>
    </row>
    <row r="2064" spans="3:3">
      <c r="C2064" s="1"/>
    </row>
    <row r="2065" spans="3:3">
      <c r="C2065" s="1"/>
    </row>
    <row r="2066" spans="3:3">
      <c r="C2066" s="1"/>
    </row>
    <row r="2067" spans="3:3">
      <c r="C2067" s="1"/>
    </row>
    <row r="2068" spans="3:3">
      <c r="C2068" s="1"/>
    </row>
    <row r="2069" spans="3:3">
      <c r="C2069" s="1"/>
    </row>
    <row r="2070" spans="3:3">
      <c r="C2070" s="1"/>
    </row>
    <row r="2071" spans="3:3">
      <c r="C2071" s="1"/>
    </row>
    <row r="2072" spans="3:3">
      <c r="C2072" s="1"/>
    </row>
    <row r="2073" spans="3:3">
      <c r="C2073" s="1"/>
    </row>
    <row r="2074" spans="3:3">
      <c r="C2074" s="1"/>
    </row>
    <row r="2075" spans="3:3">
      <c r="C2075" s="1"/>
    </row>
    <row r="2076" spans="3:3">
      <c r="C2076" s="1"/>
    </row>
    <row r="2077" spans="3:3">
      <c r="C2077" s="1"/>
    </row>
    <row r="2078" spans="3:3">
      <c r="C2078" s="1"/>
    </row>
    <row r="2079" spans="3:3">
      <c r="C2079" s="1"/>
    </row>
    <row r="2080" spans="3:3">
      <c r="C2080" s="1"/>
    </row>
    <row r="2081" spans="3:3">
      <c r="C2081" s="1"/>
    </row>
    <row r="2082" spans="3:3">
      <c r="C2082" s="1"/>
    </row>
    <row r="2083" spans="3:3">
      <c r="C2083" s="1"/>
    </row>
    <row r="2084" spans="3:3">
      <c r="C2084" s="1"/>
    </row>
    <row r="2085" spans="3:3">
      <c r="C2085" s="1"/>
    </row>
    <row r="2086" spans="3:3">
      <c r="C2086" s="1"/>
    </row>
    <row r="2087" spans="3:3">
      <c r="C2087" s="1"/>
    </row>
    <row r="2088" spans="3:3">
      <c r="C2088" s="1"/>
    </row>
    <row r="2089" spans="3:3">
      <c r="C2089" s="1"/>
    </row>
    <row r="2090" spans="3:3">
      <c r="C2090" s="1"/>
    </row>
    <row r="2091" spans="3:3">
      <c r="C2091" s="1"/>
    </row>
    <row r="2092" spans="3:3">
      <c r="C2092" s="1"/>
    </row>
    <row r="2093" spans="3:3">
      <c r="C2093" s="1"/>
    </row>
    <row r="2094" spans="3:3">
      <c r="C2094" s="1"/>
    </row>
    <row r="2095" spans="3:3">
      <c r="C2095" s="1"/>
    </row>
    <row r="2096" spans="3:3">
      <c r="C2096" s="1"/>
    </row>
    <row r="2097" spans="3:3">
      <c r="C2097" s="1"/>
    </row>
    <row r="2098" spans="3:3">
      <c r="C2098" s="1"/>
    </row>
    <row r="2099" spans="3:3">
      <c r="C2099" s="1"/>
    </row>
    <row r="2100" spans="3:3">
      <c r="C2100" s="1"/>
    </row>
    <row r="2101" spans="3:3">
      <c r="C2101" s="1"/>
    </row>
    <row r="2102" spans="3:3">
      <c r="C2102" s="1"/>
    </row>
    <row r="2103" spans="3:3">
      <c r="C2103" s="1"/>
    </row>
    <row r="2104" spans="3:3">
      <c r="C2104" s="1"/>
    </row>
    <row r="2105" spans="3:3">
      <c r="C2105" s="1"/>
    </row>
    <row r="2106" spans="3:3">
      <c r="C2106" s="1"/>
    </row>
    <row r="2107" spans="3:3">
      <c r="C2107" s="1"/>
    </row>
    <row r="2108" spans="3:3">
      <c r="C2108" s="1"/>
    </row>
    <row r="2109" spans="3:3">
      <c r="C2109" s="1"/>
    </row>
    <row r="2110" spans="3:3">
      <c r="C2110" s="1"/>
    </row>
    <row r="2111" spans="3:3">
      <c r="C2111" s="1"/>
    </row>
    <row r="2112" spans="3:3">
      <c r="C2112" s="1"/>
    </row>
    <row r="2113" spans="3:3">
      <c r="C2113" s="1"/>
    </row>
    <row r="2114" spans="3:3">
      <c r="C2114" s="1"/>
    </row>
    <row r="2115" spans="3:3">
      <c r="C2115" s="1"/>
    </row>
    <row r="2116" spans="3:3">
      <c r="C2116" s="1"/>
    </row>
    <row r="2117" spans="3:3">
      <c r="C2117" s="1"/>
    </row>
    <row r="2118" spans="3:3">
      <c r="C2118" s="1"/>
    </row>
    <row r="2119" spans="3:3">
      <c r="C2119" s="1"/>
    </row>
    <row r="2120" spans="3:3">
      <c r="C2120" s="1"/>
    </row>
    <row r="2121" spans="3:3">
      <c r="C2121" s="1"/>
    </row>
    <row r="2122" spans="3:3">
      <c r="C2122" s="1"/>
    </row>
    <row r="2123" spans="3:3">
      <c r="C2123" s="1"/>
    </row>
    <row r="2124" spans="3:3">
      <c r="C2124" s="1"/>
    </row>
    <row r="2125" spans="3:3">
      <c r="C2125" s="1"/>
    </row>
    <row r="2126" spans="3:3">
      <c r="C2126" s="1"/>
    </row>
    <row r="2127" spans="3:3">
      <c r="C2127" s="1"/>
    </row>
    <row r="2128" spans="3:3">
      <c r="C2128" s="1"/>
    </row>
    <row r="2129" spans="3:3">
      <c r="C2129" s="1"/>
    </row>
    <row r="2130" spans="3:3">
      <c r="C2130" s="1"/>
    </row>
    <row r="2131" spans="3:3">
      <c r="C2131" s="1"/>
    </row>
    <row r="2132" spans="3:3">
      <c r="C2132" s="1"/>
    </row>
    <row r="2133" spans="3:3">
      <c r="C2133" s="1"/>
    </row>
    <row r="2134" spans="3:3">
      <c r="C2134" s="1"/>
    </row>
    <row r="2135" spans="3:3">
      <c r="C2135" s="1"/>
    </row>
    <row r="2136" spans="3:3">
      <c r="C2136" s="1"/>
    </row>
    <row r="2137" spans="3:3">
      <c r="C2137" s="1"/>
    </row>
    <row r="2138" spans="3:3">
      <c r="C2138" s="1"/>
    </row>
    <row r="2139" spans="3:3">
      <c r="C2139" s="1"/>
    </row>
    <row r="2140" spans="3:3">
      <c r="C2140" s="1"/>
    </row>
    <row r="2141" spans="3:3">
      <c r="C2141" s="1"/>
    </row>
    <row r="2142" spans="3:3">
      <c r="C2142" s="1"/>
    </row>
    <row r="2143" spans="3:3">
      <c r="C2143" s="1"/>
    </row>
    <row r="2144" spans="3:3">
      <c r="C2144" s="1"/>
    </row>
    <row r="2145" spans="3:3">
      <c r="C2145" s="1"/>
    </row>
    <row r="2146" spans="3:3">
      <c r="C2146" s="1"/>
    </row>
    <row r="2147" spans="3:3">
      <c r="C2147" s="1"/>
    </row>
    <row r="2148" spans="3:3">
      <c r="C2148" s="1"/>
    </row>
    <row r="2149" spans="3:3">
      <c r="C2149" s="1"/>
    </row>
    <row r="2150" spans="3:3">
      <c r="C2150" s="1"/>
    </row>
    <row r="2151" spans="3:3">
      <c r="C2151" s="1"/>
    </row>
    <row r="2152" spans="3:3">
      <c r="C2152" s="1"/>
    </row>
    <row r="2153" spans="3:3">
      <c r="C2153" s="1"/>
    </row>
    <row r="2154" spans="3:3">
      <c r="C2154" s="1"/>
    </row>
    <row r="2155" spans="3:3">
      <c r="C2155" s="1"/>
    </row>
    <row r="2156" spans="3:3">
      <c r="C2156" s="1"/>
    </row>
    <row r="2157" spans="3:3">
      <c r="C2157" s="1"/>
    </row>
    <row r="2158" spans="3:3">
      <c r="C2158" s="1"/>
    </row>
    <row r="2159" spans="3:3">
      <c r="C2159" s="1"/>
    </row>
    <row r="2160" spans="3:3">
      <c r="C2160" s="1"/>
    </row>
    <row r="2161" spans="3:3">
      <c r="C2161" s="1"/>
    </row>
    <row r="2162" spans="3:3">
      <c r="C2162" s="1"/>
    </row>
    <row r="2163" spans="3:3">
      <c r="C2163" s="1"/>
    </row>
    <row r="2164" spans="3:3">
      <c r="C2164" s="1"/>
    </row>
    <row r="2165" spans="3:3">
      <c r="C2165" s="1"/>
    </row>
    <row r="2166" spans="3:3">
      <c r="C2166" s="1"/>
    </row>
    <row r="2167" spans="3:3">
      <c r="C2167" s="1"/>
    </row>
    <row r="2168" spans="3:3">
      <c r="C2168" s="1"/>
    </row>
    <row r="2169" spans="3:3">
      <c r="C2169" s="1"/>
    </row>
    <row r="2170" spans="3:3">
      <c r="C2170" s="1"/>
    </row>
    <row r="2171" spans="3:3">
      <c r="C2171" s="1"/>
    </row>
    <row r="2172" spans="3:3">
      <c r="C2172" s="1"/>
    </row>
    <row r="2173" spans="3:3">
      <c r="C2173" s="1"/>
    </row>
    <row r="2174" spans="3:3">
      <c r="C2174" s="1"/>
    </row>
    <row r="2175" spans="3:3">
      <c r="C2175" s="1"/>
    </row>
    <row r="2176" spans="3:3">
      <c r="C2176" s="1"/>
    </row>
    <row r="2177" spans="3:3">
      <c r="C2177" s="1"/>
    </row>
    <row r="2178" spans="3:3">
      <c r="C2178" s="1"/>
    </row>
    <row r="2179" spans="3:3">
      <c r="C2179" s="1"/>
    </row>
    <row r="2180" spans="3:3">
      <c r="C2180" s="1"/>
    </row>
    <row r="2181" spans="3:3">
      <c r="C2181" s="1"/>
    </row>
    <row r="2182" spans="3:3">
      <c r="C2182" s="1"/>
    </row>
    <row r="2183" spans="3:3">
      <c r="C2183" s="1"/>
    </row>
    <row r="2184" spans="3:3">
      <c r="C2184" s="1"/>
    </row>
    <row r="2185" spans="3:3">
      <c r="C2185" s="1"/>
    </row>
    <row r="2186" spans="3:3">
      <c r="C2186" s="1"/>
    </row>
    <row r="2187" spans="3:3">
      <c r="C2187" s="1"/>
    </row>
    <row r="2188" spans="3:3">
      <c r="C2188" s="1"/>
    </row>
    <row r="2189" spans="3:3">
      <c r="C2189" s="1"/>
    </row>
    <row r="2190" spans="3:3">
      <c r="C2190" s="1"/>
    </row>
    <row r="2191" spans="3:3">
      <c r="C2191" s="1"/>
    </row>
    <row r="2192" spans="3:3">
      <c r="C2192" s="1"/>
    </row>
    <row r="2193" spans="3:3">
      <c r="C2193" s="1"/>
    </row>
    <row r="2194" spans="3:3">
      <c r="C2194" s="1"/>
    </row>
    <row r="2195" spans="3:3">
      <c r="C2195" s="1"/>
    </row>
    <row r="2196" spans="3:3">
      <c r="C2196" s="1"/>
    </row>
    <row r="2197" spans="3:3">
      <c r="C2197" s="1"/>
    </row>
    <row r="2198" spans="3:3">
      <c r="C2198" s="1"/>
    </row>
    <row r="2199" spans="3:3">
      <c r="C2199" s="1"/>
    </row>
    <row r="2200" spans="3:3">
      <c r="C2200" s="1"/>
    </row>
    <row r="2201" spans="3:3">
      <c r="C2201" s="1"/>
    </row>
    <row r="2202" spans="3:3">
      <c r="C2202" s="1"/>
    </row>
    <row r="2203" spans="3:3">
      <c r="C2203" s="1"/>
    </row>
    <row r="2204" spans="3:3">
      <c r="C2204" s="1"/>
    </row>
    <row r="2205" spans="3:3">
      <c r="C2205" s="1"/>
    </row>
    <row r="2206" spans="3:3">
      <c r="C2206" s="1"/>
    </row>
    <row r="2207" spans="3:3">
      <c r="C2207" s="1"/>
    </row>
    <row r="2208" spans="3:3">
      <c r="C2208" s="1"/>
    </row>
    <row r="2209" spans="3:3">
      <c r="C2209" s="1"/>
    </row>
    <row r="2210" spans="3:3">
      <c r="C2210" s="1"/>
    </row>
    <row r="2211" spans="3:3">
      <c r="C2211" s="1"/>
    </row>
    <row r="2212" spans="3:3">
      <c r="C2212" s="1"/>
    </row>
    <row r="2213" spans="3:3">
      <c r="C2213" s="1"/>
    </row>
    <row r="2214" spans="3:3">
      <c r="C2214" s="1"/>
    </row>
    <row r="2215" spans="3:3">
      <c r="C2215" s="1"/>
    </row>
    <row r="2216" spans="3:3">
      <c r="C2216" s="1"/>
    </row>
    <row r="2217" spans="3:3">
      <c r="C2217" s="1"/>
    </row>
    <row r="2218" spans="3:3">
      <c r="C2218" s="1"/>
    </row>
    <row r="2219" spans="3:3">
      <c r="C2219" s="1"/>
    </row>
    <row r="2220" spans="3:3">
      <c r="C2220" s="1"/>
    </row>
    <row r="2221" spans="3:3">
      <c r="C2221" s="1"/>
    </row>
    <row r="2222" spans="3:3">
      <c r="C2222" s="1"/>
    </row>
    <row r="2223" spans="3:3">
      <c r="C2223" s="1"/>
    </row>
    <row r="2224" spans="3:3">
      <c r="C2224" s="1"/>
    </row>
    <row r="2225" spans="3:3">
      <c r="C2225" s="1"/>
    </row>
    <row r="2226" spans="3:3">
      <c r="C2226" s="1"/>
    </row>
    <row r="2227" spans="3:3">
      <c r="C2227" s="1"/>
    </row>
    <row r="2228" spans="3:3">
      <c r="C2228" s="1"/>
    </row>
    <row r="2229" spans="3:3">
      <c r="C2229" s="1"/>
    </row>
    <row r="2230" spans="3:3">
      <c r="C2230" s="1"/>
    </row>
    <row r="2231" spans="3:3">
      <c r="C2231" s="1"/>
    </row>
    <row r="2232" spans="3:3">
      <c r="C2232" s="1"/>
    </row>
    <row r="2233" spans="3:3">
      <c r="C2233" s="1"/>
    </row>
    <row r="2234" spans="3:3">
      <c r="C2234" s="1"/>
    </row>
    <row r="2235" spans="3:3">
      <c r="C2235" s="1"/>
    </row>
    <row r="2236" spans="3:3">
      <c r="C2236" s="1"/>
    </row>
    <row r="2237" spans="3:3">
      <c r="C2237" s="1"/>
    </row>
    <row r="2238" spans="3:3">
      <c r="C2238" s="1"/>
    </row>
    <row r="2239" spans="3:3">
      <c r="C2239" s="1"/>
    </row>
    <row r="2240" spans="3:3">
      <c r="C2240" s="1"/>
    </row>
    <row r="2241" spans="3:3">
      <c r="C2241" s="1"/>
    </row>
    <row r="2242" spans="3:3">
      <c r="C2242" s="1"/>
    </row>
    <row r="2243" spans="3:3">
      <c r="C2243" s="1"/>
    </row>
    <row r="2244" spans="3:3">
      <c r="C2244" s="1"/>
    </row>
    <row r="2245" spans="3:3">
      <c r="C2245" s="1"/>
    </row>
    <row r="2246" spans="3:3">
      <c r="C2246" s="1"/>
    </row>
    <row r="2247" spans="3:3">
      <c r="C2247" s="1"/>
    </row>
    <row r="2248" spans="3:3">
      <c r="C2248" s="1"/>
    </row>
    <row r="2249" spans="3:3">
      <c r="C2249" s="1"/>
    </row>
    <row r="2250" spans="3:3">
      <c r="C2250" s="1"/>
    </row>
    <row r="2251" spans="3:3">
      <c r="C2251" s="1"/>
    </row>
    <row r="2252" spans="3:3">
      <c r="C2252" s="1"/>
    </row>
    <row r="2253" spans="3:3">
      <c r="C2253" s="1"/>
    </row>
    <row r="2254" spans="3:3">
      <c r="C2254" s="1"/>
    </row>
    <row r="2255" spans="3:3">
      <c r="C2255" s="1"/>
    </row>
    <row r="2256" spans="3:3">
      <c r="C2256" s="1"/>
    </row>
    <row r="2257" spans="3:3">
      <c r="C2257" s="1"/>
    </row>
    <row r="2258" spans="3:3">
      <c r="C2258" s="1"/>
    </row>
    <row r="2259" spans="3:3">
      <c r="C2259" s="1"/>
    </row>
    <row r="2260" spans="3:3">
      <c r="C2260" s="1"/>
    </row>
    <row r="2261" spans="3:3">
      <c r="C2261" s="1"/>
    </row>
    <row r="2262" spans="3:3">
      <c r="C2262" s="1"/>
    </row>
    <row r="2263" spans="3:3">
      <c r="C2263" s="1"/>
    </row>
    <row r="2264" spans="3:3">
      <c r="C2264" s="1"/>
    </row>
    <row r="2265" spans="3:3">
      <c r="C2265" s="1"/>
    </row>
    <row r="2266" spans="3:3">
      <c r="C2266" s="1"/>
    </row>
    <row r="2267" spans="3:3">
      <c r="C2267" s="1"/>
    </row>
    <row r="2268" spans="3:3">
      <c r="C2268" s="1"/>
    </row>
    <row r="2269" spans="3:3">
      <c r="C2269" s="1"/>
    </row>
    <row r="2270" spans="3:3">
      <c r="C2270" s="1"/>
    </row>
    <row r="2271" spans="3:3">
      <c r="C2271" s="1"/>
    </row>
    <row r="2272" spans="3:3">
      <c r="C2272" s="1"/>
    </row>
    <row r="2273" spans="3:3">
      <c r="C2273" s="1"/>
    </row>
    <row r="2274" spans="3:3">
      <c r="C2274" s="1"/>
    </row>
    <row r="2275" spans="3:3">
      <c r="C2275" s="1"/>
    </row>
    <row r="2276" spans="3:3">
      <c r="C2276" s="1"/>
    </row>
    <row r="2277" spans="3:3">
      <c r="C2277" s="1"/>
    </row>
    <row r="2278" spans="3:3">
      <c r="C2278" s="1"/>
    </row>
    <row r="2279" spans="3:3">
      <c r="C2279" s="1"/>
    </row>
    <row r="2280" spans="3:3">
      <c r="C2280" s="1"/>
    </row>
    <row r="2281" spans="3:3">
      <c r="C2281" s="1"/>
    </row>
    <row r="2282" spans="3:3">
      <c r="C2282" s="1"/>
    </row>
    <row r="2283" spans="3:3">
      <c r="C2283" s="1"/>
    </row>
    <row r="2284" spans="3:3">
      <c r="C2284" s="1"/>
    </row>
    <row r="2285" spans="3:3">
      <c r="C2285" s="1"/>
    </row>
    <row r="2286" spans="3:3">
      <c r="C2286" s="1"/>
    </row>
    <row r="2287" spans="3:3">
      <c r="C2287" s="1"/>
    </row>
    <row r="2288" spans="3:3">
      <c r="C2288" s="1"/>
    </row>
    <row r="2289" spans="3:3">
      <c r="C2289" s="1"/>
    </row>
    <row r="2290" spans="3:3">
      <c r="C2290" s="1"/>
    </row>
    <row r="2291" spans="3:3">
      <c r="C2291" s="1"/>
    </row>
    <row r="2292" spans="3:3">
      <c r="C2292" s="1"/>
    </row>
    <row r="2293" spans="3:3">
      <c r="C2293" s="1"/>
    </row>
    <row r="2294" spans="3:3">
      <c r="C2294" s="1"/>
    </row>
    <row r="2295" spans="3:3">
      <c r="C2295" s="1"/>
    </row>
    <row r="2296" spans="3:3">
      <c r="C2296" s="1"/>
    </row>
    <row r="2297" spans="3:3">
      <c r="C2297" s="1"/>
    </row>
    <row r="2298" spans="3:3">
      <c r="C2298" s="1"/>
    </row>
    <row r="2299" spans="3:3">
      <c r="C2299" s="1"/>
    </row>
    <row r="2300" spans="3:3">
      <c r="C2300" s="1"/>
    </row>
    <row r="2301" spans="3:3">
      <c r="C2301" s="1"/>
    </row>
    <row r="2302" spans="3:3">
      <c r="C2302" s="1"/>
    </row>
    <row r="2303" spans="3:3">
      <c r="C2303" s="1"/>
    </row>
    <row r="2304" spans="3:3">
      <c r="C2304" s="1"/>
    </row>
    <row r="2305" spans="3:3">
      <c r="C2305" s="1"/>
    </row>
    <row r="2306" spans="3:3">
      <c r="C2306" s="1"/>
    </row>
    <row r="2307" spans="3:3">
      <c r="C2307" s="1"/>
    </row>
    <row r="2308" spans="3:3">
      <c r="C2308" s="1"/>
    </row>
    <row r="2309" spans="3:3">
      <c r="C2309" s="1"/>
    </row>
    <row r="2310" spans="3:3">
      <c r="C2310" s="1"/>
    </row>
    <row r="2311" spans="3:3">
      <c r="C2311" s="1"/>
    </row>
    <row r="2312" spans="3:3">
      <c r="C2312" s="1"/>
    </row>
    <row r="2313" spans="3:3">
      <c r="C2313" s="1"/>
    </row>
    <row r="2314" spans="3:3">
      <c r="C2314" s="1"/>
    </row>
    <row r="2315" spans="3:3">
      <c r="C2315" s="1"/>
    </row>
    <row r="2316" spans="3:3">
      <c r="C2316" s="1"/>
    </row>
    <row r="2317" spans="3:3">
      <c r="C2317" s="1"/>
    </row>
    <row r="2318" spans="3:3">
      <c r="C2318" s="1"/>
    </row>
    <row r="2319" spans="3:3">
      <c r="C2319" s="1"/>
    </row>
    <row r="2320" spans="3:3">
      <c r="C2320" s="1"/>
    </row>
    <row r="2321" spans="3:3">
      <c r="C2321" s="1"/>
    </row>
    <row r="2322" spans="3:3">
      <c r="C2322" s="1"/>
    </row>
    <row r="2323" spans="3:3">
      <c r="C2323" s="1"/>
    </row>
    <row r="2324" spans="3:3">
      <c r="C2324" s="1"/>
    </row>
    <row r="2325" spans="3:3">
      <c r="C2325" s="1"/>
    </row>
    <row r="2326" spans="3:3">
      <c r="C2326" s="1"/>
    </row>
    <row r="2327" spans="3:3">
      <c r="C2327" s="1"/>
    </row>
    <row r="2328" spans="3:3">
      <c r="C2328" s="1"/>
    </row>
    <row r="2329" spans="3:3">
      <c r="C2329" s="1"/>
    </row>
    <row r="2330" spans="3:3">
      <c r="C2330" s="1"/>
    </row>
    <row r="2331" spans="3:3">
      <c r="C2331" s="1"/>
    </row>
    <row r="2332" spans="3:3">
      <c r="C2332" s="1"/>
    </row>
    <row r="2333" spans="3:3">
      <c r="C2333" s="1"/>
    </row>
    <row r="2334" spans="3:3">
      <c r="C2334" s="1"/>
    </row>
    <row r="2335" spans="3:3">
      <c r="C2335" s="1"/>
    </row>
    <row r="2336" spans="3:3">
      <c r="C2336" s="1"/>
    </row>
    <row r="2337" spans="3:3">
      <c r="C2337" s="1"/>
    </row>
    <row r="2338" spans="3:3">
      <c r="C2338" s="1"/>
    </row>
    <row r="2339" spans="3:3">
      <c r="C2339" s="1"/>
    </row>
    <row r="2340" spans="3:3">
      <c r="C2340" s="1"/>
    </row>
    <row r="2341" spans="3:3">
      <c r="C2341" s="1"/>
    </row>
    <row r="2342" spans="3:3">
      <c r="C2342" s="1"/>
    </row>
    <row r="2343" spans="3:3">
      <c r="C2343" s="1"/>
    </row>
    <row r="2344" spans="3:3">
      <c r="C2344" s="1"/>
    </row>
    <row r="2345" spans="3:3">
      <c r="C2345" s="1"/>
    </row>
    <row r="2346" spans="3:3">
      <c r="C2346" s="1"/>
    </row>
    <row r="2347" spans="3:3">
      <c r="C2347" s="1"/>
    </row>
    <row r="2348" spans="3:3">
      <c r="C2348" s="1"/>
    </row>
    <row r="2349" spans="3:3">
      <c r="C2349" s="1"/>
    </row>
    <row r="2350" spans="3:3">
      <c r="C2350" s="1"/>
    </row>
    <row r="2351" spans="3:3">
      <c r="C2351" s="1"/>
    </row>
    <row r="2352" spans="3:3">
      <c r="C2352" s="1"/>
    </row>
    <row r="2353" spans="3:3">
      <c r="C2353" s="1"/>
    </row>
    <row r="2354" spans="3:3">
      <c r="C2354" s="1"/>
    </row>
    <row r="2355" spans="3:3">
      <c r="C2355" s="1"/>
    </row>
    <row r="2356" spans="3:3">
      <c r="C2356" s="1"/>
    </row>
    <row r="2357" spans="3:3">
      <c r="C2357" s="1"/>
    </row>
    <row r="2358" spans="3:3">
      <c r="C2358" s="1"/>
    </row>
    <row r="2359" spans="3:3">
      <c r="C2359" s="1"/>
    </row>
    <row r="2360" spans="3:3">
      <c r="C2360" s="1"/>
    </row>
    <row r="2361" spans="3:3">
      <c r="C2361" s="1"/>
    </row>
    <row r="2362" spans="3:3">
      <c r="C2362" s="1"/>
    </row>
    <row r="2363" spans="3:3">
      <c r="C2363" s="1"/>
    </row>
    <row r="2364" spans="3:3">
      <c r="C2364" s="1"/>
    </row>
    <row r="2365" spans="3:3">
      <c r="C2365" s="1"/>
    </row>
    <row r="2366" spans="3:3">
      <c r="C2366" s="1"/>
    </row>
    <row r="2367" spans="3:3">
      <c r="C2367" s="1"/>
    </row>
    <row r="2368" spans="3:3">
      <c r="C2368" s="1"/>
    </row>
    <row r="2369" spans="3:3">
      <c r="C2369" s="1"/>
    </row>
    <row r="2370" spans="3:3">
      <c r="C2370" s="1"/>
    </row>
    <row r="2371" spans="3:3">
      <c r="C2371" s="1"/>
    </row>
    <row r="2372" spans="3:3">
      <c r="C2372" s="1"/>
    </row>
    <row r="2373" spans="3:3">
      <c r="C2373" s="1"/>
    </row>
    <row r="2374" spans="3:3">
      <c r="C2374" s="1"/>
    </row>
    <row r="2375" spans="3:3">
      <c r="C2375" s="1"/>
    </row>
    <row r="2376" spans="3:3">
      <c r="C2376" s="1"/>
    </row>
    <row r="2377" spans="3:3">
      <c r="C2377" s="1"/>
    </row>
    <row r="2378" spans="3:3">
      <c r="C2378" s="1"/>
    </row>
    <row r="2379" spans="3:3">
      <c r="C2379" s="1"/>
    </row>
    <row r="2380" spans="3:3">
      <c r="C2380" s="1"/>
    </row>
    <row r="2381" spans="3:3">
      <c r="C2381" s="1"/>
    </row>
    <row r="2382" spans="3:3">
      <c r="C2382" s="1"/>
    </row>
    <row r="2383" spans="3:3">
      <c r="C2383" s="1"/>
    </row>
    <row r="2384" spans="3:3">
      <c r="C2384" s="1"/>
    </row>
    <row r="2385" spans="3:3">
      <c r="C2385" s="1"/>
    </row>
    <row r="2386" spans="3:3">
      <c r="C2386" s="1"/>
    </row>
    <row r="2387" spans="3:3">
      <c r="C2387" s="1"/>
    </row>
    <row r="2388" spans="3:3">
      <c r="C2388" s="1"/>
    </row>
    <row r="2389" spans="3:3">
      <c r="C2389" s="1"/>
    </row>
    <row r="2390" spans="3:3">
      <c r="C2390" s="1"/>
    </row>
    <row r="2391" spans="3:3">
      <c r="C2391" s="1"/>
    </row>
    <row r="2392" spans="3:3">
      <c r="C2392" s="1"/>
    </row>
    <row r="2393" spans="3:3">
      <c r="C2393" s="1"/>
    </row>
    <row r="2394" spans="3:3">
      <c r="C2394" s="1"/>
    </row>
    <row r="2395" spans="3:3">
      <c r="C2395" s="1"/>
    </row>
    <row r="2396" spans="3:3">
      <c r="C2396" s="1"/>
    </row>
    <row r="2397" spans="3:3">
      <c r="C2397" s="1"/>
    </row>
    <row r="2398" spans="3:3">
      <c r="C2398" s="1"/>
    </row>
    <row r="2399" spans="3:3">
      <c r="C2399" s="1"/>
    </row>
    <row r="2400" spans="3:3">
      <c r="C2400" s="1"/>
    </row>
    <row r="2401" spans="3:3">
      <c r="C2401" s="1"/>
    </row>
    <row r="2402" spans="3:3">
      <c r="C2402" s="1"/>
    </row>
    <row r="2403" spans="3:3">
      <c r="C2403" s="1"/>
    </row>
    <row r="2404" spans="3:3">
      <c r="C2404" s="1"/>
    </row>
    <row r="2405" spans="3:3">
      <c r="C2405" s="1"/>
    </row>
    <row r="2406" spans="3:3">
      <c r="C2406" s="1"/>
    </row>
    <row r="2407" spans="3:3">
      <c r="C2407" s="1"/>
    </row>
    <row r="2408" spans="3:3">
      <c r="C2408" s="1"/>
    </row>
    <row r="2409" spans="3:3">
      <c r="C2409" s="1"/>
    </row>
    <row r="2410" spans="3:3">
      <c r="C2410" s="1"/>
    </row>
    <row r="2411" spans="3:3">
      <c r="C2411" s="1"/>
    </row>
    <row r="2412" spans="3:3">
      <c r="C2412" s="1"/>
    </row>
    <row r="2413" spans="3:3">
      <c r="C2413" s="1"/>
    </row>
    <row r="2414" spans="3:3">
      <c r="C2414" s="1"/>
    </row>
    <row r="2415" spans="3:3">
      <c r="C2415" s="1"/>
    </row>
    <row r="2416" spans="3:3">
      <c r="C2416" s="1"/>
    </row>
    <row r="2417" spans="3:3">
      <c r="C2417" s="1"/>
    </row>
    <row r="2418" spans="3:3">
      <c r="C2418" s="1"/>
    </row>
    <row r="2419" spans="3:3">
      <c r="C2419" s="1"/>
    </row>
    <row r="2420" spans="3:3">
      <c r="C2420" s="1"/>
    </row>
    <row r="2421" spans="3:3">
      <c r="C2421" s="1"/>
    </row>
    <row r="2422" spans="3:3">
      <c r="C2422" s="1"/>
    </row>
    <row r="2423" spans="3:3">
      <c r="C2423" s="1"/>
    </row>
    <row r="2424" spans="3:3">
      <c r="C2424" s="1"/>
    </row>
    <row r="2425" spans="3:3">
      <c r="C2425" s="1"/>
    </row>
    <row r="2426" spans="3:3">
      <c r="C2426" s="1"/>
    </row>
    <row r="2427" spans="3:3">
      <c r="C2427" s="1"/>
    </row>
    <row r="2428" spans="3:3">
      <c r="C2428" s="1"/>
    </row>
    <row r="2429" spans="3:3">
      <c r="C2429" s="1"/>
    </row>
    <row r="2430" spans="3:3">
      <c r="C2430" s="1"/>
    </row>
    <row r="2431" spans="3:3">
      <c r="C2431" s="1"/>
    </row>
    <row r="2432" spans="3:3">
      <c r="C2432" s="1"/>
    </row>
    <row r="2433" spans="3:3">
      <c r="C2433" s="1"/>
    </row>
    <row r="2434" spans="3:3">
      <c r="C2434" s="1"/>
    </row>
    <row r="2435" spans="3:3">
      <c r="C2435" s="1"/>
    </row>
    <row r="2436" spans="3:3">
      <c r="C2436" s="1"/>
    </row>
    <row r="2437" spans="3:3">
      <c r="C2437" s="1"/>
    </row>
    <row r="2438" spans="3:3">
      <c r="C2438" s="1"/>
    </row>
    <row r="2439" spans="3:3">
      <c r="C2439" s="1"/>
    </row>
    <row r="2440" spans="3:3">
      <c r="C2440" s="1"/>
    </row>
    <row r="2441" spans="3:3">
      <c r="C2441" s="1"/>
    </row>
    <row r="2442" spans="3:3">
      <c r="C2442" s="1"/>
    </row>
    <row r="2443" spans="3:3">
      <c r="C2443" s="1"/>
    </row>
    <row r="2444" spans="3:3">
      <c r="C2444" s="1"/>
    </row>
    <row r="2445" spans="3:3">
      <c r="C2445" s="1"/>
    </row>
    <row r="2446" spans="3:3">
      <c r="C2446" s="1"/>
    </row>
    <row r="2447" spans="3:3">
      <c r="C2447" s="1"/>
    </row>
    <row r="2448" spans="3:3">
      <c r="C2448" s="1"/>
    </row>
    <row r="2449" spans="3:3">
      <c r="C2449" s="1"/>
    </row>
    <row r="2450" spans="3:3">
      <c r="C2450" s="1"/>
    </row>
    <row r="2451" spans="3:3">
      <c r="C2451" s="1"/>
    </row>
    <row r="2452" spans="3:3">
      <c r="C2452" s="1"/>
    </row>
    <row r="2453" spans="3:3">
      <c r="C2453" s="1"/>
    </row>
    <row r="2454" spans="3:3">
      <c r="C2454" s="1"/>
    </row>
    <row r="2455" spans="3:3">
      <c r="C2455" s="1"/>
    </row>
    <row r="2456" spans="3:3">
      <c r="C2456" s="1"/>
    </row>
    <row r="2457" spans="3:3">
      <c r="C2457" s="1"/>
    </row>
    <row r="2458" spans="3:3">
      <c r="C2458" s="1"/>
    </row>
    <row r="2459" spans="3:3">
      <c r="C2459" s="1"/>
    </row>
    <row r="2460" spans="3:3">
      <c r="C2460" s="1"/>
    </row>
    <row r="2461" spans="3:3">
      <c r="C2461" s="1"/>
    </row>
    <row r="2462" spans="3:3">
      <c r="C2462" s="1"/>
    </row>
    <row r="2463" spans="3:3">
      <c r="C2463" s="1"/>
    </row>
    <row r="2464" spans="3:3">
      <c r="C2464" s="1"/>
    </row>
    <row r="2465" spans="3:3">
      <c r="C2465" s="1"/>
    </row>
    <row r="2466" spans="3:3">
      <c r="C2466" s="1"/>
    </row>
    <row r="2467" spans="3:3">
      <c r="C2467" s="1"/>
    </row>
    <row r="2468" spans="3:3">
      <c r="C2468" s="1"/>
    </row>
    <row r="2469" spans="3:3">
      <c r="C2469" s="1"/>
    </row>
    <row r="2470" spans="3:3">
      <c r="C2470" s="1"/>
    </row>
    <row r="2471" spans="3:3">
      <c r="C2471" s="1"/>
    </row>
    <row r="2472" spans="3:3">
      <c r="C2472" s="1"/>
    </row>
    <row r="2473" spans="3:3">
      <c r="C2473" s="1"/>
    </row>
    <row r="2474" spans="3:3">
      <c r="C2474" s="1"/>
    </row>
    <row r="2475" spans="3:3">
      <c r="C2475" s="1"/>
    </row>
    <row r="2476" spans="3:3">
      <c r="C2476" s="1"/>
    </row>
    <row r="2477" spans="3:3">
      <c r="C2477" s="1"/>
    </row>
    <row r="2478" spans="3:3">
      <c r="C2478" s="1"/>
    </row>
    <row r="2479" spans="3:3">
      <c r="C2479" s="1"/>
    </row>
    <row r="2480" spans="3:3">
      <c r="C2480" s="1"/>
    </row>
    <row r="2481" spans="3:3">
      <c r="C2481" s="1"/>
    </row>
    <row r="2482" spans="3:3">
      <c r="C2482" s="1"/>
    </row>
    <row r="2483" spans="3:3">
      <c r="C2483" s="1"/>
    </row>
    <row r="2484" spans="3:3">
      <c r="C2484" s="1"/>
    </row>
    <row r="2485" spans="3:3">
      <c r="C2485" s="1"/>
    </row>
    <row r="2486" spans="3:3">
      <c r="C2486" s="1"/>
    </row>
    <row r="2487" spans="3:3">
      <c r="C2487" s="1"/>
    </row>
    <row r="2488" spans="3:3">
      <c r="C2488" s="1"/>
    </row>
    <row r="2489" spans="3:3">
      <c r="C2489" s="1"/>
    </row>
    <row r="2490" spans="3:3">
      <c r="C2490" s="1"/>
    </row>
    <row r="2491" spans="3:3">
      <c r="C2491" s="1"/>
    </row>
    <row r="2492" spans="3:3">
      <c r="C2492" s="1"/>
    </row>
    <row r="2493" spans="3:3">
      <c r="C2493" s="1"/>
    </row>
    <row r="2494" spans="3:3">
      <c r="C2494" s="1"/>
    </row>
    <row r="2495" spans="3:3">
      <c r="C2495" s="1"/>
    </row>
    <row r="2496" spans="3:3">
      <c r="C2496" s="1"/>
    </row>
    <row r="2497" spans="3:3">
      <c r="C2497" s="1"/>
    </row>
    <row r="2498" spans="3:3">
      <c r="C2498" s="1"/>
    </row>
    <row r="2499" spans="3:3">
      <c r="C2499" s="1"/>
    </row>
    <row r="2500" spans="3:3">
      <c r="C2500" s="1"/>
    </row>
    <row r="2501" spans="3:3">
      <c r="C2501" s="1"/>
    </row>
    <row r="2502" spans="3:3">
      <c r="C2502" s="1"/>
    </row>
    <row r="2503" spans="3:3">
      <c r="C2503" s="1"/>
    </row>
    <row r="2504" spans="3:3">
      <c r="C2504" s="1"/>
    </row>
    <row r="2505" spans="3:3">
      <c r="C2505" s="1"/>
    </row>
    <row r="2506" spans="3:3">
      <c r="C2506" s="1"/>
    </row>
    <row r="2507" spans="3:3">
      <c r="C2507" s="1"/>
    </row>
    <row r="2508" spans="3:3">
      <c r="C2508" s="1"/>
    </row>
    <row r="2509" spans="3:3">
      <c r="C2509" s="1"/>
    </row>
    <row r="2510" spans="3:3">
      <c r="C2510" s="1"/>
    </row>
    <row r="2511" spans="3:3">
      <c r="C2511" s="1"/>
    </row>
    <row r="2512" spans="3:3">
      <c r="C2512" s="1"/>
    </row>
    <row r="2513" spans="3:3">
      <c r="C2513" s="1"/>
    </row>
    <row r="2514" spans="3:3">
      <c r="C2514" s="1"/>
    </row>
    <row r="2515" spans="3:3">
      <c r="C2515" s="1"/>
    </row>
    <row r="2516" spans="3:3">
      <c r="C2516" s="1"/>
    </row>
    <row r="2517" spans="3:3">
      <c r="C2517" s="1"/>
    </row>
    <row r="2518" spans="3:3">
      <c r="C2518" s="1"/>
    </row>
    <row r="2519" spans="3:3">
      <c r="C2519" s="1"/>
    </row>
    <row r="2520" spans="3:3">
      <c r="C2520" s="1"/>
    </row>
    <row r="2521" spans="3:3">
      <c r="C2521" s="1"/>
    </row>
    <row r="2522" spans="3:3">
      <c r="C2522" s="1"/>
    </row>
    <row r="2523" spans="3:3">
      <c r="C2523" s="1"/>
    </row>
    <row r="2524" spans="3:3">
      <c r="C2524" s="1"/>
    </row>
    <row r="2525" spans="3:3">
      <c r="C2525" s="1"/>
    </row>
    <row r="2526" spans="3:3">
      <c r="C2526" s="1"/>
    </row>
    <row r="2527" spans="3:3">
      <c r="C2527" s="1"/>
    </row>
    <row r="2528" spans="3:3">
      <c r="C2528" s="1"/>
    </row>
    <row r="2529" spans="3:3">
      <c r="C2529" s="1"/>
    </row>
    <row r="2530" spans="3:3">
      <c r="C2530" s="1"/>
    </row>
    <row r="2531" spans="3:3">
      <c r="C2531" s="1"/>
    </row>
    <row r="2532" spans="3:3">
      <c r="C2532" s="1"/>
    </row>
    <row r="2533" spans="3:3">
      <c r="C2533" s="1"/>
    </row>
    <row r="2534" spans="3:3">
      <c r="C2534" s="1"/>
    </row>
    <row r="2535" spans="3:3">
      <c r="C2535" s="1"/>
    </row>
    <row r="2536" spans="3:3">
      <c r="C2536" s="1"/>
    </row>
    <row r="2537" spans="3:3">
      <c r="C2537" s="1"/>
    </row>
    <row r="2538" spans="3:3">
      <c r="C2538" s="1"/>
    </row>
    <row r="2539" spans="3:3">
      <c r="C2539" s="1"/>
    </row>
    <row r="2540" spans="3:3">
      <c r="C2540" s="1"/>
    </row>
    <row r="2541" spans="3:3">
      <c r="C2541" s="1"/>
    </row>
    <row r="2542" spans="3:3">
      <c r="C2542" s="1"/>
    </row>
    <row r="2543" spans="3:3">
      <c r="C2543" s="1"/>
    </row>
    <row r="2544" spans="3:3">
      <c r="C2544" s="1"/>
    </row>
    <row r="2545" spans="3:3">
      <c r="C2545" s="1"/>
    </row>
    <row r="2546" spans="3:3">
      <c r="C2546" s="1"/>
    </row>
    <row r="2547" spans="3:3">
      <c r="C2547" s="1"/>
    </row>
    <row r="2548" spans="3:3">
      <c r="C2548" s="1"/>
    </row>
    <row r="2549" spans="3:3">
      <c r="C2549" s="1"/>
    </row>
    <row r="2550" spans="3:3">
      <c r="C2550" s="1"/>
    </row>
    <row r="2551" spans="3:3">
      <c r="C2551" s="1"/>
    </row>
    <row r="2552" spans="3:3">
      <c r="C2552" s="1"/>
    </row>
    <row r="2553" spans="3:3">
      <c r="C2553" s="1"/>
    </row>
    <row r="2554" spans="3:3">
      <c r="C2554" s="1"/>
    </row>
    <row r="2555" spans="3:3">
      <c r="C2555" s="1"/>
    </row>
    <row r="2556" spans="3:3">
      <c r="C2556" s="1"/>
    </row>
    <row r="2557" spans="3:3">
      <c r="C2557" s="1"/>
    </row>
    <row r="2558" spans="3:3">
      <c r="C2558" s="1"/>
    </row>
    <row r="2559" spans="3:3">
      <c r="C2559" s="1"/>
    </row>
    <row r="2560" spans="3:3">
      <c r="C2560" s="1"/>
    </row>
    <row r="2561" spans="3:3">
      <c r="C2561" s="1"/>
    </row>
    <row r="2562" spans="3:3">
      <c r="C2562" s="1"/>
    </row>
    <row r="2563" spans="3:3">
      <c r="C2563" s="1"/>
    </row>
    <row r="2564" spans="3:3">
      <c r="C2564" s="1"/>
    </row>
    <row r="2565" spans="3:3">
      <c r="C2565" s="1"/>
    </row>
    <row r="2566" spans="3:3">
      <c r="C2566" s="1"/>
    </row>
    <row r="2567" spans="3:3">
      <c r="C2567" s="1"/>
    </row>
    <row r="2568" spans="3:3">
      <c r="C2568" s="1"/>
    </row>
    <row r="2569" spans="3:3">
      <c r="C2569" s="1"/>
    </row>
    <row r="2570" spans="3:3">
      <c r="C2570" s="1"/>
    </row>
    <row r="2571" spans="3:3">
      <c r="C2571" s="1"/>
    </row>
    <row r="2572" spans="3:3">
      <c r="C2572" s="1"/>
    </row>
    <row r="2573" spans="3:3">
      <c r="C2573" s="1"/>
    </row>
    <row r="2574" spans="3:3">
      <c r="C2574" s="1"/>
    </row>
    <row r="2575" spans="3:3">
      <c r="C2575" s="1"/>
    </row>
    <row r="2576" spans="3:3">
      <c r="C2576" s="1"/>
    </row>
    <row r="2577" spans="3:3">
      <c r="C2577" s="1"/>
    </row>
    <row r="2578" spans="3:3">
      <c r="C2578" s="1"/>
    </row>
    <row r="2579" spans="3:3">
      <c r="C2579" s="1"/>
    </row>
    <row r="2580" spans="3:3">
      <c r="C2580" s="1"/>
    </row>
    <row r="2581" spans="3:3">
      <c r="C2581" s="1"/>
    </row>
    <row r="2582" spans="3:3">
      <c r="C2582" s="1"/>
    </row>
    <row r="2583" spans="3:3">
      <c r="C2583" s="1"/>
    </row>
    <row r="2584" spans="3:3">
      <c r="C2584" s="1"/>
    </row>
    <row r="2585" spans="3:3">
      <c r="C2585" s="1"/>
    </row>
    <row r="2586" spans="3:3">
      <c r="C2586" s="1"/>
    </row>
    <row r="2587" spans="3:3">
      <c r="C2587" s="1"/>
    </row>
    <row r="2588" spans="3:3">
      <c r="C2588" s="1"/>
    </row>
    <row r="2589" spans="3:3">
      <c r="C2589" s="1"/>
    </row>
    <row r="2590" spans="3:3">
      <c r="C2590" s="1"/>
    </row>
    <row r="2591" spans="3:3">
      <c r="C2591" s="1"/>
    </row>
    <row r="2592" spans="3:3">
      <c r="C2592" s="1"/>
    </row>
    <row r="2593" spans="3:3">
      <c r="C2593" s="1"/>
    </row>
    <row r="2594" spans="3:3">
      <c r="C2594" s="1"/>
    </row>
    <row r="2595" spans="3:3">
      <c r="C2595" s="1"/>
    </row>
    <row r="2596" spans="3:3">
      <c r="C2596" s="1"/>
    </row>
    <row r="2597" spans="3:3">
      <c r="C2597" s="1"/>
    </row>
    <row r="2598" spans="3:3">
      <c r="C2598" s="1"/>
    </row>
    <row r="2599" spans="3:3">
      <c r="C2599" s="1"/>
    </row>
    <row r="2600" spans="3:3">
      <c r="C2600" s="1"/>
    </row>
    <row r="2601" spans="3:3">
      <c r="C2601" s="1"/>
    </row>
    <row r="2602" spans="3:3">
      <c r="C2602" s="1"/>
    </row>
    <row r="2603" spans="3:3">
      <c r="C2603" s="1"/>
    </row>
    <row r="2604" spans="3:3">
      <c r="C2604" s="1"/>
    </row>
    <row r="2605" spans="3:3">
      <c r="C2605" s="1"/>
    </row>
    <row r="2606" spans="3:3">
      <c r="C2606" s="1"/>
    </row>
    <row r="2607" spans="3:3">
      <c r="C2607" s="1"/>
    </row>
    <row r="2608" spans="3:3">
      <c r="C2608" s="1"/>
    </row>
    <row r="2609" spans="3:3">
      <c r="C2609" s="1"/>
    </row>
    <row r="2610" spans="3:3">
      <c r="C2610" s="1"/>
    </row>
    <row r="2611" spans="3:3">
      <c r="C2611" s="1"/>
    </row>
    <row r="2612" spans="3:3">
      <c r="C2612" s="1"/>
    </row>
    <row r="2613" spans="3:3">
      <c r="C2613" s="1"/>
    </row>
    <row r="2614" spans="3:3">
      <c r="C2614" s="1"/>
    </row>
    <row r="2615" spans="3:3">
      <c r="C2615" s="1"/>
    </row>
    <row r="2616" spans="3:3">
      <c r="C2616" s="1"/>
    </row>
    <row r="2617" spans="3:3">
      <c r="C2617" s="1"/>
    </row>
    <row r="2618" spans="3:3">
      <c r="C2618" s="1"/>
    </row>
    <row r="2619" spans="3:3">
      <c r="C2619" s="1"/>
    </row>
    <row r="2620" spans="3:3">
      <c r="C2620" s="1"/>
    </row>
    <row r="2621" spans="3:3">
      <c r="C2621" s="1"/>
    </row>
    <row r="2622" spans="3:3">
      <c r="C2622" s="1"/>
    </row>
    <row r="2623" spans="3:3">
      <c r="C2623" s="1"/>
    </row>
    <row r="2624" spans="3:3">
      <c r="C2624" s="1"/>
    </row>
    <row r="2625" spans="3:3">
      <c r="C2625" s="1"/>
    </row>
  </sheetData>
  <conditionalFormatting sqref="C517:C537">
    <cfRule type="duplicateValues" dxfId="26" priority="30"/>
  </conditionalFormatting>
  <conditionalFormatting sqref="C538:C1313">
    <cfRule type="duplicateValues" dxfId="25" priority="31"/>
  </conditionalFormatting>
  <conditionalFormatting sqref="C1317:C1048576 C1:C1313">
    <cfRule type="duplicateValues" dxfId="24" priority="21"/>
    <cfRule type="duplicateValues" dxfId="23" priority="22"/>
  </conditionalFormatting>
  <conditionalFormatting sqref="C1329:C1709 C1711:C1750 C1752:C1820">
    <cfRule type="duplicateValues" dxfId="22" priority="28"/>
  </conditionalFormatting>
  <conditionalFormatting sqref="C1710">
    <cfRule type="duplicateValues" dxfId="21" priority="27"/>
  </conditionalFormatting>
  <conditionalFormatting sqref="C1751">
    <cfRule type="duplicateValues" dxfId="20" priority="26"/>
  </conditionalFormatting>
  <conditionalFormatting sqref="C1824:C1836">
    <cfRule type="duplicateValues" dxfId="19" priority="25"/>
  </conditionalFormatting>
  <conditionalFormatting sqref="C1837:C2625">
    <cfRule type="duplicateValues" dxfId="18" priority="23"/>
    <cfRule type="duplicateValues" dxfId="17" priority="24"/>
  </conditionalFormatting>
  <conditionalFormatting sqref="G1262">
    <cfRule type="duplicateValues" dxfId="16" priority="10"/>
    <cfRule type="duplicateValues" dxfId="15" priority="11"/>
    <cfRule type="duplicateValues" dxfId="14" priority="12"/>
  </conditionalFormatting>
  <conditionalFormatting sqref="G1314:I1314">
    <cfRule type="duplicateValues" dxfId="13" priority="13"/>
    <cfRule type="duplicateValues" dxfId="12" priority="14"/>
    <cfRule type="duplicateValues" dxfId="11" priority="15"/>
  </conditionalFormatting>
  <conditionalFormatting sqref="H1315:I1315">
    <cfRule type="duplicateValues" dxfId="10" priority="1"/>
    <cfRule type="duplicateValues" dxfId="9" priority="2"/>
    <cfRule type="duplicateValues" dxfId="8" priority="3"/>
  </conditionalFormatting>
  <conditionalFormatting sqref="H1316:I1316">
    <cfRule type="duplicateValues" dxfId="7" priority="4"/>
    <cfRule type="duplicateValues" dxfId="6" priority="5"/>
    <cfRule type="duplicateValues" dxfId="5" priority="6"/>
  </conditionalFormatting>
  <pageMargins left="0.7" right="0.7" top="0.62" bottom="0.66" header="0.3" footer="0.2"/>
  <pageSetup paperSize="9" scale="78" fitToHeight="0" orientation="landscape" r:id="rId1"/>
  <customProperties>
    <customPr name="ClientSettings" r:id="rId2"/>
    <customPr name="CompanyName" r:id="rId3"/>
    <customPr name="ConnectionString" r:id="rId4"/>
    <customPr name="Culture" r:id="rId5"/>
    <customPr name="CurrentColumns" r:id="rId6"/>
    <customPr name="CurrentFilters" r:id="rId7"/>
    <customPr name="CurrentSortingAscendingDirection" r:id="rId8"/>
    <customPr name="CurrentSortingFields" r:id="rId9"/>
    <customPr name="LanguageId" r:id="rId10"/>
    <customPr name="LastUpdated" r:id="rId11"/>
    <customPr name="ObjectID" r:id="rId12"/>
    <customPr name="ObjectName" r:id="rId13"/>
    <customPr name="ObjectType" r:id="rId14"/>
    <customPr name="RefreshAtStartup" r:id="rId15"/>
  </customProperties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8EA0-FDDC-43C6-816A-14FA58006132}">
  <dimension ref="B2:J29"/>
  <sheetViews>
    <sheetView tabSelected="1" topLeftCell="A19" zoomScale="98" zoomScaleNormal="98" workbookViewId="0">
      <selection activeCell="H31" sqref="H31"/>
    </sheetView>
  </sheetViews>
  <sheetFormatPr defaultRowHeight="15"/>
  <cols>
    <col min="3" max="3" width="17.42578125" customWidth="1"/>
    <col min="5" max="5" width="16" bestFit="1" customWidth="1"/>
    <col min="6" max="6" width="15.7109375" customWidth="1"/>
    <col min="7" max="8" width="16" customWidth="1"/>
    <col min="9" max="9" width="32.7109375" bestFit="1" customWidth="1"/>
    <col min="10" max="10" width="11.42578125" bestFit="1" customWidth="1"/>
  </cols>
  <sheetData>
    <row r="2" spans="2:10" ht="24.75" customHeight="1">
      <c r="B2" s="34" t="s">
        <v>839</v>
      </c>
      <c r="C2" s="35"/>
      <c r="D2" s="35"/>
      <c r="E2" s="35"/>
      <c r="F2" s="35"/>
      <c r="G2" s="35"/>
      <c r="H2" s="35"/>
      <c r="I2" s="35"/>
      <c r="J2" s="35"/>
    </row>
    <row r="3" spans="2:10" ht="24.95" customHeight="1">
      <c r="B3" s="4" t="s">
        <v>832</v>
      </c>
      <c r="C3" s="4" t="s">
        <v>833</v>
      </c>
      <c r="D3" s="4" t="s">
        <v>834</v>
      </c>
      <c r="E3" s="4" t="s">
        <v>835</v>
      </c>
      <c r="F3" s="4" t="s">
        <v>836</v>
      </c>
      <c r="G3" s="4" t="s">
        <v>837</v>
      </c>
      <c r="H3" s="4" t="s">
        <v>838</v>
      </c>
      <c r="I3" s="4" t="s">
        <v>1960</v>
      </c>
      <c r="J3" s="4" t="s">
        <v>1979</v>
      </c>
    </row>
    <row r="4" spans="2:10" ht="20.100000000000001" customHeight="1">
      <c r="B4" s="6">
        <v>1</v>
      </c>
      <c r="C4" s="15" t="s">
        <v>876</v>
      </c>
      <c r="D4" s="6">
        <v>41</v>
      </c>
      <c r="E4" s="6">
        <v>9278</v>
      </c>
      <c r="F4" s="14">
        <v>46090</v>
      </c>
      <c r="G4" s="6" t="s">
        <v>866</v>
      </c>
      <c r="H4" s="6" t="s">
        <v>867</v>
      </c>
      <c r="I4" s="23" t="s">
        <v>1961</v>
      </c>
      <c r="J4" s="24" t="s">
        <v>1978</v>
      </c>
    </row>
    <row r="5" spans="2:10" ht="20.100000000000001" customHeight="1">
      <c r="B5" s="6">
        <v>2</v>
      </c>
      <c r="C5" s="15" t="s">
        <v>876</v>
      </c>
      <c r="D5" s="6">
        <v>56</v>
      </c>
      <c r="E5" s="6">
        <v>10295</v>
      </c>
      <c r="F5" s="14">
        <v>46090</v>
      </c>
      <c r="G5" s="6" t="s">
        <v>868</v>
      </c>
      <c r="H5" s="6" t="s">
        <v>869</v>
      </c>
      <c r="I5" s="23" t="s">
        <v>1962</v>
      </c>
      <c r="J5" s="24" t="s">
        <v>1978</v>
      </c>
    </row>
    <row r="6" spans="2:10" ht="20.100000000000001" customHeight="1">
      <c r="B6" s="6">
        <v>3</v>
      </c>
      <c r="C6" s="15" t="s">
        <v>876</v>
      </c>
      <c r="D6" s="6">
        <v>48</v>
      </c>
      <c r="E6" s="6">
        <v>12332</v>
      </c>
      <c r="F6" s="14">
        <v>46090</v>
      </c>
      <c r="G6" s="6" t="s">
        <v>870</v>
      </c>
      <c r="H6" s="6" t="s">
        <v>871</v>
      </c>
      <c r="I6" s="23" t="s">
        <v>1963</v>
      </c>
      <c r="J6" s="24" t="s">
        <v>1978</v>
      </c>
    </row>
    <row r="7" spans="2:10" ht="20.100000000000001" customHeight="1">
      <c r="B7" s="6">
        <v>4</v>
      </c>
      <c r="C7" s="15" t="s">
        <v>876</v>
      </c>
      <c r="D7" s="6">
        <v>36</v>
      </c>
      <c r="E7" s="6">
        <v>11022</v>
      </c>
      <c r="F7" s="14">
        <v>46090</v>
      </c>
      <c r="G7" s="6" t="s">
        <v>872</v>
      </c>
      <c r="H7" s="6" t="s">
        <v>873</v>
      </c>
      <c r="I7" s="23" t="s">
        <v>1964</v>
      </c>
      <c r="J7" s="24" t="s">
        <v>1978</v>
      </c>
    </row>
    <row r="8" spans="2:10" ht="20.100000000000001" customHeight="1">
      <c r="B8" s="6">
        <v>5</v>
      </c>
      <c r="C8" s="15" t="s">
        <v>876</v>
      </c>
      <c r="D8" s="6">
        <v>66</v>
      </c>
      <c r="E8" s="6">
        <v>8836</v>
      </c>
      <c r="F8" s="14">
        <v>46090</v>
      </c>
      <c r="G8" s="6" t="s">
        <v>874</v>
      </c>
      <c r="H8" s="6" t="s">
        <v>875</v>
      </c>
      <c r="I8" s="23" t="s">
        <v>1965</v>
      </c>
      <c r="J8" s="24" t="s">
        <v>1978</v>
      </c>
    </row>
    <row r="9" spans="2:10" ht="20.100000000000001" customHeight="1">
      <c r="B9" s="6">
        <v>6</v>
      </c>
      <c r="C9" s="15" t="s">
        <v>876</v>
      </c>
      <c r="D9" s="6">
        <v>48</v>
      </c>
      <c r="E9" s="6">
        <v>9303</v>
      </c>
      <c r="F9" s="14">
        <v>46091</v>
      </c>
      <c r="G9" s="6" t="s">
        <v>877</v>
      </c>
      <c r="H9" s="6" t="s">
        <v>878</v>
      </c>
      <c r="I9" s="23" t="s">
        <v>1966</v>
      </c>
      <c r="J9" s="24" t="s">
        <v>1978</v>
      </c>
    </row>
    <row r="10" spans="2:10" ht="20.100000000000001" customHeight="1">
      <c r="B10" s="6">
        <v>7</v>
      </c>
      <c r="C10" s="15" t="s">
        <v>876</v>
      </c>
      <c r="D10" s="6">
        <v>38</v>
      </c>
      <c r="E10" s="6">
        <v>10387</v>
      </c>
      <c r="F10" s="14">
        <v>46091</v>
      </c>
      <c r="G10" s="6" t="s">
        <v>879</v>
      </c>
      <c r="H10" s="6" t="s">
        <v>880</v>
      </c>
      <c r="I10" s="23" t="s">
        <v>1967</v>
      </c>
      <c r="J10" s="24" t="s">
        <v>1978</v>
      </c>
    </row>
    <row r="11" spans="2:10" ht="20.100000000000001" customHeight="1">
      <c r="B11" s="9">
        <v>8</v>
      </c>
      <c r="C11" s="15" t="s">
        <v>876</v>
      </c>
      <c r="D11" s="9">
        <v>18</v>
      </c>
      <c r="E11" s="9">
        <v>9567</v>
      </c>
      <c r="F11" s="14">
        <v>46091</v>
      </c>
      <c r="G11" s="6" t="s">
        <v>881</v>
      </c>
      <c r="H11" s="6" t="s">
        <v>882</v>
      </c>
      <c r="I11" s="23" t="s">
        <v>1968</v>
      </c>
      <c r="J11" s="24" t="s">
        <v>1978</v>
      </c>
    </row>
    <row r="12" spans="2:10" ht="20.100000000000001" customHeight="1">
      <c r="B12" s="9">
        <v>9</v>
      </c>
      <c r="C12" s="15" t="s">
        <v>876</v>
      </c>
      <c r="D12" s="9">
        <v>20</v>
      </c>
      <c r="E12" s="9">
        <v>11346</v>
      </c>
      <c r="F12" s="14">
        <v>46091</v>
      </c>
      <c r="G12" s="6" t="s">
        <v>883</v>
      </c>
      <c r="H12" s="6" t="s">
        <v>884</v>
      </c>
      <c r="I12" s="23" t="s">
        <v>1969</v>
      </c>
      <c r="J12" s="24" t="s">
        <v>1978</v>
      </c>
    </row>
    <row r="13" spans="2:10" ht="20.100000000000001" customHeight="1">
      <c r="B13" s="9">
        <v>10</v>
      </c>
      <c r="C13" s="15" t="s">
        <v>876</v>
      </c>
      <c r="D13" s="9">
        <v>4</v>
      </c>
      <c r="E13" s="9">
        <v>11959</v>
      </c>
      <c r="F13" s="14">
        <v>46091</v>
      </c>
      <c r="G13" s="6" t="s">
        <v>1949</v>
      </c>
      <c r="H13" s="6" t="s">
        <v>1950</v>
      </c>
      <c r="I13" s="23" t="s">
        <v>1970</v>
      </c>
      <c r="J13" s="24" t="s">
        <v>1978</v>
      </c>
    </row>
    <row r="14" spans="2:10" ht="20.100000000000001" customHeight="1">
      <c r="B14" s="9">
        <v>11</v>
      </c>
      <c r="C14" s="15" t="s">
        <v>876</v>
      </c>
      <c r="D14" s="9">
        <v>14</v>
      </c>
      <c r="E14" s="9">
        <v>11576</v>
      </c>
      <c r="F14" s="22">
        <v>46105</v>
      </c>
      <c r="G14" s="6" t="s">
        <v>1954</v>
      </c>
      <c r="H14" s="6" t="s">
        <v>1955</v>
      </c>
      <c r="I14" s="23" t="s">
        <v>1971</v>
      </c>
      <c r="J14" s="24" t="s">
        <v>1978</v>
      </c>
    </row>
    <row r="15" spans="2:10" ht="20.100000000000001" customHeight="1">
      <c r="B15" s="9">
        <v>12</v>
      </c>
      <c r="C15" s="15" t="s">
        <v>876</v>
      </c>
      <c r="D15" s="9">
        <v>31</v>
      </c>
      <c r="E15" s="9">
        <v>14518</v>
      </c>
      <c r="F15" s="22">
        <v>46105</v>
      </c>
      <c r="G15" s="6" t="s">
        <v>1956</v>
      </c>
      <c r="H15" s="6" t="s">
        <v>1957</v>
      </c>
      <c r="I15" s="23" t="s">
        <v>1972</v>
      </c>
      <c r="J15" s="24" t="s">
        <v>1978</v>
      </c>
    </row>
    <row r="16" spans="2:10" ht="20.100000000000001" customHeight="1">
      <c r="B16" s="9">
        <v>13</v>
      </c>
      <c r="C16" s="15" t="s">
        <v>876</v>
      </c>
      <c r="D16" s="9">
        <v>22</v>
      </c>
      <c r="E16" s="9">
        <v>14694</v>
      </c>
      <c r="F16" s="22">
        <v>46105</v>
      </c>
      <c r="G16" s="6" t="s">
        <v>1958</v>
      </c>
      <c r="H16" s="6" t="s">
        <v>1959</v>
      </c>
      <c r="I16" s="23" t="s">
        <v>1973</v>
      </c>
      <c r="J16" s="24" t="s">
        <v>1978</v>
      </c>
    </row>
    <row r="17" spans="2:10" ht="20.100000000000001" customHeight="1">
      <c r="B17" s="9">
        <v>14</v>
      </c>
      <c r="C17" s="15" t="s">
        <v>876</v>
      </c>
      <c r="D17" s="9">
        <v>549</v>
      </c>
      <c r="E17" s="9">
        <v>7947</v>
      </c>
      <c r="F17" s="22">
        <v>46149</v>
      </c>
      <c r="G17" s="27" t="s">
        <v>1980</v>
      </c>
      <c r="H17" s="27" t="s">
        <v>1981</v>
      </c>
      <c r="I17" s="23" t="s">
        <v>1975</v>
      </c>
      <c r="J17" s="25" t="s">
        <v>1951</v>
      </c>
    </row>
    <row r="18" spans="2:10" ht="20.100000000000001" customHeight="1">
      <c r="B18" s="9">
        <v>15</v>
      </c>
      <c r="C18" s="15" t="s">
        <v>876</v>
      </c>
      <c r="D18" s="9">
        <v>18</v>
      </c>
      <c r="E18" s="9">
        <v>13988</v>
      </c>
      <c r="F18" s="22">
        <v>46149</v>
      </c>
      <c r="G18" s="27" t="s">
        <v>1982</v>
      </c>
      <c r="H18" s="27" t="s">
        <v>1983</v>
      </c>
      <c r="I18" s="23" t="s">
        <v>1974</v>
      </c>
      <c r="J18" s="24" t="s">
        <v>1978</v>
      </c>
    </row>
    <row r="19" spans="2:10" ht="20.100000000000001" customHeight="1">
      <c r="B19" s="9">
        <v>16</v>
      </c>
      <c r="C19" s="15" t="s">
        <v>876</v>
      </c>
      <c r="D19" s="9">
        <v>162</v>
      </c>
      <c r="E19" s="9">
        <v>4088</v>
      </c>
      <c r="F19" s="22">
        <v>46167</v>
      </c>
      <c r="G19" s="27" t="s">
        <v>1996</v>
      </c>
      <c r="H19" s="27" t="s">
        <v>1997</v>
      </c>
      <c r="I19" s="23" t="s">
        <v>2002</v>
      </c>
      <c r="J19" s="25" t="s">
        <v>1951</v>
      </c>
    </row>
    <row r="20" spans="2:10" ht="20.100000000000001" customHeight="1">
      <c r="B20" s="9">
        <v>17</v>
      </c>
      <c r="C20" s="15" t="s">
        <v>876</v>
      </c>
      <c r="D20" s="9">
        <v>14</v>
      </c>
      <c r="E20" s="9">
        <v>13874</v>
      </c>
      <c r="F20" s="22">
        <v>46149</v>
      </c>
      <c r="G20" s="27" t="s">
        <v>1984</v>
      </c>
      <c r="H20" s="27" t="s">
        <v>1985</v>
      </c>
      <c r="I20" s="23" t="s">
        <v>1976</v>
      </c>
      <c r="J20" s="24" t="s">
        <v>1978</v>
      </c>
    </row>
    <row r="21" spans="2:10" ht="20.100000000000001" customHeight="1">
      <c r="B21" s="9">
        <v>18</v>
      </c>
      <c r="C21" s="15" t="s">
        <v>876</v>
      </c>
      <c r="D21" s="9">
        <v>19</v>
      </c>
      <c r="E21" s="9">
        <v>11186</v>
      </c>
      <c r="F21" s="22">
        <v>46149</v>
      </c>
      <c r="G21" s="27" t="s">
        <v>1986</v>
      </c>
      <c r="H21" s="27" t="s">
        <v>1987</v>
      </c>
      <c r="I21" s="23" t="s">
        <v>1977</v>
      </c>
      <c r="J21" s="24" t="s">
        <v>1978</v>
      </c>
    </row>
    <row r="22" spans="2:10" ht="20.100000000000001" customHeight="1">
      <c r="B22" s="9">
        <v>19</v>
      </c>
      <c r="C22" s="15" t="s">
        <v>876</v>
      </c>
      <c r="D22" s="9">
        <v>18</v>
      </c>
      <c r="E22" s="9">
        <v>13415</v>
      </c>
      <c r="F22" s="22">
        <v>46133</v>
      </c>
      <c r="G22" s="27" t="s">
        <v>1989</v>
      </c>
      <c r="H22" s="27" t="s">
        <v>1990</v>
      </c>
      <c r="I22" s="23" t="s">
        <v>2005</v>
      </c>
      <c r="J22" s="24" t="s">
        <v>1978</v>
      </c>
    </row>
    <row r="23" spans="2:10" ht="20.100000000000001" customHeight="1">
      <c r="B23" s="9">
        <v>20</v>
      </c>
      <c r="C23" s="15" t="s">
        <v>876</v>
      </c>
      <c r="D23" s="9">
        <v>14</v>
      </c>
      <c r="E23" s="9">
        <v>9493</v>
      </c>
      <c r="F23" s="22">
        <v>46133</v>
      </c>
      <c r="G23" s="27" t="s">
        <v>1991</v>
      </c>
      <c r="H23" s="27" t="s">
        <v>1992</v>
      </c>
      <c r="I23" s="23" t="s">
        <v>2006</v>
      </c>
      <c r="J23" s="24" t="s">
        <v>1978</v>
      </c>
    </row>
    <row r="24" spans="2:10" ht="20.100000000000001" customHeight="1">
      <c r="B24" s="9">
        <v>21</v>
      </c>
      <c r="C24" s="15" t="s">
        <v>876</v>
      </c>
      <c r="D24" s="9">
        <v>6</v>
      </c>
      <c r="E24" s="9">
        <v>13665</v>
      </c>
      <c r="F24" s="22">
        <v>46133</v>
      </c>
      <c r="G24" s="27" t="s">
        <v>1993</v>
      </c>
      <c r="H24" s="27" t="s">
        <v>1994</v>
      </c>
      <c r="I24" s="23" t="s">
        <v>2004</v>
      </c>
      <c r="J24" s="24" t="s">
        <v>1978</v>
      </c>
    </row>
    <row r="25" spans="2:10" ht="20.100000000000001" customHeight="1">
      <c r="B25" s="9">
        <v>22</v>
      </c>
      <c r="C25" s="15" t="s">
        <v>876</v>
      </c>
      <c r="D25" s="9">
        <v>7</v>
      </c>
      <c r="E25" s="9">
        <v>9642</v>
      </c>
      <c r="F25" s="22">
        <v>46167</v>
      </c>
      <c r="G25" s="27" t="s">
        <v>1998</v>
      </c>
      <c r="H25" s="27" t="s">
        <v>1999</v>
      </c>
      <c r="I25" s="23" t="s">
        <v>2003</v>
      </c>
      <c r="J25" s="24" t="s">
        <v>1978</v>
      </c>
    </row>
    <row r="26" spans="2:10" ht="20.100000000000001" customHeight="1">
      <c r="B26" s="9">
        <v>23</v>
      </c>
      <c r="C26" s="15" t="s">
        <v>876</v>
      </c>
      <c r="D26" s="9">
        <v>58</v>
      </c>
      <c r="E26" s="9">
        <v>2971</v>
      </c>
      <c r="F26" s="22">
        <v>46185</v>
      </c>
      <c r="G26" s="27" t="s">
        <v>2009</v>
      </c>
      <c r="H26" s="27" t="s">
        <v>2010</v>
      </c>
      <c r="I26" s="23" t="s">
        <v>2007</v>
      </c>
      <c r="J26" s="25" t="s">
        <v>1951</v>
      </c>
    </row>
    <row r="27" spans="2:10" ht="20.100000000000001" customHeight="1">
      <c r="B27" s="9">
        <v>24</v>
      </c>
      <c r="C27" s="15" t="s">
        <v>876</v>
      </c>
      <c r="D27" s="9">
        <v>5</v>
      </c>
      <c r="E27" s="9">
        <v>13480</v>
      </c>
      <c r="F27" s="22">
        <v>46185</v>
      </c>
      <c r="G27" s="27" t="s">
        <v>2011</v>
      </c>
      <c r="H27" s="27" t="s">
        <v>2012</v>
      </c>
      <c r="I27" s="23" t="s">
        <v>2008</v>
      </c>
      <c r="J27" s="24" t="s">
        <v>1978</v>
      </c>
    </row>
    <row r="28" spans="2:10" ht="20.100000000000001" customHeight="1">
      <c r="B28" s="9">
        <v>25</v>
      </c>
      <c r="C28" s="15" t="s">
        <v>876</v>
      </c>
      <c r="D28" s="9">
        <v>2</v>
      </c>
      <c r="E28" s="9">
        <v>228</v>
      </c>
      <c r="F28" s="22">
        <v>46227</v>
      </c>
      <c r="G28" s="27"/>
      <c r="H28" s="27"/>
      <c r="I28" s="9" t="s">
        <v>2013</v>
      </c>
      <c r="J28" s="25" t="s">
        <v>1951</v>
      </c>
    </row>
    <row r="29" spans="2:10" ht="24.95" customHeight="1">
      <c r="C29" s="7" t="s">
        <v>840</v>
      </c>
      <c r="D29" s="7">
        <f>SUM(D4:D28)</f>
        <v>1314</v>
      </c>
      <c r="E29" s="16">
        <f>SUM(E4:E28)</f>
        <v>259090</v>
      </c>
    </row>
  </sheetData>
  <autoFilter ref="B3:J29" xr:uid="{EC738EA0-FDDC-43C6-816A-14FA58006132}"/>
  <mergeCells count="1">
    <mergeCell ref="B2:J2"/>
  </mergeCells>
  <phoneticPr fontId="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1170-10F2-4E1D-8E67-21361263B68A}">
  <dimension ref="A1:D1313"/>
  <sheetViews>
    <sheetView workbookViewId="0">
      <selection sqref="A1:A2"/>
    </sheetView>
  </sheetViews>
  <sheetFormatPr defaultRowHeight="15"/>
  <cols>
    <col min="1" max="1" width="23" style="8" customWidth="1"/>
  </cols>
  <sheetData>
    <row r="1" spans="1:4" ht="15.75" thickBot="1">
      <c r="A1" s="33" t="s">
        <v>1510</v>
      </c>
    </row>
    <row r="2" spans="1:4" ht="15.75" thickBot="1">
      <c r="A2" s="33" t="s">
        <v>1693</v>
      </c>
    </row>
    <row r="3" spans="1:4" ht="15.75" thickBot="1">
      <c r="A3" s="31"/>
    </row>
    <row r="4" spans="1:4" ht="15.75" thickBot="1">
      <c r="A4" s="32"/>
    </row>
    <row r="5" spans="1:4" ht="15.75" thickBot="1">
      <c r="A5" s="31"/>
    </row>
    <row r="6" spans="1:4" ht="15.75" thickBot="1">
      <c r="A6" s="32"/>
    </row>
    <row r="7" spans="1:4" ht="15.75" thickBot="1">
      <c r="A7" s="31"/>
    </row>
    <row r="8" spans="1:4" ht="15.75" thickBot="1">
      <c r="A8" s="32"/>
    </row>
    <row r="9" spans="1:4" ht="15.75" thickBot="1">
      <c r="A9" s="31"/>
    </row>
    <row r="10" spans="1:4" ht="15.75" thickBot="1">
      <c r="A10" s="32"/>
    </row>
    <row r="11" spans="1:4" ht="15.75" thickBot="1">
      <c r="A11" s="31"/>
    </row>
    <row r="12" spans="1:4" ht="15.75" thickBot="1">
      <c r="A12" s="32"/>
      <c r="D12" s="8"/>
    </row>
    <row r="13" spans="1:4" ht="15.75" thickBot="1">
      <c r="A13" s="31"/>
      <c r="D13" s="8"/>
    </row>
    <row r="14" spans="1:4" ht="15.75" thickBot="1">
      <c r="A14" s="32"/>
      <c r="D14" s="8"/>
    </row>
    <row r="15" spans="1:4" ht="15.75" thickBot="1">
      <c r="A15" s="31"/>
    </row>
    <row r="16" spans="1:4" ht="15.75" thickBot="1">
      <c r="A16" s="32"/>
    </row>
    <row r="17" spans="1:1" ht="15.75" thickBot="1">
      <c r="A17" s="31"/>
    </row>
    <row r="18" spans="1:1" ht="15.75" thickBot="1">
      <c r="A18" s="32"/>
    </row>
    <row r="19" spans="1:1" ht="15.75" thickBot="1">
      <c r="A19" s="31"/>
    </row>
    <row r="20" spans="1:1" ht="15.75" thickBot="1">
      <c r="A20" s="32"/>
    </row>
    <row r="21" spans="1:1" ht="15.75" thickBot="1">
      <c r="A21" s="31"/>
    </row>
    <row r="22" spans="1:1" ht="15.75" thickBot="1">
      <c r="A22" s="32"/>
    </row>
    <row r="23" spans="1:1" ht="15.75" thickBot="1">
      <c r="A23" s="31"/>
    </row>
    <row r="24" spans="1:1" ht="15.75" thickBot="1">
      <c r="A24" s="32"/>
    </row>
    <row r="25" spans="1:1" ht="15.75" thickBot="1">
      <c r="A25" s="31"/>
    </row>
    <row r="26" spans="1:1" ht="15.75" thickBot="1">
      <c r="A26" s="32"/>
    </row>
    <row r="27" spans="1:1" ht="15.75" thickBot="1">
      <c r="A27" s="31"/>
    </row>
    <row r="28" spans="1:1" ht="15.75" thickBot="1">
      <c r="A28" s="32"/>
    </row>
    <row r="29" spans="1:1" ht="15.75" thickBot="1">
      <c r="A29" s="31"/>
    </row>
    <row r="30" spans="1:1" ht="15.75" thickBot="1">
      <c r="A30" s="32"/>
    </row>
    <row r="31" spans="1:1" ht="15.75" thickBot="1">
      <c r="A31" s="31"/>
    </row>
    <row r="32" spans="1:1" ht="15.75" thickBot="1">
      <c r="A32" s="32"/>
    </row>
    <row r="33" spans="1:1" ht="15.75" thickBot="1">
      <c r="A33" s="31"/>
    </row>
    <row r="34" spans="1:1" ht="15.75" thickBot="1">
      <c r="A34" s="32"/>
    </row>
    <row r="35" spans="1:1" ht="15.75" thickBot="1">
      <c r="A35" s="31"/>
    </row>
    <row r="36" spans="1:1" ht="15.75" thickBot="1">
      <c r="A36" s="32"/>
    </row>
    <row r="37" spans="1:1" ht="15.75" thickBot="1">
      <c r="A37" s="31"/>
    </row>
    <row r="38" spans="1:1" ht="15.75" thickBot="1">
      <c r="A38" s="32"/>
    </row>
    <row r="39" spans="1:1" ht="15.75" thickBot="1">
      <c r="A39" s="31"/>
    </row>
    <row r="40" spans="1:1" ht="15.75" thickBot="1">
      <c r="A40" s="32"/>
    </row>
    <row r="41" spans="1:1" ht="15.75" thickBot="1">
      <c r="A41" s="31"/>
    </row>
    <row r="42" spans="1:1" ht="15.75" thickBot="1">
      <c r="A42" s="32"/>
    </row>
    <row r="43" spans="1:1" ht="15.75" thickBot="1">
      <c r="A43" s="31"/>
    </row>
    <row r="44" spans="1:1" ht="15.75" thickBot="1">
      <c r="A44" s="32"/>
    </row>
    <row r="45" spans="1:1" ht="15.75" thickBot="1">
      <c r="A45" s="31"/>
    </row>
    <row r="46" spans="1:1" ht="15.75" thickBot="1">
      <c r="A46" s="32"/>
    </row>
    <row r="47" spans="1:1" ht="15.75" thickBot="1">
      <c r="A47" s="31"/>
    </row>
    <row r="48" spans="1:1" ht="15.75" thickBot="1">
      <c r="A48" s="32"/>
    </row>
    <row r="49" spans="1:1" ht="15.75" thickBot="1">
      <c r="A49" s="31"/>
    </row>
    <row r="50" spans="1:1" ht="15.75" thickBot="1">
      <c r="A50" s="32"/>
    </row>
    <row r="51" spans="1:1" ht="15.75" thickBot="1">
      <c r="A51" s="31"/>
    </row>
    <row r="52" spans="1:1" ht="15.75" thickBot="1">
      <c r="A52" s="32"/>
    </row>
    <row r="53" spans="1:1" ht="15.75" thickBot="1">
      <c r="A53" s="31"/>
    </row>
    <row r="54" spans="1:1" ht="15.75" thickBot="1">
      <c r="A54" s="32"/>
    </row>
    <row r="55" spans="1:1" ht="15.75" thickBot="1">
      <c r="A55" s="31"/>
    </row>
    <row r="56" spans="1:1" ht="15.75" thickBot="1">
      <c r="A56" s="32"/>
    </row>
    <row r="57" spans="1:1" ht="15.75" thickBot="1">
      <c r="A57" s="31"/>
    </row>
    <row r="58" spans="1:1" ht="15.75" thickBot="1">
      <c r="A58" s="32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30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</sheetData>
  <conditionalFormatting sqref="A3:A1048576">
    <cfRule type="duplicateValues" dxfId="4" priority="1"/>
  </conditionalFormatting>
  <conditionalFormatting sqref="A44:A49">
    <cfRule type="duplicateValues" dxfId="3" priority="2"/>
    <cfRule type="duplicateValues" dxfId="2" priority="3"/>
    <cfRule type="duplicateValues" dxfId="1" priority="4"/>
  </conditionalFormatting>
  <conditionalFormatting sqref="A184:A1048576">
    <cfRule type="duplicateValues" dxfId="0" priority="2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Spool List</vt:lpstr>
      <vt:lpstr>Summary</vt:lpstr>
      <vt:lpstr>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Dispatch01</dc:creator>
  <cp:lastModifiedBy>Rajender Singh Bisht</cp:lastModifiedBy>
  <cp:lastPrinted>2026-06-02T02:25:21Z</cp:lastPrinted>
  <dcterms:created xsi:type="dcterms:W3CDTF">2025-10-29T04:17:33Z</dcterms:created>
  <dcterms:modified xsi:type="dcterms:W3CDTF">2026-07-24T07:18:03Z</dcterms:modified>
</cp:coreProperties>
</file>